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ReerGlobal\Desktop\"/>
    </mc:Choice>
  </mc:AlternateContent>
  <xr:revisionPtr revIDLastSave="0" documentId="13_ncr:1_{1BF5181C-7A91-47F5-BA9E-E1C54376EC9D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Instructions" sheetId="2" r:id="rId1"/>
    <sheet name="Sheet1" sheetId="1" r:id="rId2"/>
    <sheet name="cleane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05" i="3" l="1"/>
  <c r="C105" i="3"/>
  <c r="D105" i="3"/>
  <c r="E105" i="3"/>
  <c r="F105" i="3"/>
  <c r="G105" i="3"/>
  <c r="H105" i="3"/>
  <c r="I105" i="3"/>
  <c r="J105" i="3"/>
  <c r="E2" i="3"/>
  <c r="F2" i="3" s="1"/>
  <c r="E3" i="3"/>
  <c r="F3" i="3" s="1"/>
  <c r="E4" i="3"/>
  <c r="F4" i="3" s="1"/>
  <c r="E5" i="3"/>
  <c r="F5" i="3" s="1"/>
  <c r="E6" i="3"/>
  <c r="F6" i="3" s="1"/>
  <c r="E7" i="3"/>
  <c r="F7" i="3" s="1"/>
  <c r="E8" i="3"/>
  <c r="F8" i="3" s="1"/>
  <c r="E9" i="3"/>
  <c r="F9" i="3" s="1"/>
  <c r="E10" i="3"/>
  <c r="F10" i="3" s="1"/>
  <c r="E11" i="3"/>
  <c r="F11" i="3" s="1"/>
  <c r="E12" i="3"/>
  <c r="F12" i="3" s="1"/>
  <c r="E13" i="3"/>
  <c r="F13" i="3" s="1"/>
  <c r="E14" i="3"/>
  <c r="F14" i="3" s="1"/>
  <c r="E15" i="3"/>
  <c r="F15" i="3" s="1"/>
  <c r="E16" i="3"/>
  <c r="F16" i="3" s="1"/>
  <c r="E17" i="3"/>
  <c r="F17" i="3" s="1"/>
  <c r="E18" i="3"/>
  <c r="F18" i="3" s="1"/>
  <c r="E19" i="3"/>
  <c r="F19" i="3" s="1"/>
  <c r="E20" i="3"/>
  <c r="F20" i="3" s="1"/>
  <c r="E21" i="3"/>
  <c r="F21" i="3" s="1"/>
  <c r="E22" i="3"/>
  <c r="F22" i="3" s="1"/>
  <c r="E23" i="3"/>
  <c r="F23" i="3" s="1"/>
  <c r="E24" i="3"/>
  <c r="F24" i="3" s="1"/>
  <c r="E25" i="3"/>
  <c r="F25" i="3" s="1"/>
  <c r="E26" i="3"/>
  <c r="F26" i="3" s="1"/>
  <c r="E27" i="3"/>
  <c r="F27" i="3" s="1"/>
  <c r="E28" i="3"/>
  <c r="F28" i="3" s="1"/>
  <c r="E29" i="3"/>
  <c r="F29" i="3" s="1"/>
  <c r="E30" i="3"/>
  <c r="F30" i="3" s="1"/>
  <c r="E31" i="3"/>
  <c r="F31" i="3" s="1"/>
  <c r="E32" i="3"/>
  <c r="F32" i="3" s="1"/>
  <c r="E33" i="3"/>
  <c r="F33" i="3" s="1"/>
  <c r="E34" i="3"/>
  <c r="F34" i="3" s="1"/>
  <c r="E35" i="3"/>
  <c r="F35" i="3" s="1"/>
  <c r="E36" i="3"/>
  <c r="F36" i="3" s="1"/>
  <c r="E37" i="3"/>
  <c r="F37" i="3" s="1"/>
  <c r="E38" i="3"/>
  <c r="F38" i="3" s="1"/>
  <c r="E39" i="3"/>
  <c r="F39" i="3" s="1"/>
  <c r="E40" i="3"/>
  <c r="F40" i="3" s="1"/>
  <c r="E41" i="3"/>
  <c r="F41" i="3" s="1"/>
  <c r="E42" i="3"/>
  <c r="F42" i="3" s="1"/>
  <c r="E43" i="3"/>
  <c r="F43" i="3" s="1"/>
  <c r="E44" i="3"/>
  <c r="F44" i="3" s="1"/>
  <c r="E45" i="3"/>
  <c r="F45" i="3" s="1"/>
  <c r="E46" i="3"/>
  <c r="F46" i="3" s="1"/>
  <c r="E47" i="3"/>
  <c r="F47" i="3" s="1"/>
  <c r="E48" i="3"/>
  <c r="F48" i="3" s="1"/>
  <c r="E49" i="3"/>
  <c r="F49" i="3" s="1"/>
  <c r="E50" i="3"/>
  <c r="F50" i="3" s="1"/>
  <c r="E51" i="3"/>
  <c r="F51" i="3" s="1"/>
  <c r="E52" i="3"/>
  <c r="F52" i="3" s="1"/>
  <c r="E53" i="3"/>
  <c r="F53" i="3" s="1"/>
  <c r="E54" i="3"/>
  <c r="F54" i="3" s="1"/>
  <c r="E55" i="3"/>
  <c r="F55" i="3" s="1"/>
  <c r="E56" i="3"/>
  <c r="F56" i="3" s="1"/>
  <c r="E57" i="3"/>
  <c r="F57" i="3" s="1"/>
  <c r="E58" i="3"/>
  <c r="F58" i="3" s="1"/>
  <c r="E59" i="3"/>
  <c r="F59" i="3" s="1"/>
  <c r="E60" i="3"/>
  <c r="F60" i="3" s="1"/>
  <c r="E61" i="3"/>
  <c r="F61" i="3" s="1"/>
  <c r="E62" i="3"/>
  <c r="F62" i="3" s="1"/>
  <c r="E63" i="3"/>
  <c r="F63" i="3" s="1"/>
  <c r="E64" i="3"/>
  <c r="F64" i="3" s="1"/>
  <c r="E65" i="3"/>
  <c r="F65" i="3" s="1"/>
  <c r="E66" i="3"/>
  <c r="F66" i="3" s="1"/>
  <c r="E67" i="3"/>
  <c r="F67" i="3" s="1"/>
  <c r="E68" i="3"/>
  <c r="F68" i="3" s="1"/>
  <c r="E69" i="3"/>
  <c r="F69" i="3" s="1"/>
  <c r="E70" i="3"/>
  <c r="F70" i="3" s="1"/>
  <c r="E71" i="3"/>
  <c r="F71" i="3" s="1"/>
  <c r="E72" i="3"/>
  <c r="F72" i="3" s="1"/>
  <c r="E73" i="3"/>
  <c r="F73" i="3" s="1"/>
  <c r="E74" i="3"/>
  <c r="F74" i="3" s="1"/>
  <c r="E75" i="3"/>
  <c r="F75" i="3" s="1"/>
  <c r="E76" i="3"/>
  <c r="F76" i="3" s="1"/>
  <c r="E77" i="3"/>
  <c r="F77" i="3" s="1"/>
  <c r="E78" i="3"/>
  <c r="F78" i="3" s="1"/>
  <c r="E79" i="3"/>
  <c r="F79" i="3" s="1"/>
  <c r="E80" i="3"/>
  <c r="F80" i="3" s="1"/>
  <c r="E81" i="3"/>
  <c r="F81" i="3" s="1"/>
  <c r="E82" i="3"/>
  <c r="F82" i="3" s="1"/>
  <c r="E83" i="3"/>
  <c r="F83" i="3" s="1"/>
  <c r="E84" i="3"/>
  <c r="F84" i="3" s="1"/>
  <c r="E85" i="3"/>
  <c r="F85" i="3" s="1"/>
  <c r="E86" i="3"/>
  <c r="F86" i="3" s="1"/>
  <c r="E87" i="3"/>
  <c r="F87" i="3" s="1"/>
  <c r="E88" i="3"/>
  <c r="F88" i="3" s="1"/>
  <c r="E89" i="3"/>
  <c r="F89" i="3" s="1"/>
  <c r="E90" i="3"/>
  <c r="F90" i="3" s="1"/>
  <c r="E91" i="3"/>
  <c r="F91" i="3" s="1"/>
  <c r="E92" i="3"/>
  <c r="F92" i="3" s="1"/>
  <c r="E93" i="3"/>
  <c r="F93" i="3" s="1"/>
  <c r="E94" i="3"/>
  <c r="F94" i="3" s="1"/>
  <c r="E95" i="3"/>
  <c r="F95" i="3" s="1"/>
  <c r="E96" i="3"/>
  <c r="F96" i="3" s="1"/>
  <c r="E97" i="3"/>
  <c r="F97" i="3" s="1"/>
  <c r="E98" i="3"/>
  <c r="F98" i="3" s="1"/>
  <c r="E99" i="3"/>
  <c r="F99" i="3" s="1"/>
  <c r="E100" i="3"/>
  <c r="F100" i="3" s="1"/>
  <c r="E101" i="3"/>
  <c r="F101" i="3" s="1"/>
  <c r="G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K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J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I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</calcChain>
</file>

<file path=xl/sharedStrings.xml><?xml version="1.0" encoding="utf-8"?>
<sst xmlns="http://schemas.openxmlformats.org/spreadsheetml/2006/main" count="1464" uniqueCount="208">
  <si>
    <t>Using the data in the next Sheet, do the following:</t>
  </si>
  <si>
    <t>1. Apply basic formatting:</t>
  </si>
  <si>
    <t>Bold the headers</t>
  </si>
  <si>
    <t>Add borders to the table</t>
  </si>
  <si>
    <t>Apply background color to header row</t>
  </si>
  <si>
    <t>Format the Monthly Salary column as Currency</t>
  </si>
  <si>
    <t>2. Text Functions</t>
  </si>
  <si>
    <t>Using your data perform the following:</t>
  </si>
  <si>
    <t>Extract the first name and last name from the Full Name column using appropriate text functions.</t>
  </si>
  <si>
    <t>Create a column that shows the email address for each employee in this format:</t>
  </si>
  <si>
    <t>firstname.lastname@dame.com</t>
  </si>
  <si>
    <t>Create a column that shows the length of each full name.</t>
  </si>
  <si>
    <t>Convert the department name to:</t>
  </si>
  <si>
    <t>All uppercase (UPPER)</t>
  </si>
  <si>
    <t>All lowercase (LOWER)</t>
  </si>
  <si>
    <t>Proper case (PROPER)</t>
  </si>
  <si>
    <t>Remove any extra spaces in names using the TRIM function.</t>
  </si>
  <si>
    <t>3. Aggregate functions</t>
  </si>
  <si>
    <t>Basic Aggregations</t>
  </si>
  <si>
    <t>- Find:</t>
  </si>
  <si>
    <t>Total Salary using SUM</t>
  </si>
  <si>
    <t>Average Salary using AVERAGE</t>
  </si>
  <si>
    <t>Total number of employees using COUNTA</t>
  </si>
  <si>
    <t>- Calculate:</t>
  </si>
  <si>
    <t>Total Salary for only Sales Department using SUMIF</t>
  </si>
  <si>
    <t>Average Salary for only HR Department using AVERAGEIF</t>
  </si>
  <si>
    <t>Total Salary for Lagos employees with more than 3 years of experience using SUMIFS</t>
  </si>
  <si>
    <t>Average Salary for Female employees in Lagos using AVERAGEIFS</t>
  </si>
  <si>
    <t>Count the number of Male employees in Lagos using COUNTIFS</t>
  </si>
  <si>
    <t>Find the Maximum Salary for employees in IT Department using MAXIFS</t>
  </si>
  <si>
    <t>Submit here: https://docs.google.com/forms/d/e/1FAIpQLSdEbOUnU_utobg8VrqhWE_5evECR14JXcRQZdua7xE3p-2ZFQ/viewform?usp=header</t>
  </si>
  <si>
    <t>Employee ID</t>
  </si>
  <si>
    <t>Full Name</t>
  </si>
  <si>
    <t>Department</t>
  </si>
  <si>
    <t>Job Title</t>
  </si>
  <si>
    <t>Gender</t>
  </si>
  <si>
    <t>Salary</t>
  </si>
  <si>
    <t>Experience (Years)</t>
  </si>
  <si>
    <t>City</t>
  </si>
  <si>
    <t>E001</t>
  </si>
  <si>
    <t>Sade Bassey</t>
  </si>
  <si>
    <t>IT</t>
  </si>
  <si>
    <t>System Admin</t>
  </si>
  <si>
    <t>Female</t>
  </si>
  <si>
    <t>Port Harcourt</t>
  </si>
  <si>
    <t>E002</t>
  </si>
  <si>
    <t>Marketing</t>
  </si>
  <si>
    <t>Recruiter</t>
  </si>
  <si>
    <t>Male</t>
  </si>
  <si>
    <t>Ibadan</t>
  </si>
  <si>
    <t>E003</t>
  </si>
  <si>
    <t>Faith Udo</t>
  </si>
  <si>
    <t>Sales</t>
  </si>
  <si>
    <t>E004</t>
  </si>
  <si>
    <t>Finance</t>
  </si>
  <si>
    <t>Sales Executive</t>
  </si>
  <si>
    <t>Kano</t>
  </si>
  <si>
    <t>E005</t>
  </si>
  <si>
    <t>Ibrahim Musa</t>
  </si>
  <si>
    <t>Lagos</t>
  </si>
  <si>
    <t>E006</t>
  </si>
  <si>
    <t>Tunde Salisu</t>
  </si>
  <si>
    <t>Auditor</t>
  </si>
  <si>
    <t>E007</t>
  </si>
  <si>
    <t>James Obi</t>
  </si>
  <si>
    <t>E008</t>
  </si>
  <si>
    <t>Abuja</t>
  </si>
  <si>
    <t>E009</t>
  </si>
  <si>
    <t>HR Manager</t>
  </si>
  <si>
    <t>E010</t>
  </si>
  <si>
    <t>Tope Ade</t>
  </si>
  <si>
    <t>HR</t>
  </si>
  <si>
    <t>E011</t>
  </si>
  <si>
    <t>Sales Manager</t>
  </si>
  <si>
    <t>E012</t>
  </si>
  <si>
    <t>Chika Umeh</t>
  </si>
  <si>
    <t>Software Engineer</t>
  </si>
  <si>
    <t>E013</t>
  </si>
  <si>
    <t>E014</t>
  </si>
  <si>
    <t>Marketing Officer</t>
  </si>
  <si>
    <t>E015</t>
  </si>
  <si>
    <t>E016</t>
  </si>
  <si>
    <t>E017</t>
  </si>
  <si>
    <t>E018</t>
  </si>
  <si>
    <t>E019</t>
  </si>
  <si>
    <t>Maria Okafor</t>
  </si>
  <si>
    <t>E020</t>
  </si>
  <si>
    <t>Accountant</t>
  </si>
  <si>
    <t>E021</t>
  </si>
  <si>
    <t>E022</t>
  </si>
  <si>
    <t>Data Analyst</t>
  </si>
  <si>
    <t>E023</t>
  </si>
  <si>
    <t>E024</t>
  </si>
  <si>
    <t>E025</t>
  </si>
  <si>
    <t>Ngozi Bello</t>
  </si>
  <si>
    <t>E026</t>
  </si>
  <si>
    <t>E027</t>
  </si>
  <si>
    <t>E028</t>
  </si>
  <si>
    <t>E029</t>
  </si>
  <si>
    <t>E030</t>
  </si>
  <si>
    <t>E031</t>
  </si>
  <si>
    <t>E032</t>
  </si>
  <si>
    <t>E033</t>
  </si>
  <si>
    <t>E034</t>
  </si>
  <si>
    <t>E035</t>
  </si>
  <si>
    <t>E036</t>
  </si>
  <si>
    <t>E037</t>
  </si>
  <si>
    <t>E038</t>
  </si>
  <si>
    <t>E039</t>
  </si>
  <si>
    <t>E040</t>
  </si>
  <si>
    <t>E041</t>
  </si>
  <si>
    <t>E042</t>
  </si>
  <si>
    <t>E043</t>
  </si>
  <si>
    <t>E044</t>
  </si>
  <si>
    <t>E045</t>
  </si>
  <si>
    <t>E046</t>
  </si>
  <si>
    <t>E047</t>
  </si>
  <si>
    <t>E048</t>
  </si>
  <si>
    <t>Emeka John</t>
  </si>
  <si>
    <t>E049</t>
  </si>
  <si>
    <t>E050</t>
  </si>
  <si>
    <t>E051</t>
  </si>
  <si>
    <t>E052</t>
  </si>
  <si>
    <t>E053</t>
  </si>
  <si>
    <t>E054</t>
  </si>
  <si>
    <t>E055</t>
  </si>
  <si>
    <t>E056</t>
  </si>
  <si>
    <t>E057</t>
  </si>
  <si>
    <t>E058</t>
  </si>
  <si>
    <t>E059</t>
  </si>
  <si>
    <t>E060</t>
  </si>
  <si>
    <t>E061</t>
  </si>
  <si>
    <t>E062</t>
  </si>
  <si>
    <t>E063</t>
  </si>
  <si>
    <t>E064</t>
  </si>
  <si>
    <t>E065</t>
  </si>
  <si>
    <t>E066</t>
  </si>
  <si>
    <t>E067</t>
  </si>
  <si>
    <t>E068</t>
  </si>
  <si>
    <t>E069</t>
  </si>
  <si>
    <t>E070</t>
  </si>
  <si>
    <t>E071</t>
  </si>
  <si>
    <t>E072</t>
  </si>
  <si>
    <t>E073</t>
  </si>
  <si>
    <t>E074</t>
  </si>
  <si>
    <t>E075</t>
  </si>
  <si>
    <t>E076</t>
  </si>
  <si>
    <t>E077</t>
  </si>
  <si>
    <t>E078</t>
  </si>
  <si>
    <t>E079</t>
  </si>
  <si>
    <t>E080</t>
  </si>
  <si>
    <t>E081</t>
  </si>
  <si>
    <t>E082</t>
  </si>
  <si>
    <t>E083</t>
  </si>
  <si>
    <t>E084</t>
  </si>
  <si>
    <t>E085</t>
  </si>
  <si>
    <t>E086</t>
  </si>
  <si>
    <t>E087</t>
  </si>
  <si>
    <t>E088</t>
  </si>
  <si>
    <t>E089</t>
  </si>
  <si>
    <t>E090</t>
  </si>
  <si>
    <t>E091</t>
  </si>
  <si>
    <t>E092</t>
  </si>
  <si>
    <t>E093</t>
  </si>
  <si>
    <t>E094</t>
  </si>
  <si>
    <t>E095</t>
  </si>
  <si>
    <t>E096</t>
  </si>
  <si>
    <t>E097</t>
  </si>
  <si>
    <t>E098</t>
  </si>
  <si>
    <t>E099</t>
  </si>
  <si>
    <t>E100</t>
  </si>
  <si>
    <t>First Name</t>
  </si>
  <si>
    <t>Last Name</t>
  </si>
  <si>
    <t>Sade</t>
  </si>
  <si>
    <t>Bassey</t>
  </si>
  <si>
    <t>Faith</t>
  </si>
  <si>
    <t>Udo</t>
  </si>
  <si>
    <t>Ibrahim</t>
  </si>
  <si>
    <t>Musa</t>
  </si>
  <si>
    <t>Tunde</t>
  </si>
  <si>
    <t>Salisu</t>
  </si>
  <si>
    <t>James</t>
  </si>
  <si>
    <t>Obi</t>
  </si>
  <si>
    <t>Tope</t>
  </si>
  <si>
    <t>Ade</t>
  </si>
  <si>
    <t>Chika</t>
  </si>
  <si>
    <t>Umeh</t>
  </si>
  <si>
    <t>Maria</t>
  </si>
  <si>
    <t>Okafor</t>
  </si>
  <si>
    <t>Ngozi</t>
  </si>
  <si>
    <t>Bello</t>
  </si>
  <si>
    <t>Emeka</t>
  </si>
  <si>
    <t>John</t>
  </si>
  <si>
    <t>Email</t>
  </si>
  <si>
    <t>Upper</t>
  </si>
  <si>
    <t>Lower</t>
  </si>
  <si>
    <t>Proper</t>
  </si>
  <si>
    <t>Full Name2</t>
  </si>
  <si>
    <t>Len</t>
  </si>
  <si>
    <t>COUNTA</t>
  </si>
  <si>
    <t>SUM</t>
  </si>
  <si>
    <t>AVERAGE</t>
  </si>
  <si>
    <t>SUMIF</t>
  </si>
  <si>
    <t>AVERAGEIF</t>
  </si>
  <si>
    <t>SUMIFS</t>
  </si>
  <si>
    <t>AVERAGEIFS</t>
  </si>
  <si>
    <t>COUNTIFS</t>
  </si>
  <si>
    <t>MAXIFS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</si>
</sst>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₦-46A]#,##0.00"/>
  </numFmts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top"/>
    </xf>
    <xf numFmtId="0" fontId="2" fillId="2" borderId="4" xfId="0" applyFont="1" applyFill="1" applyBorder="1" applyAlignment="1">
      <alignment horizontal="center" vertical="top"/>
    </xf>
    <xf numFmtId="0" fontId="2" fillId="2" borderId="3" xfId="0" applyFont="1" applyFill="1" applyBorder="1" applyAlignment="1">
      <alignment horizontal="center" vertical="top"/>
    </xf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1" xfId="0" applyBorder="1"/>
    <xf numFmtId="0" fontId="0" fillId="0" borderId="9" xfId="0" applyBorder="1"/>
    <xf numFmtId="0" fontId="0" fillId="0" borderId="10" xfId="0" applyBorder="1"/>
    <xf numFmtId="164" fontId="2" fillId="2" borderId="2" xfId="0" applyNumberFormat="1" applyFont="1" applyFill="1" applyBorder="1" applyAlignment="1">
      <alignment horizontal="center" vertical="top"/>
    </xf>
    <xf numFmtId="164" fontId="0" fillId="0" borderId="1" xfId="0" applyNumberFormat="1" applyBorder="1"/>
    <xf numFmtId="164" fontId="0" fillId="0" borderId="10" xfId="0" applyNumberFormat="1" applyBorder="1"/>
    <xf numFmtId="164" fontId="0" fillId="0" borderId="0" xfId="0" applyNumberFormat="1"/>
    <xf numFmtId="0" fontId="1" fillId="0" borderId="0" xfId="0" applyFont="1"/>
    <xf numFmtId="164" fontId="0" fillId="0" borderId="6" xfId="0" applyNumberFormat="1" applyBorder="1"/>
    <xf numFmtId="0" fontId="2" fillId="2" borderId="4" xfId="0" applyFont="1" applyFill="1" applyBorder="1"/>
    <xf numFmtId="164" fontId="2" fillId="2" borderId="2" xfId="0" applyNumberFormat="1" applyFont="1" applyFill="1" applyBorder="1"/>
    <xf numFmtId="0" fontId="2" fillId="2" borderId="3" xfId="0" applyNumberFormat="1" applyFont="1" applyFill="1" applyBorder="1"/>
    <xf numFmtId="0" fontId="0" fillId="0" borderId="5" xfId="0" applyNumberFormat="1" applyBorder="1"/>
    <xf numFmtId="0" fontId="2" fillId="2" borderId="7" xfId="0" applyFont="1" applyFill="1" applyBorder="1"/>
    <xf numFmtId="164" fontId="2" fillId="2" borderId="7" xfId="0" applyNumberFormat="1" applyFont="1" applyFill="1" applyBorder="1"/>
    <xf numFmtId="164" fontId="1" fillId="0" borderId="0" xfId="0" applyNumberFormat="1" applyFont="1"/>
    <xf numFmtId="0" fontId="4" fillId="2" borderId="7" xfId="0" applyFont="1" applyFill="1" applyBorder="1"/>
    <xf numFmtId="0" fontId="0" fillId="0" borderId="0" xfId="0" applyNumberFormat="1"/>
  </cellXfs>
  <cellStyles count="1">
    <cellStyle name="Normal" xfId="0" builtinId="0"/>
  </cellStyles>
  <dxfs count="49">
    <dxf>
      <numFmt numFmtId="164" formatCode="[$₦-46A]#,##0.00"/>
    </dxf>
    <dxf>
      <numFmt numFmtId="0" formatCode="General"/>
    </dxf>
    <dxf>
      <numFmt numFmtId="164" formatCode="[$₦-46A]#,##0.00"/>
    </dxf>
    <dxf>
      <numFmt numFmtId="164" formatCode="[$₦-46A]#,##0.00"/>
    </dxf>
    <dxf>
      <numFmt numFmtId="164" formatCode="[$₦-46A]#,##0.00"/>
    </dxf>
    <dxf>
      <numFmt numFmtId="164" formatCode="[$₦-46A]#,##0.00"/>
    </dxf>
    <dxf>
      <numFmt numFmtId="0" formatCode="General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numFmt numFmtId="164" formatCode="[$₦-46A]#,##0.0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/>
      </border>
    </dxf>
    <dxf>
      <numFmt numFmtId="164" formatCode="[$₦-46A]#,##0.00"/>
      <border diagonalUp="0" diagonalDown="0">
        <left/>
        <right style="thin">
          <color auto="1"/>
        </right>
        <top style="thin">
          <color auto="1"/>
        </top>
        <bottom/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auto="1"/>
        </bottom>
      </border>
    </dxf>
    <dxf>
      <font>
        <b/>
      </font>
      <fill>
        <patternFill patternType="solid">
          <fgColor indexed="64"/>
          <bgColor rgb="FFFFC000"/>
        </patternFill>
      </fill>
    </dxf>
    <dxf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[$₦-46A]#,##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[$₦-46A]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/>
        <right style="thin">
          <color auto="1"/>
        </right>
        <top style="thin">
          <color auto="1"/>
        </top>
        <bottom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C000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0DE3D0-D619-4263-BE84-02B0DA00B753}" name="Table1" displayName="Table1" ref="A1:P101" totalsRowShown="0" headerRowDxfId="48" headerRowBorderDxfId="47" tableBorderDxfId="46" totalsRowBorderDxfId="45">
  <autoFilter ref="A1:P101" xr:uid="{EA0DE3D0-D619-4263-BE84-02B0DA00B753}"/>
  <tableColumns count="16">
    <tableColumn id="1" xr3:uid="{12EFC036-3EAD-4693-98BA-184D8B05CDC7}" name="Employee ID" dataDxfId="44" totalsRowDxfId="43"/>
    <tableColumn id="14" xr3:uid="{D59AB4A1-127D-414E-B3FA-D8BDB97E1356}" name="Full Name" dataDxfId="42" totalsRowDxfId="41"/>
    <tableColumn id="2" xr3:uid="{6FC5CE46-0A4B-4A2E-A262-76E989C20292}" name="First Name" dataDxfId="40" totalsRowDxfId="39"/>
    <tableColumn id="3" xr3:uid="{F4B5C7F9-D5CE-43A9-B6C9-3093907A3ADC}" name="Last Name" dataDxfId="38" totalsRowDxfId="37"/>
    <tableColumn id="19" xr3:uid="{38993A45-FEF3-4766-80FF-D822D55E5BE3}" name="Full Name2" dataDxfId="36" totalsRowDxfId="35">
      <calculatedColumnFormula>_xlfn.CONCAT(Table1[[#This Row],[First Name]]," ",Table1[[#This Row],[Last Name]])</calculatedColumnFormula>
    </tableColumn>
    <tableColumn id="20" xr3:uid="{111A2F5F-1597-4DCE-9737-BB73A488CD6D}" name="Len" dataDxfId="34" totalsRowDxfId="33">
      <calculatedColumnFormula>LEN(Table1[[#This Row],[Full Name2]])</calculatedColumnFormula>
    </tableColumn>
    <tableColumn id="15" xr3:uid="{AA238A83-EAAA-4C68-9D7A-081C95ED1122}" name="Email" dataDxfId="32" totalsRowDxfId="31">
      <calculatedColumnFormula>LOWER(Table1[[#This Row],[First Name]]&amp; "."&amp;Table1[[#This Row],[Last Name]]&amp;"@dame.com")</calculatedColumnFormula>
    </tableColumn>
    <tableColumn id="12" xr3:uid="{923063C7-5418-4B96-8345-EC4E5758E9C4}" name="Department" dataDxfId="30" totalsRowDxfId="29"/>
    <tableColumn id="16" xr3:uid="{F47F7AF9-0DF4-469D-BC90-37E35ECA3CDE}" name="Upper" dataDxfId="28" totalsRowDxfId="27">
      <calculatedColumnFormula>UPPER(Table1[[#This Row],[Department]])</calculatedColumnFormula>
    </tableColumn>
    <tableColumn id="17" xr3:uid="{024B12A5-1870-443E-9CC1-4B76722E2F27}" name="Lower" dataDxfId="26" totalsRowDxfId="25">
      <calculatedColumnFormula>LOWER(Table1[[#This Row],[Department]])</calculatedColumnFormula>
    </tableColumn>
    <tableColumn id="18" xr3:uid="{39E9AA5E-AD04-4DF9-8C53-27987583823E}" name="Proper" dataDxfId="24" totalsRowDxfId="23">
      <calculatedColumnFormula>PROPER(Table1[[#This Row],[Department]])</calculatedColumnFormula>
    </tableColumn>
    <tableColumn id="4" xr3:uid="{28613CB8-7667-456C-AD70-3A7184E221A2}" name="Job Title" dataDxfId="22" totalsRowDxfId="21"/>
    <tableColumn id="5" xr3:uid="{9EDFD92D-A5F0-42F8-83AD-EB61452D1337}" name="Gender" dataDxfId="20" totalsRowDxfId="19"/>
    <tableColumn id="6" xr3:uid="{E53B6B8A-68AE-447B-BA58-EBA6022D42AC}" name="Salary" dataDxfId="18" totalsRowDxfId="17"/>
    <tableColumn id="7" xr3:uid="{221B675F-279B-4AD5-8B1D-45E5774523A5}" name="Experience (Years)" dataDxfId="16" totalsRowDxfId="15"/>
    <tableColumn id="8" xr3:uid="{1F8864C8-0032-44DD-9B37-8CA540FEF7D4}" name="City" dataDxfId="14" totalsRow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A6B707C-2FE7-4A5D-B118-4C14D24AA1A0}" name="Table2" displayName="Table2" ref="B104:J105" totalsRowShown="0" headerRowDxfId="12" headerRowBorderDxfId="11" tableBorderDxfId="10" totalsRowBorderDxfId="9">
  <autoFilter ref="B104:J105" xr:uid="{FA6B707C-2FE7-4A5D-B118-4C14D24AA1A0}"/>
  <tableColumns count="9">
    <tableColumn id="1" xr3:uid="{ECFDD9A9-C282-45DA-92FD-97D2C1DBBCBF}" name="SUM" dataDxfId="8">
      <calculatedColumnFormula>SUM(Table1[Salary])</calculatedColumnFormula>
    </tableColumn>
    <tableColumn id="2" xr3:uid="{71B076E5-2A0E-4653-9A3E-376E960B1F6D}" name="AVERAGE" dataDxfId="7">
      <calculatedColumnFormula>AVERAGE(Table1[Salary])</calculatedColumnFormula>
    </tableColumn>
    <tableColumn id="3" xr3:uid="{F7E939CE-A702-49D9-9CD3-E8B497A9AB28}" name="COUNTA" dataDxfId="6">
      <calculatedColumnFormula>COUNTA(Table1[Full Name2])</calculatedColumnFormula>
    </tableColumn>
    <tableColumn id="5" xr3:uid="{359E77EE-99D1-4582-8760-F82551E359A0}" name="SUMIF" dataDxfId="5">
      <calculatedColumnFormula>SUMIF(Table1[Department],"Sales",Table1[Salary])</calculatedColumnFormula>
    </tableColumn>
    <tableColumn id="6" xr3:uid="{1767C1C4-6168-460D-A44C-2A00296C54ED}" name="AVERAGEIF" dataDxfId="4">
      <calculatedColumnFormula>AVERAGEIF(Table1[Department],"HR",Table1[Salary])</calculatedColumnFormula>
    </tableColumn>
    <tableColumn id="7" xr3:uid="{399BA4C8-B87C-4D84-8533-5E4D02B2B701}" name="SUMIFS" dataDxfId="3">
      <calculatedColumnFormula>SUMIFS(N2:N101,P2:P101,"Lagos",O2:O101,"&gt;3")</calculatedColumnFormula>
    </tableColumn>
    <tableColumn id="8" xr3:uid="{4EC01224-BE08-492B-B155-878668E24309}" name="AVERAGEIFS" dataDxfId="2">
      <calculatedColumnFormula>AVERAGEIFS(Table1[Salary],Table1[Gender],"Female",Table1[City],"Lagos")</calculatedColumnFormula>
    </tableColumn>
    <tableColumn id="9" xr3:uid="{2F389C00-2A72-48D5-85AB-95592DC576D8}" name="COUNTIFS" dataDxfId="1">
      <calculatedColumnFormula>COUNTIFS(Table1[Gender],"Male",P2:P101,"Lagos")</calculatedColumnFormula>
    </tableColumn>
    <tableColumn id="10" xr3:uid="{2B036797-CAE3-4F91-A926-E59FF0F11BEC}" name="MAXIFS" dataDxfId="0">
      <calculatedColumnFormula>_xlfn.MAXIFS(N2:N101,H2:H101,"IT")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4"/>
  <sheetViews>
    <sheetView tabSelected="1" topLeftCell="A46" workbookViewId="0">
      <selection activeCell="A64" sqref="A64"/>
    </sheetView>
  </sheetViews>
  <sheetFormatPr defaultColWidth="9" defaultRowHeight="15"/>
  <cols>
    <col min="1" max="1" width="127" customWidth="1"/>
  </cols>
  <sheetData>
    <row r="1" spans="1:1">
      <c r="A1" t="s">
        <v>0</v>
      </c>
    </row>
    <row r="3" spans="1:1">
      <c r="A3" t="s">
        <v>1</v>
      </c>
    </row>
    <row r="5" spans="1:1">
      <c r="A5" t="s">
        <v>2</v>
      </c>
    </row>
    <row r="7" spans="1:1">
      <c r="A7" t="s">
        <v>3</v>
      </c>
    </row>
    <row r="9" spans="1:1">
      <c r="A9" t="s">
        <v>4</v>
      </c>
    </row>
    <row r="11" spans="1:1">
      <c r="A11" t="s">
        <v>5</v>
      </c>
    </row>
    <row r="13" spans="1:1">
      <c r="A13" t="s">
        <v>6</v>
      </c>
    </row>
    <row r="15" spans="1:1">
      <c r="A15" t="s">
        <v>7</v>
      </c>
    </row>
    <row r="17" spans="1:1">
      <c r="A17" t="s">
        <v>8</v>
      </c>
    </row>
    <row r="19" spans="1:1">
      <c r="A19" t="s">
        <v>9</v>
      </c>
    </row>
    <row r="20" spans="1:1">
      <c r="A20" t="s">
        <v>10</v>
      </c>
    </row>
    <row r="22" spans="1:1">
      <c r="A22" t="s">
        <v>11</v>
      </c>
    </row>
    <row r="24" spans="1:1">
      <c r="A24" t="s">
        <v>12</v>
      </c>
    </row>
    <row r="26" spans="1:1">
      <c r="A26" t="s">
        <v>13</v>
      </c>
    </row>
    <row r="28" spans="1:1">
      <c r="A28" t="s">
        <v>14</v>
      </c>
    </row>
    <row r="30" spans="1:1">
      <c r="A30" t="s">
        <v>15</v>
      </c>
    </row>
    <row r="32" spans="1:1">
      <c r="A32" t="s">
        <v>16</v>
      </c>
    </row>
    <row r="35" spans="1:1">
      <c r="A35" t="s">
        <v>17</v>
      </c>
    </row>
    <row r="37" spans="1:1">
      <c r="A37" t="s">
        <v>18</v>
      </c>
    </row>
    <row r="39" spans="1:1">
      <c r="A39" t="s">
        <v>19</v>
      </c>
    </row>
    <row r="41" spans="1:1">
      <c r="A41" t="s">
        <v>20</v>
      </c>
    </row>
    <row r="43" spans="1:1">
      <c r="A43" t="s">
        <v>21</v>
      </c>
    </row>
    <row r="45" spans="1:1">
      <c r="A45" t="s">
        <v>22</v>
      </c>
    </row>
    <row r="48" spans="1:1">
      <c r="A48" t="s">
        <v>23</v>
      </c>
    </row>
    <row r="50" spans="1:1">
      <c r="A50" t="s">
        <v>24</v>
      </c>
    </row>
    <row r="52" spans="1:1">
      <c r="A52" s="15" t="s">
        <v>25</v>
      </c>
    </row>
    <row r="54" spans="1:1">
      <c r="A54" s="15" t="s">
        <v>26</v>
      </c>
    </row>
    <row r="56" spans="1:1">
      <c r="A56" t="s">
        <v>27</v>
      </c>
    </row>
    <row r="58" spans="1:1">
      <c r="A58" t="s">
        <v>28</v>
      </c>
    </row>
    <row r="60" spans="1:1">
      <c r="A60" t="s">
        <v>29</v>
      </c>
    </row>
    <row r="64" spans="1:1">
      <c r="A64" t="s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1"/>
  <sheetViews>
    <sheetView topLeftCell="A80" workbookViewId="0">
      <selection activeCell="B2" sqref="B2:B101"/>
    </sheetView>
  </sheetViews>
  <sheetFormatPr defaultColWidth="9" defaultRowHeight="15"/>
  <sheetData>
    <row r="1" spans="1:8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</row>
    <row r="2" spans="1:8">
      <c r="A2" t="s">
        <v>39</v>
      </c>
      <c r="B2" t="s">
        <v>40</v>
      </c>
      <c r="C2" t="s">
        <v>41</v>
      </c>
      <c r="D2" t="s">
        <v>42</v>
      </c>
      <c r="E2" t="s">
        <v>43</v>
      </c>
      <c r="F2">
        <v>400712</v>
      </c>
      <c r="G2">
        <v>4</v>
      </c>
      <c r="H2" t="s">
        <v>44</v>
      </c>
    </row>
    <row r="3" spans="1:8">
      <c r="A3" t="s">
        <v>45</v>
      </c>
      <c r="B3" t="s">
        <v>40</v>
      </c>
      <c r="C3" t="s">
        <v>46</v>
      </c>
      <c r="D3" t="s">
        <v>47</v>
      </c>
      <c r="E3" t="s">
        <v>48</v>
      </c>
      <c r="F3">
        <v>200754</v>
      </c>
      <c r="G3">
        <v>10</v>
      </c>
      <c r="H3" t="s">
        <v>49</v>
      </c>
    </row>
    <row r="4" spans="1:8">
      <c r="A4" t="s">
        <v>50</v>
      </c>
      <c r="B4" t="s">
        <v>51</v>
      </c>
      <c r="C4" t="s">
        <v>52</v>
      </c>
      <c r="D4" t="s">
        <v>47</v>
      </c>
      <c r="E4" t="s">
        <v>43</v>
      </c>
      <c r="F4">
        <v>457735</v>
      </c>
      <c r="G4">
        <v>3</v>
      </c>
      <c r="H4" t="s">
        <v>44</v>
      </c>
    </row>
    <row r="5" spans="1:8">
      <c r="A5" t="s">
        <v>53</v>
      </c>
      <c r="B5" t="s">
        <v>40</v>
      </c>
      <c r="C5" t="s">
        <v>54</v>
      </c>
      <c r="D5" t="s">
        <v>55</v>
      </c>
      <c r="E5" t="s">
        <v>43</v>
      </c>
      <c r="F5">
        <v>337091</v>
      </c>
      <c r="G5">
        <v>2</v>
      </c>
      <c r="H5" t="s">
        <v>56</v>
      </c>
    </row>
    <row r="6" spans="1:8">
      <c r="A6" t="s">
        <v>57</v>
      </c>
      <c r="B6" t="s">
        <v>58</v>
      </c>
      <c r="C6" t="s">
        <v>41</v>
      </c>
      <c r="D6" t="s">
        <v>47</v>
      </c>
      <c r="E6" t="s">
        <v>48</v>
      </c>
      <c r="F6">
        <v>436492</v>
      </c>
      <c r="G6">
        <v>5</v>
      </c>
      <c r="H6" t="s">
        <v>59</v>
      </c>
    </row>
    <row r="7" spans="1:8">
      <c r="A7" t="s">
        <v>60</v>
      </c>
      <c r="B7" t="s">
        <v>61</v>
      </c>
      <c r="C7" t="s">
        <v>41</v>
      </c>
      <c r="D7" t="s">
        <v>62</v>
      </c>
      <c r="E7" t="s">
        <v>43</v>
      </c>
      <c r="F7">
        <v>404484</v>
      </c>
      <c r="G7">
        <v>10</v>
      </c>
      <c r="H7" t="s">
        <v>56</v>
      </c>
    </row>
    <row r="8" spans="1:8">
      <c r="A8" t="s">
        <v>63</v>
      </c>
      <c r="B8" t="s">
        <v>64</v>
      </c>
      <c r="C8" t="s">
        <v>41</v>
      </c>
      <c r="D8" t="s">
        <v>42</v>
      </c>
      <c r="E8" t="s">
        <v>43</v>
      </c>
      <c r="F8">
        <v>450806</v>
      </c>
      <c r="G8">
        <v>3</v>
      </c>
      <c r="H8" t="s">
        <v>49</v>
      </c>
    </row>
    <row r="9" spans="1:8">
      <c r="A9" t="s">
        <v>65</v>
      </c>
      <c r="B9" t="s">
        <v>58</v>
      </c>
      <c r="C9" t="s">
        <v>54</v>
      </c>
      <c r="D9" t="s">
        <v>47</v>
      </c>
      <c r="E9" t="s">
        <v>43</v>
      </c>
      <c r="F9">
        <v>307961</v>
      </c>
      <c r="G9">
        <v>2</v>
      </c>
      <c r="H9" t="s">
        <v>66</v>
      </c>
    </row>
    <row r="10" spans="1:8">
      <c r="A10" t="s">
        <v>67</v>
      </c>
      <c r="B10" t="s">
        <v>51</v>
      </c>
      <c r="C10" t="s">
        <v>52</v>
      </c>
      <c r="D10" t="s">
        <v>68</v>
      </c>
      <c r="E10" t="s">
        <v>48</v>
      </c>
      <c r="F10">
        <v>246421</v>
      </c>
      <c r="G10">
        <v>6</v>
      </c>
      <c r="H10" t="s">
        <v>59</v>
      </c>
    </row>
    <row r="11" spans="1:8">
      <c r="A11" t="s">
        <v>69</v>
      </c>
      <c r="B11" t="s">
        <v>70</v>
      </c>
      <c r="C11" t="s">
        <v>71</v>
      </c>
      <c r="D11" t="s">
        <v>68</v>
      </c>
      <c r="E11" t="s">
        <v>48</v>
      </c>
      <c r="F11">
        <v>403684</v>
      </c>
      <c r="G11">
        <v>3</v>
      </c>
      <c r="H11" t="s">
        <v>49</v>
      </c>
    </row>
    <row r="12" spans="1:8">
      <c r="A12" t="s">
        <v>72</v>
      </c>
      <c r="B12" t="s">
        <v>64</v>
      </c>
      <c r="C12" t="s">
        <v>46</v>
      </c>
      <c r="D12" t="s">
        <v>73</v>
      </c>
      <c r="E12" t="s">
        <v>43</v>
      </c>
      <c r="F12">
        <v>317995</v>
      </c>
      <c r="G12">
        <v>9</v>
      </c>
      <c r="H12" t="s">
        <v>59</v>
      </c>
    </row>
    <row r="13" spans="1:8">
      <c r="A13" t="s">
        <v>74</v>
      </c>
      <c r="B13" t="s">
        <v>75</v>
      </c>
      <c r="C13" t="s">
        <v>71</v>
      </c>
      <c r="D13" t="s">
        <v>76</v>
      </c>
      <c r="E13" t="s">
        <v>43</v>
      </c>
      <c r="F13">
        <v>242669</v>
      </c>
      <c r="G13">
        <v>6</v>
      </c>
      <c r="H13" t="s">
        <v>59</v>
      </c>
    </row>
    <row r="14" spans="1:8">
      <c r="A14" t="s">
        <v>77</v>
      </c>
      <c r="B14" t="s">
        <v>75</v>
      </c>
      <c r="C14" t="s">
        <v>71</v>
      </c>
      <c r="D14" t="s">
        <v>55</v>
      </c>
      <c r="E14" t="s">
        <v>48</v>
      </c>
      <c r="F14">
        <v>364238</v>
      </c>
      <c r="G14">
        <v>7</v>
      </c>
      <c r="H14" t="s">
        <v>56</v>
      </c>
    </row>
    <row r="15" spans="1:8">
      <c r="A15" t="s">
        <v>78</v>
      </c>
      <c r="B15" t="s">
        <v>40</v>
      </c>
      <c r="C15" t="s">
        <v>54</v>
      </c>
      <c r="D15" t="s">
        <v>79</v>
      </c>
      <c r="E15" t="s">
        <v>43</v>
      </c>
      <c r="F15">
        <v>215724</v>
      </c>
      <c r="G15">
        <v>9</v>
      </c>
      <c r="H15" t="s">
        <v>66</v>
      </c>
    </row>
    <row r="16" spans="1:8">
      <c r="A16" t="s">
        <v>80</v>
      </c>
      <c r="B16" t="s">
        <v>75</v>
      </c>
      <c r="C16" t="s">
        <v>46</v>
      </c>
      <c r="D16" t="s">
        <v>76</v>
      </c>
      <c r="E16" t="s">
        <v>48</v>
      </c>
      <c r="F16">
        <v>301679</v>
      </c>
      <c r="G16">
        <v>10</v>
      </c>
      <c r="H16" t="s">
        <v>49</v>
      </c>
    </row>
    <row r="17" spans="1:8">
      <c r="A17" t="s">
        <v>81</v>
      </c>
      <c r="B17" t="s">
        <v>58</v>
      </c>
      <c r="C17" t="s">
        <v>41</v>
      </c>
      <c r="D17" t="s">
        <v>79</v>
      </c>
      <c r="E17" t="s">
        <v>48</v>
      </c>
      <c r="F17">
        <v>243689</v>
      </c>
      <c r="G17">
        <v>3</v>
      </c>
      <c r="H17" t="s">
        <v>59</v>
      </c>
    </row>
    <row r="18" spans="1:8">
      <c r="A18" t="s">
        <v>82</v>
      </c>
      <c r="B18" t="s">
        <v>61</v>
      </c>
      <c r="C18" t="s">
        <v>41</v>
      </c>
      <c r="D18" t="s">
        <v>42</v>
      </c>
      <c r="E18" t="s">
        <v>43</v>
      </c>
      <c r="F18">
        <v>465805</v>
      </c>
      <c r="G18">
        <v>10</v>
      </c>
      <c r="H18" t="s">
        <v>49</v>
      </c>
    </row>
    <row r="19" spans="1:8">
      <c r="A19" t="s">
        <v>83</v>
      </c>
      <c r="B19" t="s">
        <v>75</v>
      </c>
      <c r="C19" t="s">
        <v>46</v>
      </c>
      <c r="D19" t="s">
        <v>47</v>
      </c>
      <c r="E19" t="s">
        <v>48</v>
      </c>
      <c r="F19">
        <v>414186</v>
      </c>
      <c r="G19">
        <v>7</v>
      </c>
      <c r="H19" t="s">
        <v>66</v>
      </c>
    </row>
    <row r="20" spans="1:8">
      <c r="A20" t="s">
        <v>84</v>
      </c>
      <c r="B20" t="s">
        <v>85</v>
      </c>
      <c r="C20" t="s">
        <v>71</v>
      </c>
      <c r="D20" t="s">
        <v>47</v>
      </c>
      <c r="E20" t="s">
        <v>48</v>
      </c>
      <c r="F20">
        <v>282557</v>
      </c>
      <c r="G20">
        <v>9</v>
      </c>
      <c r="H20" t="s">
        <v>56</v>
      </c>
    </row>
    <row r="21" spans="1:8">
      <c r="A21" t="s">
        <v>86</v>
      </c>
      <c r="B21" t="s">
        <v>64</v>
      </c>
      <c r="C21" t="s">
        <v>71</v>
      </c>
      <c r="D21" t="s">
        <v>87</v>
      </c>
      <c r="E21" t="s">
        <v>43</v>
      </c>
      <c r="F21">
        <v>330692</v>
      </c>
      <c r="G21">
        <v>10</v>
      </c>
      <c r="H21" t="s">
        <v>59</v>
      </c>
    </row>
    <row r="22" spans="1:8">
      <c r="A22" t="s">
        <v>88</v>
      </c>
      <c r="B22" t="s">
        <v>75</v>
      </c>
      <c r="C22" t="s">
        <v>54</v>
      </c>
      <c r="D22" t="s">
        <v>55</v>
      </c>
      <c r="E22" t="s">
        <v>43</v>
      </c>
      <c r="F22">
        <v>334719</v>
      </c>
      <c r="G22">
        <v>4</v>
      </c>
      <c r="H22" t="s">
        <v>44</v>
      </c>
    </row>
    <row r="23" spans="1:8">
      <c r="A23" t="s">
        <v>89</v>
      </c>
      <c r="B23" t="s">
        <v>40</v>
      </c>
      <c r="C23" t="s">
        <v>52</v>
      </c>
      <c r="D23" t="s">
        <v>90</v>
      </c>
      <c r="E23" t="s">
        <v>48</v>
      </c>
      <c r="F23">
        <v>237212</v>
      </c>
      <c r="G23">
        <v>5</v>
      </c>
      <c r="H23" t="s">
        <v>59</v>
      </c>
    </row>
    <row r="24" spans="1:8">
      <c r="A24" t="s">
        <v>91</v>
      </c>
      <c r="B24" t="s">
        <v>51</v>
      </c>
      <c r="C24" t="s">
        <v>54</v>
      </c>
      <c r="D24" t="s">
        <v>62</v>
      </c>
      <c r="E24" t="s">
        <v>48</v>
      </c>
      <c r="F24">
        <v>382250</v>
      </c>
      <c r="G24">
        <v>1</v>
      </c>
      <c r="H24" t="s">
        <v>59</v>
      </c>
    </row>
    <row r="25" spans="1:8">
      <c r="A25" t="s">
        <v>92</v>
      </c>
      <c r="B25" t="s">
        <v>70</v>
      </c>
      <c r="C25" t="s">
        <v>41</v>
      </c>
      <c r="D25" t="s">
        <v>76</v>
      </c>
      <c r="E25" t="s">
        <v>48</v>
      </c>
      <c r="F25">
        <v>422408</v>
      </c>
      <c r="G25">
        <v>9</v>
      </c>
      <c r="H25" t="s">
        <v>59</v>
      </c>
    </row>
    <row r="26" spans="1:8">
      <c r="A26" t="s">
        <v>93</v>
      </c>
      <c r="B26" t="s">
        <v>94</v>
      </c>
      <c r="C26" t="s">
        <v>71</v>
      </c>
      <c r="D26" t="s">
        <v>79</v>
      </c>
      <c r="E26" t="s">
        <v>43</v>
      </c>
      <c r="F26">
        <v>291740</v>
      </c>
      <c r="G26">
        <v>1</v>
      </c>
      <c r="H26" t="s">
        <v>59</v>
      </c>
    </row>
    <row r="27" spans="1:8">
      <c r="A27" t="s">
        <v>95</v>
      </c>
      <c r="B27" t="s">
        <v>51</v>
      </c>
      <c r="C27" t="s">
        <v>71</v>
      </c>
      <c r="D27" t="s">
        <v>90</v>
      </c>
      <c r="E27" t="s">
        <v>48</v>
      </c>
      <c r="F27">
        <v>417509</v>
      </c>
      <c r="G27">
        <v>7</v>
      </c>
      <c r="H27" t="s">
        <v>66</v>
      </c>
    </row>
    <row r="28" spans="1:8">
      <c r="A28" t="s">
        <v>96</v>
      </c>
      <c r="B28" t="s">
        <v>51</v>
      </c>
      <c r="C28" t="s">
        <v>52</v>
      </c>
      <c r="D28" t="s">
        <v>47</v>
      </c>
      <c r="E28" t="s">
        <v>43</v>
      </c>
      <c r="F28">
        <v>450750</v>
      </c>
      <c r="G28">
        <v>4</v>
      </c>
      <c r="H28" t="s">
        <v>44</v>
      </c>
    </row>
    <row r="29" spans="1:8">
      <c r="A29" t="s">
        <v>97</v>
      </c>
      <c r="B29" t="s">
        <v>70</v>
      </c>
      <c r="C29" t="s">
        <v>71</v>
      </c>
      <c r="D29" t="s">
        <v>90</v>
      </c>
      <c r="E29" t="s">
        <v>43</v>
      </c>
      <c r="F29">
        <v>281642</v>
      </c>
      <c r="G29">
        <v>5</v>
      </c>
      <c r="H29" t="s">
        <v>56</v>
      </c>
    </row>
    <row r="30" spans="1:8">
      <c r="A30" t="s">
        <v>98</v>
      </c>
      <c r="B30" t="s">
        <v>64</v>
      </c>
      <c r="C30" t="s">
        <v>52</v>
      </c>
      <c r="D30" t="s">
        <v>62</v>
      </c>
      <c r="E30" t="s">
        <v>48</v>
      </c>
      <c r="F30">
        <v>291645</v>
      </c>
      <c r="G30">
        <v>10</v>
      </c>
      <c r="H30" t="s">
        <v>44</v>
      </c>
    </row>
    <row r="31" spans="1:8">
      <c r="A31" t="s">
        <v>99</v>
      </c>
      <c r="B31" t="s">
        <v>58</v>
      </c>
      <c r="C31" t="s">
        <v>41</v>
      </c>
      <c r="D31" t="s">
        <v>62</v>
      </c>
      <c r="E31" t="s">
        <v>48</v>
      </c>
      <c r="F31">
        <v>309288</v>
      </c>
      <c r="G31">
        <v>7</v>
      </c>
      <c r="H31" t="s">
        <v>59</v>
      </c>
    </row>
    <row r="32" spans="1:8">
      <c r="A32" t="s">
        <v>100</v>
      </c>
      <c r="B32" t="s">
        <v>58</v>
      </c>
      <c r="C32" t="s">
        <v>71</v>
      </c>
      <c r="D32" t="s">
        <v>47</v>
      </c>
      <c r="E32" t="s">
        <v>43</v>
      </c>
      <c r="F32">
        <v>271687</v>
      </c>
      <c r="G32">
        <v>10</v>
      </c>
      <c r="H32" t="s">
        <v>59</v>
      </c>
    </row>
    <row r="33" spans="1:8">
      <c r="A33" t="s">
        <v>101</v>
      </c>
      <c r="B33" t="s">
        <v>51</v>
      </c>
      <c r="C33" t="s">
        <v>41</v>
      </c>
      <c r="D33" t="s">
        <v>62</v>
      </c>
      <c r="E33" t="s">
        <v>43</v>
      </c>
      <c r="F33">
        <v>365101</v>
      </c>
      <c r="G33">
        <v>9</v>
      </c>
      <c r="H33" t="s">
        <v>56</v>
      </c>
    </row>
    <row r="34" spans="1:8">
      <c r="A34" t="s">
        <v>102</v>
      </c>
      <c r="B34" t="s">
        <v>94</v>
      </c>
      <c r="C34" t="s">
        <v>41</v>
      </c>
      <c r="D34" t="s">
        <v>90</v>
      </c>
      <c r="E34" t="s">
        <v>43</v>
      </c>
      <c r="F34">
        <v>472149</v>
      </c>
      <c r="G34">
        <v>7</v>
      </c>
      <c r="H34" t="s">
        <v>66</v>
      </c>
    </row>
    <row r="35" spans="1:8">
      <c r="A35" t="s">
        <v>103</v>
      </c>
      <c r="B35" t="s">
        <v>58</v>
      </c>
      <c r="C35" t="s">
        <v>52</v>
      </c>
      <c r="D35" t="s">
        <v>90</v>
      </c>
      <c r="E35" t="s">
        <v>43</v>
      </c>
      <c r="F35">
        <v>408551</v>
      </c>
      <c r="G35">
        <v>7</v>
      </c>
      <c r="H35" t="s">
        <v>66</v>
      </c>
    </row>
    <row r="36" spans="1:8">
      <c r="A36" t="s">
        <v>104</v>
      </c>
      <c r="B36" t="s">
        <v>94</v>
      </c>
      <c r="C36" t="s">
        <v>52</v>
      </c>
      <c r="D36" t="s">
        <v>90</v>
      </c>
      <c r="E36" t="s">
        <v>48</v>
      </c>
      <c r="F36">
        <v>334912</v>
      </c>
      <c r="G36">
        <v>2</v>
      </c>
      <c r="H36" t="s">
        <v>66</v>
      </c>
    </row>
    <row r="37" spans="1:8">
      <c r="A37" t="s">
        <v>105</v>
      </c>
      <c r="B37" t="s">
        <v>75</v>
      </c>
      <c r="C37" t="s">
        <v>54</v>
      </c>
      <c r="D37" t="s">
        <v>55</v>
      </c>
      <c r="E37" t="s">
        <v>48</v>
      </c>
      <c r="F37">
        <v>311844</v>
      </c>
      <c r="G37">
        <v>8</v>
      </c>
      <c r="H37" t="s">
        <v>56</v>
      </c>
    </row>
    <row r="38" spans="1:8">
      <c r="A38" t="s">
        <v>106</v>
      </c>
      <c r="B38" t="s">
        <v>70</v>
      </c>
      <c r="C38" t="s">
        <v>46</v>
      </c>
      <c r="D38" t="s">
        <v>42</v>
      </c>
      <c r="E38" t="s">
        <v>48</v>
      </c>
      <c r="F38">
        <v>222804</v>
      </c>
      <c r="G38">
        <v>8</v>
      </c>
      <c r="H38" t="s">
        <v>56</v>
      </c>
    </row>
    <row r="39" spans="1:8">
      <c r="A39" t="s">
        <v>107</v>
      </c>
      <c r="B39" t="s">
        <v>40</v>
      </c>
      <c r="C39" t="s">
        <v>54</v>
      </c>
      <c r="D39" t="s">
        <v>79</v>
      </c>
      <c r="E39" t="s">
        <v>43</v>
      </c>
      <c r="F39">
        <v>202674</v>
      </c>
      <c r="G39">
        <v>4</v>
      </c>
      <c r="H39" t="s">
        <v>44</v>
      </c>
    </row>
    <row r="40" spans="1:8">
      <c r="A40" t="s">
        <v>108</v>
      </c>
      <c r="B40" t="s">
        <v>40</v>
      </c>
      <c r="C40" t="s">
        <v>41</v>
      </c>
      <c r="D40" t="s">
        <v>76</v>
      </c>
      <c r="E40" t="s">
        <v>43</v>
      </c>
      <c r="F40">
        <v>481535</v>
      </c>
      <c r="G40">
        <v>10</v>
      </c>
      <c r="H40" t="s">
        <v>56</v>
      </c>
    </row>
    <row r="41" spans="1:8">
      <c r="A41" t="s">
        <v>109</v>
      </c>
      <c r="B41" t="s">
        <v>64</v>
      </c>
      <c r="C41" t="s">
        <v>54</v>
      </c>
      <c r="D41" t="s">
        <v>55</v>
      </c>
      <c r="E41" t="s">
        <v>48</v>
      </c>
      <c r="F41">
        <v>338509</v>
      </c>
      <c r="G41">
        <v>1</v>
      </c>
      <c r="H41" t="s">
        <v>59</v>
      </c>
    </row>
    <row r="42" spans="1:8">
      <c r="A42" t="s">
        <v>110</v>
      </c>
      <c r="B42" t="s">
        <v>40</v>
      </c>
      <c r="C42" t="s">
        <v>52</v>
      </c>
      <c r="D42" t="s">
        <v>55</v>
      </c>
      <c r="E42" t="s">
        <v>43</v>
      </c>
      <c r="F42">
        <v>234031</v>
      </c>
      <c r="G42">
        <v>10</v>
      </c>
      <c r="H42" t="s">
        <v>49</v>
      </c>
    </row>
    <row r="43" spans="1:8">
      <c r="A43" t="s">
        <v>111</v>
      </c>
      <c r="B43" t="s">
        <v>51</v>
      </c>
      <c r="C43" t="s">
        <v>52</v>
      </c>
      <c r="D43" t="s">
        <v>62</v>
      </c>
      <c r="E43" t="s">
        <v>48</v>
      </c>
      <c r="F43">
        <v>265908</v>
      </c>
      <c r="G43">
        <v>7</v>
      </c>
      <c r="H43" t="s">
        <v>49</v>
      </c>
    </row>
    <row r="44" spans="1:8">
      <c r="A44" t="s">
        <v>112</v>
      </c>
      <c r="B44" t="s">
        <v>75</v>
      </c>
      <c r="C44" t="s">
        <v>41</v>
      </c>
      <c r="D44" t="s">
        <v>42</v>
      </c>
      <c r="E44" t="s">
        <v>48</v>
      </c>
      <c r="F44">
        <v>338554</v>
      </c>
      <c r="G44">
        <v>1</v>
      </c>
      <c r="H44" t="s">
        <v>49</v>
      </c>
    </row>
    <row r="45" spans="1:8">
      <c r="A45" t="s">
        <v>113</v>
      </c>
      <c r="B45" t="s">
        <v>51</v>
      </c>
      <c r="C45" t="s">
        <v>46</v>
      </c>
      <c r="D45" t="s">
        <v>79</v>
      </c>
      <c r="E45" t="s">
        <v>48</v>
      </c>
      <c r="F45">
        <v>413957</v>
      </c>
      <c r="G45">
        <v>3</v>
      </c>
      <c r="H45" t="s">
        <v>59</v>
      </c>
    </row>
    <row r="46" spans="1:8">
      <c r="A46" t="s">
        <v>114</v>
      </c>
      <c r="B46" t="s">
        <v>40</v>
      </c>
      <c r="C46" t="s">
        <v>71</v>
      </c>
      <c r="D46" t="s">
        <v>42</v>
      </c>
      <c r="E46" t="s">
        <v>43</v>
      </c>
      <c r="F46">
        <v>485264</v>
      </c>
      <c r="G46">
        <v>1</v>
      </c>
      <c r="H46" t="s">
        <v>56</v>
      </c>
    </row>
    <row r="47" spans="1:8">
      <c r="A47" t="s">
        <v>115</v>
      </c>
      <c r="B47" t="s">
        <v>75</v>
      </c>
      <c r="C47" t="s">
        <v>52</v>
      </c>
      <c r="D47" t="s">
        <v>79</v>
      </c>
      <c r="E47" t="s">
        <v>43</v>
      </c>
      <c r="F47">
        <v>363350</v>
      </c>
      <c r="G47">
        <v>1</v>
      </c>
      <c r="H47" t="s">
        <v>49</v>
      </c>
    </row>
    <row r="48" spans="1:8">
      <c r="A48" t="s">
        <v>116</v>
      </c>
      <c r="B48" t="s">
        <v>61</v>
      </c>
      <c r="C48" t="s">
        <v>71</v>
      </c>
      <c r="D48" t="s">
        <v>47</v>
      </c>
      <c r="E48" t="s">
        <v>43</v>
      </c>
      <c r="F48">
        <v>428005</v>
      </c>
      <c r="G48">
        <v>4</v>
      </c>
      <c r="H48" t="s">
        <v>56</v>
      </c>
    </row>
    <row r="49" spans="1:8">
      <c r="A49" t="s">
        <v>117</v>
      </c>
      <c r="B49" t="s">
        <v>118</v>
      </c>
      <c r="C49" t="s">
        <v>71</v>
      </c>
      <c r="D49" t="s">
        <v>62</v>
      </c>
      <c r="E49" t="s">
        <v>48</v>
      </c>
      <c r="F49">
        <v>326652</v>
      </c>
      <c r="G49">
        <v>6</v>
      </c>
      <c r="H49" t="s">
        <v>56</v>
      </c>
    </row>
    <row r="50" spans="1:8">
      <c r="A50" t="s">
        <v>119</v>
      </c>
      <c r="B50" t="s">
        <v>40</v>
      </c>
      <c r="C50" t="s">
        <v>71</v>
      </c>
      <c r="D50" t="s">
        <v>79</v>
      </c>
      <c r="E50" t="s">
        <v>48</v>
      </c>
      <c r="F50">
        <v>421377</v>
      </c>
      <c r="G50">
        <v>4</v>
      </c>
      <c r="H50" t="s">
        <v>44</v>
      </c>
    </row>
    <row r="51" spans="1:8">
      <c r="A51" t="s">
        <v>120</v>
      </c>
      <c r="B51" t="s">
        <v>118</v>
      </c>
      <c r="C51" t="s">
        <v>54</v>
      </c>
      <c r="D51" t="s">
        <v>47</v>
      </c>
      <c r="E51" t="s">
        <v>43</v>
      </c>
      <c r="F51">
        <v>433017</v>
      </c>
      <c r="G51">
        <v>3</v>
      </c>
      <c r="H51" t="s">
        <v>49</v>
      </c>
    </row>
    <row r="52" spans="1:8">
      <c r="A52" t="s">
        <v>121</v>
      </c>
      <c r="B52" t="s">
        <v>64</v>
      </c>
      <c r="C52" t="s">
        <v>71</v>
      </c>
      <c r="D52" t="s">
        <v>76</v>
      </c>
      <c r="E52" t="s">
        <v>43</v>
      </c>
      <c r="F52">
        <v>353050</v>
      </c>
      <c r="G52">
        <v>7</v>
      </c>
      <c r="H52" t="s">
        <v>56</v>
      </c>
    </row>
    <row r="53" spans="1:8">
      <c r="A53" t="s">
        <v>122</v>
      </c>
      <c r="B53" t="s">
        <v>94</v>
      </c>
      <c r="C53" t="s">
        <v>41</v>
      </c>
      <c r="D53" t="s">
        <v>47</v>
      </c>
      <c r="E53" t="s">
        <v>43</v>
      </c>
      <c r="F53">
        <v>450941</v>
      </c>
      <c r="G53">
        <v>3</v>
      </c>
      <c r="H53" t="s">
        <v>56</v>
      </c>
    </row>
    <row r="54" spans="1:8">
      <c r="A54" t="s">
        <v>123</v>
      </c>
      <c r="B54" t="s">
        <v>51</v>
      </c>
      <c r="C54" t="s">
        <v>54</v>
      </c>
      <c r="D54" t="s">
        <v>76</v>
      </c>
      <c r="E54" t="s">
        <v>43</v>
      </c>
      <c r="F54">
        <v>337560</v>
      </c>
      <c r="G54">
        <v>2</v>
      </c>
      <c r="H54" t="s">
        <v>49</v>
      </c>
    </row>
    <row r="55" spans="1:8">
      <c r="A55" t="s">
        <v>124</v>
      </c>
      <c r="B55" t="s">
        <v>40</v>
      </c>
      <c r="C55" t="s">
        <v>52</v>
      </c>
      <c r="D55" t="s">
        <v>90</v>
      </c>
      <c r="E55" t="s">
        <v>48</v>
      </c>
      <c r="F55">
        <v>325849</v>
      </c>
      <c r="G55">
        <v>2</v>
      </c>
      <c r="H55" t="s">
        <v>59</v>
      </c>
    </row>
    <row r="56" spans="1:8">
      <c r="A56" t="s">
        <v>125</v>
      </c>
      <c r="B56" t="s">
        <v>118</v>
      </c>
      <c r="C56" t="s">
        <v>46</v>
      </c>
      <c r="D56" t="s">
        <v>90</v>
      </c>
      <c r="E56" t="s">
        <v>48</v>
      </c>
      <c r="F56">
        <v>252488</v>
      </c>
      <c r="G56">
        <v>5</v>
      </c>
      <c r="H56" t="s">
        <v>56</v>
      </c>
    </row>
    <row r="57" spans="1:8">
      <c r="A57" t="s">
        <v>126</v>
      </c>
      <c r="B57" t="s">
        <v>118</v>
      </c>
      <c r="C57" t="s">
        <v>54</v>
      </c>
      <c r="D57" t="s">
        <v>73</v>
      </c>
      <c r="E57" t="s">
        <v>48</v>
      </c>
      <c r="F57">
        <v>261616</v>
      </c>
      <c r="G57">
        <v>2</v>
      </c>
      <c r="H57" t="s">
        <v>49</v>
      </c>
    </row>
    <row r="58" spans="1:8">
      <c r="A58" t="s">
        <v>127</v>
      </c>
      <c r="B58" t="s">
        <v>64</v>
      </c>
      <c r="C58" t="s">
        <v>46</v>
      </c>
      <c r="D58" t="s">
        <v>73</v>
      </c>
      <c r="E58" t="s">
        <v>43</v>
      </c>
      <c r="F58">
        <v>296968</v>
      </c>
      <c r="G58">
        <v>4</v>
      </c>
      <c r="H58" t="s">
        <v>49</v>
      </c>
    </row>
    <row r="59" spans="1:8">
      <c r="A59" t="s">
        <v>128</v>
      </c>
      <c r="B59" t="s">
        <v>118</v>
      </c>
      <c r="C59" t="s">
        <v>41</v>
      </c>
      <c r="D59" t="s">
        <v>73</v>
      </c>
      <c r="E59" t="s">
        <v>48</v>
      </c>
      <c r="F59">
        <v>369656</v>
      </c>
      <c r="G59">
        <v>8</v>
      </c>
      <c r="H59" t="s">
        <v>56</v>
      </c>
    </row>
    <row r="60" spans="1:8">
      <c r="A60" t="s">
        <v>129</v>
      </c>
      <c r="B60" t="s">
        <v>94</v>
      </c>
      <c r="C60" t="s">
        <v>46</v>
      </c>
      <c r="D60" t="s">
        <v>62</v>
      </c>
      <c r="E60" t="s">
        <v>43</v>
      </c>
      <c r="F60">
        <v>385249</v>
      </c>
      <c r="G60">
        <v>3</v>
      </c>
      <c r="H60" t="s">
        <v>49</v>
      </c>
    </row>
    <row r="61" spans="1:8">
      <c r="A61" t="s">
        <v>130</v>
      </c>
      <c r="B61" t="s">
        <v>51</v>
      </c>
      <c r="C61" t="s">
        <v>41</v>
      </c>
      <c r="D61" t="s">
        <v>90</v>
      </c>
      <c r="E61" t="s">
        <v>43</v>
      </c>
      <c r="F61">
        <v>485946</v>
      </c>
      <c r="G61">
        <v>4</v>
      </c>
      <c r="H61" t="s">
        <v>59</v>
      </c>
    </row>
    <row r="62" spans="1:8">
      <c r="A62" t="s">
        <v>131</v>
      </c>
      <c r="B62" t="s">
        <v>94</v>
      </c>
      <c r="C62" t="s">
        <v>54</v>
      </c>
      <c r="D62" t="s">
        <v>47</v>
      </c>
      <c r="E62" t="s">
        <v>48</v>
      </c>
      <c r="F62">
        <v>481575</v>
      </c>
      <c r="G62">
        <v>3</v>
      </c>
      <c r="H62" t="s">
        <v>49</v>
      </c>
    </row>
    <row r="63" spans="1:8">
      <c r="A63" t="s">
        <v>132</v>
      </c>
      <c r="B63" t="s">
        <v>75</v>
      </c>
      <c r="C63" t="s">
        <v>41</v>
      </c>
      <c r="D63" t="s">
        <v>47</v>
      </c>
      <c r="E63" t="s">
        <v>48</v>
      </c>
      <c r="F63">
        <v>345273</v>
      </c>
      <c r="G63">
        <v>6</v>
      </c>
      <c r="H63" t="s">
        <v>49</v>
      </c>
    </row>
    <row r="64" spans="1:8">
      <c r="A64" t="s">
        <v>133</v>
      </c>
      <c r="B64" t="s">
        <v>85</v>
      </c>
      <c r="C64" t="s">
        <v>41</v>
      </c>
      <c r="D64" t="s">
        <v>68</v>
      </c>
      <c r="E64" t="s">
        <v>48</v>
      </c>
      <c r="F64">
        <v>201172</v>
      </c>
      <c r="G64">
        <v>8</v>
      </c>
      <c r="H64" t="s">
        <v>59</v>
      </c>
    </row>
    <row r="65" spans="1:8">
      <c r="A65" t="s">
        <v>134</v>
      </c>
      <c r="B65" t="s">
        <v>61</v>
      </c>
      <c r="C65" t="s">
        <v>46</v>
      </c>
      <c r="D65" t="s">
        <v>55</v>
      </c>
      <c r="E65" t="s">
        <v>48</v>
      </c>
      <c r="F65">
        <v>321800</v>
      </c>
      <c r="G65">
        <v>7</v>
      </c>
      <c r="H65" t="s">
        <v>44</v>
      </c>
    </row>
    <row r="66" spans="1:8">
      <c r="A66" t="s">
        <v>135</v>
      </c>
      <c r="B66" t="s">
        <v>58</v>
      </c>
      <c r="C66" t="s">
        <v>52</v>
      </c>
      <c r="D66" t="s">
        <v>87</v>
      </c>
      <c r="E66" t="s">
        <v>48</v>
      </c>
      <c r="F66">
        <v>478662</v>
      </c>
      <c r="G66">
        <v>2</v>
      </c>
      <c r="H66" t="s">
        <v>59</v>
      </c>
    </row>
    <row r="67" spans="1:8">
      <c r="A67" t="s">
        <v>136</v>
      </c>
      <c r="B67" t="s">
        <v>64</v>
      </c>
      <c r="C67" t="s">
        <v>71</v>
      </c>
      <c r="D67" t="s">
        <v>87</v>
      </c>
      <c r="E67" t="s">
        <v>48</v>
      </c>
      <c r="F67">
        <v>447144</v>
      </c>
      <c r="G67">
        <v>10</v>
      </c>
      <c r="H67" t="s">
        <v>66</v>
      </c>
    </row>
    <row r="68" spans="1:8">
      <c r="A68" t="s">
        <v>137</v>
      </c>
      <c r="B68" t="s">
        <v>51</v>
      </c>
      <c r="C68" t="s">
        <v>54</v>
      </c>
      <c r="D68" t="s">
        <v>76</v>
      </c>
      <c r="E68" t="s">
        <v>48</v>
      </c>
      <c r="F68">
        <v>367942</v>
      </c>
      <c r="G68">
        <v>8</v>
      </c>
      <c r="H68" t="s">
        <v>44</v>
      </c>
    </row>
    <row r="69" spans="1:8">
      <c r="A69" t="s">
        <v>138</v>
      </c>
      <c r="B69" t="s">
        <v>94</v>
      </c>
      <c r="C69" t="s">
        <v>52</v>
      </c>
      <c r="D69" t="s">
        <v>90</v>
      </c>
      <c r="E69" t="s">
        <v>43</v>
      </c>
      <c r="F69">
        <v>225459</v>
      </c>
      <c r="G69">
        <v>2</v>
      </c>
      <c r="H69" t="s">
        <v>59</v>
      </c>
    </row>
    <row r="70" spans="1:8">
      <c r="A70" t="s">
        <v>139</v>
      </c>
      <c r="B70" t="s">
        <v>61</v>
      </c>
      <c r="C70" t="s">
        <v>41</v>
      </c>
      <c r="D70" t="s">
        <v>87</v>
      </c>
      <c r="E70" t="s">
        <v>43</v>
      </c>
      <c r="F70">
        <v>334185</v>
      </c>
      <c r="G70">
        <v>2</v>
      </c>
      <c r="H70" t="s">
        <v>44</v>
      </c>
    </row>
    <row r="71" spans="1:8">
      <c r="A71" t="s">
        <v>140</v>
      </c>
      <c r="B71" t="s">
        <v>75</v>
      </c>
      <c r="C71" t="s">
        <v>41</v>
      </c>
      <c r="D71" t="s">
        <v>90</v>
      </c>
      <c r="E71" t="s">
        <v>48</v>
      </c>
      <c r="F71">
        <v>329104</v>
      </c>
      <c r="G71">
        <v>2</v>
      </c>
      <c r="H71" t="s">
        <v>56</v>
      </c>
    </row>
    <row r="72" spans="1:8">
      <c r="A72" t="s">
        <v>141</v>
      </c>
      <c r="B72" t="s">
        <v>58</v>
      </c>
      <c r="C72" t="s">
        <v>41</v>
      </c>
      <c r="D72" t="s">
        <v>42</v>
      </c>
      <c r="E72" t="s">
        <v>48</v>
      </c>
      <c r="F72">
        <v>253559</v>
      </c>
      <c r="G72">
        <v>4</v>
      </c>
      <c r="H72" t="s">
        <v>66</v>
      </c>
    </row>
    <row r="73" spans="1:8">
      <c r="A73" t="s">
        <v>142</v>
      </c>
      <c r="B73" t="s">
        <v>58</v>
      </c>
      <c r="C73" t="s">
        <v>46</v>
      </c>
      <c r="D73" t="s">
        <v>42</v>
      </c>
      <c r="E73" t="s">
        <v>43</v>
      </c>
      <c r="F73">
        <v>203632</v>
      </c>
      <c r="G73">
        <v>4</v>
      </c>
      <c r="H73" t="s">
        <v>49</v>
      </c>
    </row>
    <row r="74" spans="1:8">
      <c r="A74" t="s">
        <v>143</v>
      </c>
      <c r="B74" t="s">
        <v>40</v>
      </c>
      <c r="C74" t="s">
        <v>41</v>
      </c>
      <c r="D74" t="s">
        <v>73</v>
      </c>
      <c r="E74" t="s">
        <v>48</v>
      </c>
      <c r="F74">
        <v>404012</v>
      </c>
      <c r="G74">
        <v>7</v>
      </c>
      <c r="H74" t="s">
        <v>59</v>
      </c>
    </row>
    <row r="75" spans="1:8">
      <c r="A75" t="s">
        <v>144</v>
      </c>
      <c r="B75" t="s">
        <v>85</v>
      </c>
      <c r="C75" t="s">
        <v>41</v>
      </c>
      <c r="D75" t="s">
        <v>90</v>
      </c>
      <c r="E75" t="s">
        <v>43</v>
      </c>
      <c r="F75">
        <v>493395</v>
      </c>
      <c r="G75">
        <v>4</v>
      </c>
      <c r="H75" t="s">
        <v>44</v>
      </c>
    </row>
    <row r="76" spans="1:8">
      <c r="A76" t="s">
        <v>145</v>
      </c>
      <c r="B76" t="s">
        <v>58</v>
      </c>
      <c r="C76" t="s">
        <v>52</v>
      </c>
      <c r="D76" t="s">
        <v>73</v>
      </c>
      <c r="E76" t="s">
        <v>43</v>
      </c>
      <c r="F76">
        <v>372679</v>
      </c>
      <c r="G76">
        <v>2</v>
      </c>
      <c r="H76" t="s">
        <v>44</v>
      </c>
    </row>
    <row r="77" spans="1:8">
      <c r="A77" t="s">
        <v>146</v>
      </c>
      <c r="B77" t="s">
        <v>51</v>
      </c>
      <c r="C77" t="s">
        <v>71</v>
      </c>
      <c r="D77" t="s">
        <v>47</v>
      </c>
      <c r="E77" t="s">
        <v>48</v>
      </c>
      <c r="F77">
        <v>464770</v>
      </c>
      <c r="G77">
        <v>9</v>
      </c>
      <c r="H77" t="s">
        <v>44</v>
      </c>
    </row>
    <row r="78" spans="1:8">
      <c r="A78" t="s">
        <v>147</v>
      </c>
      <c r="B78" t="s">
        <v>85</v>
      </c>
      <c r="C78" t="s">
        <v>52</v>
      </c>
      <c r="D78" t="s">
        <v>87</v>
      </c>
      <c r="E78" t="s">
        <v>48</v>
      </c>
      <c r="F78">
        <v>360225</v>
      </c>
      <c r="G78">
        <v>3</v>
      </c>
      <c r="H78" t="s">
        <v>49</v>
      </c>
    </row>
    <row r="79" spans="1:8">
      <c r="A79" t="s">
        <v>148</v>
      </c>
      <c r="B79" t="s">
        <v>58</v>
      </c>
      <c r="C79" t="s">
        <v>41</v>
      </c>
      <c r="D79" t="s">
        <v>76</v>
      </c>
      <c r="E79" t="s">
        <v>43</v>
      </c>
      <c r="F79">
        <v>422249</v>
      </c>
      <c r="G79">
        <v>10</v>
      </c>
      <c r="H79" t="s">
        <v>66</v>
      </c>
    </row>
    <row r="80" spans="1:8">
      <c r="A80" t="s">
        <v>149</v>
      </c>
      <c r="B80" t="s">
        <v>61</v>
      </c>
      <c r="C80" t="s">
        <v>52</v>
      </c>
      <c r="D80" t="s">
        <v>90</v>
      </c>
      <c r="E80" t="s">
        <v>48</v>
      </c>
      <c r="F80">
        <v>343548</v>
      </c>
      <c r="G80">
        <v>7</v>
      </c>
      <c r="H80" t="s">
        <v>59</v>
      </c>
    </row>
    <row r="81" spans="1:8">
      <c r="A81" t="s">
        <v>150</v>
      </c>
      <c r="B81" t="s">
        <v>75</v>
      </c>
      <c r="C81" t="s">
        <v>46</v>
      </c>
      <c r="D81" t="s">
        <v>47</v>
      </c>
      <c r="E81" t="s">
        <v>43</v>
      </c>
      <c r="F81">
        <v>429470</v>
      </c>
      <c r="G81">
        <v>3</v>
      </c>
      <c r="H81" t="s">
        <v>44</v>
      </c>
    </row>
    <row r="82" spans="1:8">
      <c r="A82" t="s">
        <v>151</v>
      </c>
      <c r="B82" t="s">
        <v>85</v>
      </c>
      <c r="C82" t="s">
        <v>71</v>
      </c>
      <c r="D82" t="s">
        <v>62</v>
      </c>
      <c r="E82" t="s">
        <v>48</v>
      </c>
      <c r="F82">
        <v>228264</v>
      </c>
      <c r="G82">
        <v>5</v>
      </c>
      <c r="H82" t="s">
        <v>59</v>
      </c>
    </row>
    <row r="83" spans="1:8">
      <c r="A83" t="s">
        <v>152</v>
      </c>
      <c r="B83" t="s">
        <v>64</v>
      </c>
      <c r="C83" t="s">
        <v>52</v>
      </c>
      <c r="D83" t="s">
        <v>55</v>
      </c>
      <c r="E83" t="s">
        <v>43</v>
      </c>
      <c r="F83">
        <v>481733</v>
      </c>
      <c r="G83">
        <v>7</v>
      </c>
      <c r="H83" t="s">
        <v>49</v>
      </c>
    </row>
    <row r="84" spans="1:8">
      <c r="A84" t="s">
        <v>153</v>
      </c>
      <c r="B84" t="s">
        <v>64</v>
      </c>
      <c r="C84" t="s">
        <v>41</v>
      </c>
      <c r="D84" t="s">
        <v>42</v>
      </c>
      <c r="E84" t="s">
        <v>43</v>
      </c>
      <c r="F84">
        <v>253954</v>
      </c>
      <c r="G84">
        <v>2</v>
      </c>
      <c r="H84" t="s">
        <v>49</v>
      </c>
    </row>
    <row r="85" spans="1:8">
      <c r="A85" t="s">
        <v>154</v>
      </c>
      <c r="B85" t="s">
        <v>64</v>
      </c>
      <c r="C85" t="s">
        <v>41</v>
      </c>
      <c r="D85" t="s">
        <v>76</v>
      </c>
      <c r="E85" t="s">
        <v>43</v>
      </c>
      <c r="F85">
        <v>338029</v>
      </c>
      <c r="G85">
        <v>6</v>
      </c>
      <c r="H85" t="s">
        <v>66</v>
      </c>
    </row>
    <row r="86" spans="1:8">
      <c r="A86" t="s">
        <v>155</v>
      </c>
      <c r="B86" t="s">
        <v>94</v>
      </c>
      <c r="C86" t="s">
        <v>54</v>
      </c>
      <c r="D86" t="s">
        <v>87</v>
      </c>
      <c r="E86" t="s">
        <v>43</v>
      </c>
      <c r="F86">
        <v>340723</v>
      </c>
      <c r="G86">
        <v>7</v>
      </c>
      <c r="H86" t="s">
        <v>44</v>
      </c>
    </row>
    <row r="87" spans="1:8">
      <c r="A87" t="s">
        <v>156</v>
      </c>
      <c r="B87" t="s">
        <v>51</v>
      </c>
      <c r="C87" t="s">
        <v>46</v>
      </c>
      <c r="D87" t="s">
        <v>42</v>
      </c>
      <c r="E87" t="s">
        <v>43</v>
      </c>
      <c r="F87">
        <v>216138</v>
      </c>
      <c r="G87">
        <v>2</v>
      </c>
      <c r="H87" t="s">
        <v>44</v>
      </c>
    </row>
    <row r="88" spans="1:8">
      <c r="A88" t="s">
        <v>157</v>
      </c>
      <c r="B88" t="s">
        <v>75</v>
      </c>
      <c r="C88" t="s">
        <v>41</v>
      </c>
      <c r="D88" t="s">
        <v>73</v>
      </c>
      <c r="E88" t="s">
        <v>48</v>
      </c>
      <c r="F88">
        <v>490025</v>
      </c>
      <c r="G88">
        <v>8</v>
      </c>
      <c r="H88" t="s">
        <v>49</v>
      </c>
    </row>
    <row r="89" spans="1:8">
      <c r="A89" t="s">
        <v>158</v>
      </c>
      <c r="B89" t="s">
        <v>75</v>
      </c>
      <c r="C89" t="s">
        <v>46</v>
      </c>
      <c r="D89" t="s">
        <v>68</v>
      </c>
      <c r="E89" t="s">
        <v>43</v>
      </c>
      <c r="F89">
        <v>339580</v>
      </c>
      <c r="G89">
        <v>2</v>
      </c>
      <c r="H89" t="s">
        <v>56</v>
      </c>
    </row>
    <row r="90" spans="1:8">
      <c r="A90" t="s">
        <v>159</v>
      </c>
      <c r="B90" t="s">
        <v>58</v>
      </c>
      <c r="C90" t="s">
        <v>71</v>
      </c>
      <c r="D90" t="s">
        <v>76</v>
      </c>
      <c r="E90" t="s">
        <v>48</v>
      </c>
      <c r="F90">
        <v>325782</v>
      </c>
      <c r="G90">
        <v>8</v>
      </c>
      <c r="H90" t="s">
        <v>56</v>
      </c>
    </row>
    <row r="91" spans="1:8">
      <c r="A91" t="s">
        <v>160</v>
      </c>
      <c r="B91" t="s">
        <v>61</v>
      </c>
      <c r="C91" t="s">
        <v>41</v>
      </c>
      <c r="D91" t="s">
        <v>79</v>
      </c>
      <c r="E91" t="s">
        <v>43</v>
      </c>
      <c r="F91">
        <v>397430</v>
      </c>
      <c r="G91">
        <v>10</v>
      </c>
      <c r="H91" t="s">
        <v>59</v>
      </c>
    </row>
    <row r="92" spans="1:8">
      <c r="A92" t="s">
        <v>161</v>
      </c>
      <c r="B92" t="s">
        <v>94</v>
      </c>
      <c r="C92" t="s">
        <v>54</v>
      </c>
      <c r="D92" t="s">
        <v>76</v>
      </c>
      <c r="E92" t="s">
        <v>43</v>
      </c>
      <c r="F92">
        <v>300847</v>
      </c>
      <c r="G92">
        <v>4</v>
      </c>
      <c r="H92" t="s">
        <v>44</v>
      </c>
    </row>
    <row r="93" spans="1:8">
      <c r="A93" t="s">
        <v>162</v>
      </c>
      <c r="B93" t="s">
        <v>64</v>
      </c>
      <c r="C93" t="s">
        <v>41</v>
      </c>
      <c r="D93" t="s">
        <v>47</v>
      </c>
      <c r="E93" t="s">
        <v>43</v>
      </c>
      <c r="F93">
        <v>265948</v>
      </c>
      <c r="G93">
        <v>6</v>
      </c>
      <c r="H93" t="s">
        <v>49</v>
      </c>
    </row>
    <row r="94" spans="1:8">
      <c r="A94" t="s">
        <v>163</v>
      </c>
      <c r="B94" t="s">
        <v>61</v>
      </c>
      <c r="C94" t="s">
        <v>71</v>
      </c>
      <c r="D94" t="s">
        <v>68</v>
      </c>
      <c r="E94" t="s">
        <v>48</v>
      </c>
      <c r="F94">
        <v>341060</v>
      </c>
      <c r="G94">
        <v>7</v>
      </c>
      <c r="H94" t="s">
        <v>66</v>
      </c>
    </row>
    <row r="95" spans="1:8">
      <c r="A95" t="s">
        <v>164</v>
      </c>
      <c r="B95" t="s">
        <v>94</v>
      </c>
      <c r="C95" t="s">
        <v>46</v>
      </c>
      <c r="D95" t="s">
        <v>55</v>
      </c>
      <c r="E95" t="s">
        <v>48</v>
      </c>
      <c r="F95">
        <v>326977</v>
      </c>
      <c r="G95">
        <v>4</v>
      </c>
      <c r="H95" t="s">
        <v>49</v>
      </c>
    </row>
    <row r="96" spans="1:8">
      <c r="A96" t="s">
        <v>165</v>
      </c>
      <c r="B96" t="s">
        <v>61</v>
      </c>
      <c r="C96" t="s">
        <v>41</v>
      </c>
      <c r="D96" t="s">
        <v>42</v>
      </c>
      <c r="E96" t="s">
        <v>43</v>
      </c>
      <c r="F96">
        <v>433031</v>
      </c>
      <c r="G96">
        <v>1</v>
      </c>
      <c r="H96" t="s">
        <v>49</v>
      </c>
    </row>
    <row r="97" spans="1:8">
      <c r="A97" t="s">
        <v>166</v>
      </c>
      <c r="B97" t="s">
        <v>58</v>
      </c>
      <c r="C97" t="s">
        <v>46</v>
      </c>
      <c r="D97" t="s">
        <v>62</v>
      </c>
      <c r="E97" t="s">
        <v>43</v>
      </c>
      <c r="F97">
        <v>421034</v>
      </c>
      <c r="G97">
        <v>3</v>
      </c>
      <c r="H97" t="s">
        <v>56</v>
      </c>
    </row>
    <row r="98" spans="1:8">
      <c r="A98" t="s">
        <v>167</v>
      </c>
      <c r="B98" t="s">
        <v>51</v>
      </c>
      <c r="C98" t="s">
        <v>71</v>
      </c>
      <c r="D98" t="s">
        <v>47</v>
      </c>
      <c r="E98" t="s">
        <v>43</v>
      </c>
      <c r="F98">
        <v>363199</v>
      </c>
      <c r="G98">
        <v>4</v>
      </c>
      <c r="H98" t="s">
        <v>59</v>
      </c>
    </row>
    <row r="99" spans="1:8">
      <c r="A99" t="s">
        <v>168</v>
      </c>
      <c r="B99" t="s">
        <v>61</v>
      </c>
      <c r="C99" t="s">
        <v>46</v>
      </c>
      <c r="D99" t="s">
        <v>76</v>
      </c>
      <c r="E99" t="s">
        <v>43</v>
      </c>
      <c r="F99">
        <v>399940</v>
      </c>
      <c r="G99">
        <v>7</v>
      </c>
      <c r="H99" t="s">
        <v>44</v>
      </c>
    </row>
    <row r="100" spans="1:8">
      <c r="A100" t="s">
        <v>169</v>
      </c>
      <c r="B100" t="s">
        <v>64</v>
      </c>
      <c r="C100" t="s">
        <v>41</v>
      </c>
      <c r="D100" t="s">
        <v>87</v>
      </c>
      <c r="E100" t="s">
        <v>43</v>
      </c>
      <c r="F100">
        <v>231891</v>
      </c>
      <c r="G100">
        <v>4</v>
      </c>
      <c r="H100" t="s">
        <v>59</v>
      </c>
    </row>
    <row r="101" spans="1:8">
      <c r="A101" t="s">
        <v>170</v>
      </c>
      <c r="B101" t="s">
        <v>51</v>
      </c>
      <c r="C101" t="s">
        <v>52</v>
      </c>
      <c r="D101" t="s">
        <v>90</v>
      </c>
      <c r="E101" t="s">
        <v>43</v>
      </c>
      <c r="F101">
        <v>203199</v>
      </c>
      <c r="G101">
        <v>8</v>
      </c>
      <c r="H101" t="s">
        <v>66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1B33A-B47F-4C88-BCFE-78803CF71813}">
  <dimension ref="A1:P105"/>
  <sheetViews>
    <sheetView topLeftCell="A91" workbookViewId="0">
      <selection activeCell="G2" sqref="G2"/>
    </sheetView>
  </sheetViews>
  <sheetFormatPr defaultRowHeight="15"/>
  <cols>
    <col min="1" max="2" width="14.28515625" customWidth="1"/>
    <col min="3" max="3" width="16.140625" customWidth="1"/>
    <col min="4" max="6" width="13.85546875" customWidth="1"/>
    <col min="7" max="7" width="23.5703125" customWidth="1"/>
    <col min="8" max="11" width="13.85546875" customWidth="1"/>
    <col min="12" max="12" width="19.85546875" customWidth="1"/>
    <col min="13" max="13" width="16.140625" customWidth="1"/>
    <col min="14" max="14" width="14.5703125" style="14" customWidth="1"/>
    <col min="15" max="15" width="19.7109375" customWidth="1"/>
    <col min="16" max="16" width="15.28515625" customWidth="1"/>
  </cols>
  <sheetData>
    <row r="1" spans="1:16">
      <c r="A1" s="3" t="s">
        <v>31</v>
      </c>
      <c r="B1" s="2" t="s">
        <v>32</v>
      </c>
      <c r="C1" s="2" t="s">
        <v>171</v>
      </c>
      <c r="D1" s="2" t="s">
        <v>172</v>
      </c>
      <c r="E1" s="2" t="s">
        <v>197</v>
      </c>
      <c r="F1" s="2" t="s">
        <v>198</v>
      </c>
      <c r="G1" s="2" t="s">
        <v>193</v>
      </c>
      <c r="H1" s="2" t="s">
        <v>33</v>
      </c>
      <c r="I1" s="2" t="s">
        <v>194</v>
      </c>
      <c r="J1" s="2" t="s">
        <v>195</v>
      </c>
      <c r="K1" s="2" t="s">
        <v>196</v>
      </c>
      <c r="L1" s="2" t="s">
        <v>34</v>
      </c>
      <c r="M1" s="2" t="s">
        <v>35</v>
      </c>
      <c r="N1" s="11" t="s">
        <v>36</v>
      </c>
      <c r="O1" s="2" t="s">
        <v>37</v>
      </c>
      <c r="P1" s="4" t="s">
        <v>38</v>
      </c>
    </row>
    <row r="2" spans="1:16">
      <c r="A2" s="7" t="s">
        <v>39</v>
      </c>
      <c r="B2" s="8" t="s">
        <v>40</v>
      </c>
      <c r="C2" s="8" t="s">
        <v>173</v>
      </c>
      <c r="D2" s="8" t="s">
        <v>174</v>
      </c>
      <c r="E2" s="8" t="str">
        <f>_xlfn.CONCAT(Table1[[#This Row],[First Name]]," ",Table1[[#This Row],[Last Name]])</f>
        <v>Sade Bassey</v>
      </c>
      <c r="F2" s="8">
        <f>LEN(Table1[[#This Row],[Full Name2]])</f>
        <v>11</v>
      </c>
      <c r="G2" s="8" t="str">
        <f>LOWER(Table1[[#This Row],[First Name]]&amp; "."&amp;Table1[[#This Row],[Last Name]]&amp;"@dame.com")</f>
        <v>sade.bassey@dame.com</v>
      </c>
      <c r="H2" s="8" t="s">
        <v>41</v>
      </c>
      <c r="I2" s="8" t="str">
        <f>UPPER(Table1[[#This Row],[Department]])</f>
        <v>IT</v>
      </c>
      <c r="J2" s="8" t="str">
        <f>LOWER(Table1[[#This Row],[Department]])</f>
        <v>it</v>
      </c>
      <c r="K2" s="8" t="str">
        <f>PROPER(Table1[[#This Row],[Department]])</f>
        <v>It</v>
      </c>
      <c r="L2" s="8" t="s">
        <v>42</v>
      </c>
      <c r="M2" s="8" t="s">
        <v>43</v>
      </c>
      <c r="N2" s="12">
        <v>400712</v>
      </c>
      <c r="O2" s="8">
        <v>4</v>
      </c>
      <c r="P2" s="9" t="s">
        <v>44</v>
      </c>
    </row>
    <row r="3" spans="1:16">
      <c r="A3" s="7" t="s">
        <v>45</v>
      </c>
      <c r="B3" s="8" t="s">
        <v>40</v>
      </c>
      <c r="C3" s="8" t="s">
        <v>173</v>
      </c>
      <c r="D3" s="8" t="s">
        <v>174</v>
      </c>
      <c r="E3" s="8" t="str">
        <f>_xlfn.CONCAT(Table1[[#This Row],[First Name]]," ",Table1[[#This Row],[Last Name]])</f>
        <v>Sade Bassey</v>
      </c>
      <c r="F3" s="8">
        <f>LEN(Table1[[#This Row],[Full Name2]])</f>
        <v>11</v>
      </c>
      <c r="G3" s="8" t="str">
        <f>LOWER(Table1[[#This Row],[First Name]]&amp; "."&amp;Table1[[#This Row],[Last Name]]&amp;"@dame.com")</f>
        <v>sade.bassey@dame.com</v>
      </c>
      <c r="H3" s="8" t="s">
        <v>46</v>
      </c>
      <c r="I3" s="8" t="str">
        <f>UPPER(Table1[[#This Row],[Department]])</f>
        <v>MARKETING</v>
      </c>
      <c r="J3" s="8" t="str">
        <f>LOWER(Table1[[#This Row],[Department]])</f>
        <v>marketing</v>
      </c>
      <c r="K3" s="8" t="str">
        <f>PROPER(Table1[[#This Row],[Department]])</f>
        <v>Marketing</v>
      </c>
      <c r="L3" s="8" t="s">
        <v>47</v>
      </c>
      <c r="M3" s="8" t="s">
        <v>48</v>
      </c>
      <c r="N3" s="12">
        <v>200754</v>
      </c>
      <c r="O3" s="8">
        <v>10</v>
      </c>
      <c r="P3" s="9" t="s">
        <v>49</v>
      </c>
    </row>
    <row r="4" spans="1:16">
      <c r="A4" s="7" t="s">
        <v>50</v>
      </c>
      <c r="B4" s="8" t="s">
        <v>51</v>
      </c>
      <c r="C4" s="8" t="s">
        <v>175</v>
      </c>
      <c r="D4" s="8" t="s">
        <v>176</v>
      </c>
      <c r="E4" s="8" t="str">
        <f>_xlfn.CONCAT(Table1[[#This Row],[First Name]]," ",Table1[[#This Row],[Last Name]])</f>
        <v>Faith Udo</v>
      </c>
      <c r="F4" s="8">
        <f>LEN(Table1[[#This Row],[Full Name2]])</f>
        <v>9</v>
      </c>
      <c r="G4" s="8" t="str">
        <f>LOWER(Table1[[#This Row],[First Name]]&amp; "."&amp;Table1[[#This Row],[Last Name]]&amp;"@dame.com")</f>
        <v>faith.udo@dame.com</v>
      </c>
      <c r="H4" s="8" t="s">
        <v>52</v>
      </c>
      <c r="I4" s="8" t="str">
        <f>UPPER(Table1[[#This Row],[Department]])</f>
        <v>SALES</v>
      </c>
      <c r="J4" s="8" t="str">
        <f>LOWER(Table1[[#This Row],[Department]])</f>
        <v>sales</v>
      </c>
      <c r="K4" s="8" t="str">
        <f>PROPER(Table1[[#This Row],[Department]])</f>
        <v>Sales</v>
      </c>
      <c r="L4" s="8" t="s">
        <v>47</v>
      </c>
      <c r="M4" s="8" t="s">
        <v>43</v>
      </c>
      <c r="N4" s="12">
        <v>457735</v>
      </c>
      <c r="O4" s="8">
        <v>3</v>
      </c>
      <c r="P4" s="9" t="s">
        <v>44</v>
      </c>
    </row>
    <row r="5" spans="1:16">
      <c r="A5" s="7" t="s">
        <v>53</v>
      </c>
      <c r="B5" s="8" t="s">
        <v>40</v>
      </c>
      <c r="C5" s="8" t="s">
        <v>173</v>
      </c>
      <c r="D5" s="8" t="s">
        <v>174</v>
      </c>
      <c r="E5" s="8" t="str">
        <f>_xlfn.CONCAT(Table1[[#This Row],[First Name]]," ",Table1[[#This Row],[Last Name]])</f>
        <v>Sade Bassey</v>
      </c>
      <c r="F5" s="8">
        <f>LEN(Table1[[#This Row],[Full Name2]])</f>
        <v>11</v>
      </c>
      <c r="G5" s="8" t="str">
        <f>LOWER(Table1[[#This Row],[First Name]]&amp; "."&amp;Table1[[#This Row],[Last Name]]&amp;"@dame.com")</f>
        <v>sade.bassey@dame.com</v>
      </c>
      <c r="H5" s="8" t="s">
        <v>54</v>
      </c>
      <c r="I5" s="8" t="str">
        <f>UPPER(Table1[[#This Row],[Department]])</f>
        <v>FINANCE</v>
      </c>
      <c r="J5" s="8" t="str">
        <f>LOWER(Table1[[#This Row],[Department]])</f>
        <v>finance</v>
      </c>
      <c r="K5" s="8" t="str">
        <f>PROPER(Table1[[#This Row],[Department]])</f>
        <v>Finance</v>
      </c>
      <c r="L5" s="8" t="s">
        <v>55</v>
      </c>
      <c r="M5" s="8" t="s">
        <v>43</v>
      </c>
      <c r="N5" s="12">
        <v>337091</v>
      </c>
      <c r="O5" s="8">
        <v>2</v>
      </c>
      <c r="P5" s="9" t="s">
        <v>56</v>
      </c>
    </row>
    <row r="6" spans="1:16">
      <c r="A6" s="7" t="s">
        <v>57</v>
      </c>
      <c r="B6" s="8" t="s">
        <v>58</v>
      </c>
      <c r="C6" s="8" t="s">
        <v>177</v>
      </c>
      <c r="D6" s="8" t="s">
        <v>178</v>
      </c>
      <c r="E6" s="8" t="str">
        <f>_xlfn.CONCAT(Table1[[#This Row],[First Name]]," ",Table1[[#This Row],[Last Name]])</f>
        <v>Ibrahim Musa</v>
      </c>
      <c r="F6" s="8">
        <f>LEN(Table1[[#This Row],[Full Name2]])</f>
        <v>12</v>
      </c>
      <c r="G6" s="8" t="str">
        <f>LOWER(Table1[[#This Row],[First Name]]&amp; "."&amp;Table1[[#This Row],[Last Name]]&amp;"@dame.com")</f>
        <v>ibrahim.musa@dame.com</v>
      </c>
      <c r="H6" s="8" t="s">
        <v>41</v>
      </c>
      <c r="I6" s="8" t="str">
        <f>UPPER(Table1[[#This Row],[Department]])</f>
        <v>IT</v>
      </c>
      <c r="J6" s="8" t="str">
        <f>LOWER(Table1[[#This Row],[Department]])</f>
        <v>it</v>
      </c>
      <c r="K6" s="8" t="str">
        <f>PROPER(Table1[[#This Row],[Department]])</f>
        <v>It</v>
      </c>
      <c r="L6" s="8" t="s">
        <v>47</v>
      </c>
      <c r="M6" s="8" t="s">
        <v>48</v>
      </c>
      <c r="N6" s="12">
        <v>436492</v>
      </c>
      <c r="O6" s="8">
        <v>5</v>
      </c>
      <c r="P6" s="9" t="s">
        <v>59</v>
      </c>
    </row>
    <row r="7" spans="1:16">
      <c r="A7" s="7" t="s">
        <v>60</v>
      </c>
      <c r="B7" s="8" t="s">
        <v>61</v>
      </c>
      <c r="C7" s="8" t="s">
        <v>179</v>
      </c>
      <c r="D7" s="8" t="s">
        <v>180</v>
      </c>
      <c r="E7" s="8" t="str">
        <f>_xlfn.CONCAT(Table1[[#This Row],[First Name]]," ",Table1[[#This Row],[Last Name]])</f>
        <v>Tunde Salisu</v>
      </c>
      <c r="F7" s="8">
        <f>LEN(Table1[[#This Row],[Full Name2]])</f>
        <v>12</v>
      </c>
      <c r="G7" s="8" t="str">
        <f>LOWER(Table1[[#This Row],[First Name]]&amp; "."&amp;Table1[[#This Row],[Last Name]]&amp;"@dame.com")</f>
        <v>tunde.salisu@dame.com</v>
      </c>
      <c r="H7" s="8" t="s">
        <v>41</v>
      </c>
      <c r="I7" s="8" t="str">
        <f>UPPER(Table1[[#This Row],[Department]])</f>
        <v>IT</v>
      </c>
      <c r="J7" s="8" t="str">
        <f>LOWER(Table1[[#This Row],[Department]])</f>
        <v>it</v>
      </c>
      <c r="K7" s="8" t="str">
        <f>PROPER(Table1[[#This Row],[Department]])</f>
        <v>It</v>
      </c>
      <c r="L7" s="8" t="s">
        <v>62</v>
      </c>
      <c r="M7" s="8" t="s">
        <v>43</v>
      </c>
      <c r="N7" s="12">
        <v>404484</v>
      </c>
      <c r="O7" s="8">
        <v>10</v>
      </c>
      <c r="P7" s="9" t="s">
        <v>56</v>
      </c>
    </row>
    <row r="8" spans="1:16">
      <c r="A8" s="7" t="s">
        <v>63</v>
      </c>
      <c r="B8" s="8" t="s">
        <v>64</v>
      </c>
      <c r="C8" s="8" t="s">
        <v>181</v>
      </c>
      <c r="D8" s="8" t="s">
        <v>182</v>
      </c>
      <c r="E8" s="8" t="str">
        <f>_xlfn.CONCAT(Table1[[#This Row],[First Name]]," ",Table1[[#This Row],[Last Name]])</f>
        <v>James Obi</v>
      </c>
      <c r="F8" s="8">
        <f>LEN(Table1[[#This Row],[Full Name2]])</f>
        <v>9</v>
      </c>
      <c r="G8" s="8" t="str">
        <f>LOWER(Table1[[#This Row],[First Name]]&amp; "."&amp;Table1[[#This Row],[Last Name]]&amp;"@dame.com")</f>
        <v>james.obi@dame.com</v>
      </c>
      <c r="H8" s="8" t="s">
        <v>41</v>
      </c>
      <c r="I8" s="8" t="str">
        <f>UPPER(Table1[[#This Row],[Department]])</f>
        <v>IT</v>
      </c>
      <c r="J8" s="8" t="str">
        <f>LOWER(Table1[[#This Row],[Department]])</f>
        <v>it</v>
      </c>
      <c r="K8" s="8" t="str">
        <f>PROPER(Table1[[#This Row],[Department]])</f>
        <v>It</v>
      </c>
      <c r="L8" s="8" t="s">
        <v>42</v>
      </c>
      <c r="M8" s="8" t="s">
        <v>43</v>
      </c>
      <c r="N8" s="12">
        <v>450806</v>
      </c>
      <c r="O8" s="8">
        <v>3</v>
      </c>
      <c r="P8" s="9" t="s">
        <v>49</v>
      </c>
    </row>
    <row r="9" spans="1:16">
      <c r="A9" s="7" t="s">
        <v>65</v>
      </c>
      <c r="B9" s="8" t="s">
        <v>58</v>
      </c>
      <c r="C9" s="8" t="s">
        <v>177</v>
      </c>
      <c r="D9" s="8" t="s">
        <v>178</v>
      </c>
      <c r="E9" s="8" t="str">
        <f>_xlfn.CONCAT(Table1[[#This Row],[First Name]]," ",Table1[[#This Row],[Last Name]])</f>
        <v>Ibrahim Musa</v>
      </c>
      <c r="F9" s="8">
        <f>LEN(Table1[[#This Row],[Full Name2]])</f>
        <v>12</v>
      </c>
      <c r="G9" s="8" t="str">
        <f>LOWER(Table1[[#This Row],[First Name]]&amp; "."&amp;Table1[[#This Row],[Last Name]]&amp;"@dame.com")</f>
        <v>ibrahim.musa@dame.com</v>
      </c>
      <c r="H9" s="8" t="s">
        <v>54</v>
      </c>
      <c r="I9" s="8" t="str">
        <f>UPPER(Table1[[#This Row],[Department]])</f>
        <v>FINANCE</v>
      </c>
      <c r="J9" s="8" t="str">
        <f>LOWER(Table1[[#This Row],[Department]])</f>
        <v>finance</v>
      </c>
      <c r="K9" s="8" t="str">
        <f>PROPER(Table1[[#This Row],[Department]])</f>
        <v>Finance</v>
      </c>
      <c r="L9" s="8" t="s">
        <v>47</v>
      </c>
      <c r="M9" s="8" t="s">
        <v>43</v>
      </c>
      <c r="N9" s="12">
        <v>307961</v>
      </c>
      <c r="O9" s="8">
        <v>2</v>
      </c>
      <c r="P9" s="9" t="s">
        <v>66</v>
      </c>
    </row>
    <row r="10" spans="1:16">
      <c r="A10" s="7" t="s">
        <v>67</v>
      </c>
      <c r="B10" s="8" t="s">
        <v>51</v>
      </c>
      <c r="C10" s="8" t="s">
        <v>175</v>
      </c>
      <c r="D10" s="8" t="s">
        <v>176</v>
      </c>
      <c r="E10" s="8" t="str">
        <f>_xlfn.CONCAT(Table1[[#This Row],[First Name]]," ",Table1[[#This Row],[Last Name]])</f>
        <v>Faith Udo</v>
      </c>
      <c r="F10" s="8">
        <f>LEN(Table1[[#This Row],[Full Name2]])</f>
        <v>9</v>
      </c>
      <c r="G10" s="8" t="str">
        <f>LOWER(Table1[[#This Row],[First Name]]&amp; "."&amp;Table1[[#This Row],[Last Name]]&amp;"@dame.com")</f>
        <v>faith.udo@dame.com</v>
      </c>
      <c r="H10" s="8" t="s">
        <v>52</v>
      </c>
      <c r="I10" s="8" t="str">
        <f>UPPER(Table1[[#This Row],[Department]])</f>
        <v>SALES</v>
      </c>
      <c r="J10" s="8" t="str">
        <f>LOWER(Table1[[#This Row],[Department]])</f>
        <v>sales</v>
      </c>
      <c r="K10" s="8" t="str">
        <f>PROPER(Table1[[#This Row],[Department]])</f>
        <v>Sales</v>
      </c>
      <c r="L10" s="8" t="s">
        <v>68</v>
      </c>
      <c r="M10" s="8" t="s">
        <v>48</v>
      </c>
      <c r="N10" s="12">
        <v>246421</v>
      </c>
      <c r="O10" s="8">
        <v>6</v>
      </c>
      <c r="P10" s="9" t="s">
        <v>59</v>
      </c>
    </row>
    <row r="11" spans="1:16">
      <c r="A11" s="7" t="s">
        <v>69</v>
      </c>
      <c r="B11" s="8" t="s">
        <v>70</v>
      </c>
      <c r="C11" s="8" t="s">
        <v>183</v>
      </c>
      <c r="D11" s="8" t="s">
        <v>184</v>
      </c>
      <c r="E11" s="8" t="str">
        <f>_xlfn.CONCAT(Table1[[#This Row],[First Name]]," ",Table1[[#This Row],[Last Name]])</f>
        <v>Tope Ade</v>
      </c>
      <c r="F11" s="8">
        <f>LEN(Table1[[#This Row],[Full Name2]])</f>
        <v>8</v>
      </c>
      <c r="G11" s="8" t="str">
        <f>LOWER(Table1[[#This Row],[First Name]]&amp; "."&amp;Table1[[#This Row],[Last Name]]&amp;"@dame.com")</f>
        <v>tope.ade@dame.com</v>
      </c>
      <c r="H11" s="8" t="s">
        <v>71</v>
      </c>
      <c r="I11" s="8" t="str">
        <f>UPPER(Table1[[#This Row],[Department]])</f>
        <v>HR</v>
      </c>
      <c r="J11" s="8" t="str">
        <f>LOWER(Table1[[#This Row],[Department]])</f>
        <v>hr</v>
      </c>
      <c r="K11" s="8" t="str">
        <f>PROPER(Table1[[#This Row],[Department]])</f>
        <v>Hr</v>
      </c>
      <c r="L11" s="8" t="s">
        <v>68</v>
      </c>
      <c r="M11" s="8" t="s">
        <v>48</v>
      </c>
      <c r="N11" s="12">
        <v>403684</v>
      </c>
      <c r="O11" s="8">
        <v>3</v>
      </c>
      <c r="P11" s="9" t="s">
        <v>49</v>
      </c>
    </row>
    <row r="12" spans="1:16">
      <c r="A12" s="7" t="s">
        <v>72</v>
      </c>
      <c r="B12" s="8" t="s">
        <v>64</v>
      </c>
      <c r="C12" s="8" t="s">
        <v>181</v>
      </c>
      <c r="D12" s="8" t="s">
        <v>182</v>
      </c>
      <c r="E12" s="8" t="str">
        <f>_xlfn.CONCAT(Table1[[#This Row],[First Name]]," ",Table1[[#This Row],[Last Name]])</f>
        <v>James Obi</v>
      </c>
      <c r="F12" s="8">
        <f>LEN(Table1[[#This Row],[Full Name2]])</f>
        <v>9</v>
      </c>
      <c r="G12" s="8" t="str">
        <f>LOWER(Table1[[#This Row],[First Name]]&amp; "."&amp;Table1[[#This Row],[Last Name]]&amp;"@dame.com")</f>
        <v>james.obi@dame.com</v>
      </c>
      <c r="H12" s="8" t="s">
        <v>46</v>
      </c>
      <c r="I12" s="8" t="str">
        <f>UPPER(Table1[[#This Row],[Department]])</f>
        <v>MARKETING</v>
      </c>
      <c r="J12" s="8" t="str">
        <f>LOWER(Table1[[#This Row],[Department]])</f>
        <v>marketing</v>
      </c>
      <c r="K12" s="8" t="str">
        <f>PROPER(Table1[[#This Row],[Department]])</f>
        <v>Marketing</v>
      </c>
      <c r="L12" s="8" t="s">
        <v>73</v>
      </c>
      <c r="M12" s="8" t="s">
        <v>43</v>
      </c>
      <c r="N12" s="12">
        <v>317995</v>
      </c>
      <c r="O12" s="8">
        <v>9</v>
      </c>
      <c r="P12" s="9" t="s">
        <v>59</v>
      </c>
    </row>
    <row r="13" spans="1:16">
      <c r="A13" s="7" t="s">
        <v>74</v>
      </c>
      <c r="B13" s="8" t="s">
        <v>75</v>
      </c>
      <c r="C13" s="8" t="s">
        <v>185</v>
      </c>
      <c r="D13" s="8" t="s">
        <v>186</v>
      </c>
      <c r="E13" s="8" t="str">
        <f>_xlfn.CONCAT(Table1[[#This Row],[First Name]]," ",Table1[[#This Row],[Last Name]])</f>
        <v>Chika Umeh</v>
      </c>
      <c r="F13" s="8">
        <f>LEN(Table1[[#This Row],[Full Name2]])</f>
        <v>10</v>
      </c>
      <c r="G13" s="8" t="str">
        <f>LOWER(Table1[[#This Row],[First Name]]&amp; "."&amp;Table1[[#This Row],[Last Name]]&amp;"@dame.com")</f>
        <v>chika.umeh@dame.com</v>
      </c>
      <c r="H13" s="8" t="s">
        <v>71</v>
      </c>
      <c r="I13" s="8" t="str">
        <f>UPPER(Table1[[#This Row],[Department]])</f>
        <v>HR</v>
      </c>
      <c r="J13" s="8" t="str">
        <f>LOWER(Table1[[#This Row],[Department]])</f>
        <v>hr</v>
      </c>
      <c r="K13" s="8" t="str">
        <f>PROPER(Table1[[#This Row],[Department]])</f>
        <v>Hr</v>
      </c>
      <c r="L13" s="8" t="s">
        <v>76</v>
      </c>
      <c r="M13" s="8" t="s">
        <v>43</v>
      </c>
      <c r="N13" s="12">
        <v>242669</v>
      </c>
      <c r="O13" s="8">
        <v>6</v>
      </c>
      <c r="P13" s="9" t="s">
        <v>59</v>
      </c>
    </row>
    <row r="14" spans="1:16">
      <c r="A14" s="7" t="s">
        <v>77</v>
      </c>
      <c r="B14" s="8" t="s">
        <v>75</v>
      </c>
      <c r="C14" s="8" t="s">
        <v>185</v>
      </c>
      <c r="D14" s="8" t="s">
        <v>186</v>
      </c>
      <c r="E14" s="8" t="str">
        <f>_xlfn.CONCAT(Table1[[#This Row],[First Name]]," ",Table1[[#This Row],[Last Name]])</f>
        <v>Chika Umeh</v>
      </c>
      <c r="F14" s="8">
        <f>LEN(Table1[[#This Row],[Full Name2]])</f>
        <v>10</v>
      </c>
      <c r="G14" s="8" t="str">
        <f>LOWER(Table1[[#This Row],[First Name]]&amp; "."&amp;Table1[[#This Row],[Last Name]]&amp;"@dame.com")</f>
        <v>chika.umeh@dame.com</v>
      </c>
      <c r="H14" s="8" t="s">
        <v>71</v>
      </c>
      <c r="I14" s="8" t="str">
        <f>UPPER(Table1[[#This Row],[Department]])</f>
        <v>HR</v>
      </c>
      <c r="J14" s="8" t="str">
        <f>LOWER(Table1[[#This Row],[Department]])</f>
        <v>hr</v>
      </c>
      <c r="K14" s="8" t="str">
        <f>PROPER(Table1[[#This Row],[Department]])</f>
        <v>Hr</v>
      </c>
      <c r="L14" s="8" t="s">
        <v>55</v>
      </c>
      <c r="M14" s="8" t="s">
        <v>48</v>
      </c>
      <c r="N14" s="12">
        <v>364238</v>
      </c>
      <c r="O14" s="8">
        <v>7</v>
      </c>
      <c r="P14" s="9" t="s">
        <v>56</v>
      </c>
    </row>
    <row r="15" spans="1:16">
      <c r="A15" s="7" t="s">
        <v>78</v>
      </c>
      <c r="B15" s="8" t="s">
        <v>40</v>
      </c>
      <c r="C15" s="8" t="s">
        <v>173</v>
      </c>
      <c r="D15" s="8" t="s">
        <v>174</v>
      </c>
      <c r="E15" s="8" t="str">
        <f>_xlfn.CONCAT(Table1[[#This Row],[First Name]]," ",Table1[[#This Row],[Last Name]])</f>
        <v>Sade Bassey</v>
      </c>
      <c r="F15" s="8">
        <f>LEN(Table1[[#This Row],[Full Name2]])</f>
        <v>11</v>
      </c>
      <c r="G15" s="8" t="str">
        <f>LOWER(Table1[[#This Row],[First Name]]&amp; "."&amp;Table1[[#This Row],[Last Name]]&amp;"@dame.com")</f>
        <v>sade.bassey@dame.com</v>
      </c>
      <c r="H15" s="8" t="s">
        <v>54</v>
      </c>
      <c r="I15" s="8" t="str">
        <f>UPPER(Table1[[#This Row],[Department]])</f>
        <v>FINANCE</v>
      </c>
      <c r="J15" s="8" t="str">
        <f>LOWER(Table1[[#This Row],[Department]])</f>
        <v>finance</v>
      </c>
      <c r="K15" s="8" t="str">
        <f>PROPER(Table1[[#This Row],[Department]])</f>
        <v>Finance</v>
      </c>
      <c r="L15" s="8" t="s">
        <v>79</v>
      </c>
      <c r="M15" s="8" t="s">
        <v>43</v>
      </c>
      <c r="N15" s="12">
        <v>215724</v>
      </c>
      <c r="O15" s="8">
        <v>9</v>
      </c>
      <c r="P15" s="9" t="s">
        <v>66</v>
      </c>
    </row>
    <row r="16" spans="1:16">
      <c r="A16" s="7" t="s">
        <v>80</v>
      </c>
      <c r="B16" s="8" t="s">
        <v>75</v>
      </c>
      <c r="C16" s="8" t="s">
        <v>185</v>
      </c>
      <c r="D16" s="8" t="s">
        <v>186</v>
      </c>
      <c r="E16" s="8" t="str">
        <f>_xlfn.CONCAT(Table1[[#This Row],[First Name]]," ",Table1[[#This Row],[Last Name]])</f>
        <v>Chika Umeh</v>
      </c>
      <c r="F16" s="8">
        <f>LEN(Table1[[#This Row],[Full Name2]])</f>
        <v>10</v>
      </c>
      <c r="G16" s="8" t="str">
        <f>LOWER(Table1[[#This Row],[First Name]]&amp; "."&amp;Table1[[#This Row],[Last Name]]&amp;"@dame.com")</f>
        <v>chika.umeh@dame.com</v>
      </c>
      <c r="H16" s="8" t="s">
        <v>46</v>
      </c>
      <c r="I16" s="8" t="str">
        <f>UPPER(Table1[[#This Row],[Department]])</f>
        <v>MARKETING</v>
      </c>
      <c r="J16" s="8" t="str">
        <f>LOWER(Table1[[#This Row],[Department]])</f>
        <v>marketing</v>
      </c>
      <c r="K16" s="8" t="str">
        <f>PROPER(Table1[[#This Row],[Department]])</f>
        <v>Marketing</v>
      </c>
      <c r="L16" s="8" t="s">
        <v>76</v>
      </c>
      <c r="M16" s="8" t="s">
        <v>48</v>
      </c>
      <c r="N16" s="12">
        <v>301679</v>
      </c>
      <c r="O16" s="8">
        <v>10</v>
      </c>
      <c r="P16" s="9" t="s">
        <v>49</v>
      </c>
    </row>
    <row r="17" spans="1:16">
      <c r="A17" s="7" t="s">
        <v>81</v>
      </c>
      <c r="B17" s="8" t="s">
        <v>58</v>
      </c>
      <c r="C17" s="8" t="s">
        <v>177</v>
      </c>
      <c r="D17" s="8" t="s">
        <v>178</v>
      </c>
      <c r="E17" s="8" t="str">
        <f>_xlfn.CONCAT(Table1[[#This Row],[First Name]]," ",Table1[[#This Row],[Last Name]])</f>
        <v>Ibrahim Musa</v>
      </c>
      <c r="F17" s="8">
        <f>LEN(Table1[[#This Row],[Full Name2]])</f>
        <v>12</v>
      </c>
      <c r="G17" s="8" t="str">
        <f>LOWER(Table1[[#This Row],[First Name]]&amp; "."&amp;Table1[[#This Row],[Last Name]]&amp;"@dame.com")</f>
        <v>ibrahim.musa@dame.com</v>
      </c>
      <c r="H17" s="8" t="s">
        <v>41</v>
      </c>
      <c r="I17" s="8" t="str">
        <f>UPPER(Table1[[#This Row],[Department]])</f>
        <v>IT</v>
      </c>
      <c r="J17" s="8" t="str">
        <f>LOWER(Table1[[#This Row],[Department]])</f>
        <v>it</v>
      </c>
      <c r="K17" s="8" t="str">
        <f>PROPER(Table1[[#This Row],[Department]])</f>
        <v>It</v>
      </c>
      <c r="L17" s="8" t="s">
        <v>79</v>
      </c>
      <c r="M17" s="8" t="s">
        <v>48</v>
      </c>
      <c r="N17" s="12">
        <v>243689</v>
      </c>
      <c r="O17" s="8">
        <v>3</v>
      </c>
      <c r="P17" s="9" t="s">
        <v>59</v>
      </c>
    </row>
    <row r="18" spans="1:16">
      <c r="A18" s="7" t="s">
        <v>82</v>
      </c>
      <c r="B18" s="8" t="s">
        <v>61</v>
      </c>
      <c r="C18" s="8" t="s">
        <v>179</v>
      </c>
      <c r="D18" s="8" t="s">
        <v>180</v>
      </c>
      <c r="E18" s="8" t="str">
        <f>_xlfn.CONCAT(Table1[[#This Row],[First Name]]," ",Table1[[#This Row],[Last Name]])</f>
        <v>Tunde Salisu</v>
      </c>
      <c r="F18" s="8">
        <f>LEN(Table1[[#This Row],[Full Name2]])</f>
        <v>12</v>
      </c>
      <c r="G18" s="8" t="str">
        <f>LOWER(Table1[[#This Row],[First Name]]&amp; "."&amp;Table1[[#This Row],[Last Name]]&amp;"@dame.com")</f>
        <v>tunde.salisu@dame.com</v>
      </c>
      <c r="H18" s="8" t="s">
        <v>41</v>
      </c>
      <c r="I18" s="8" t="str">
        <f>UPPER(Table1[[#This Row],[Department]])</f>
        <v>IT</v>
      </c>
      <c r="J18" s="8" t="str">
        <f>LOWER(Table1[[#This Row],[Department]])</f>
        <v>it</v>
      </c>
      <c r="K18" s="8" t="str">
        <f>PROPER(Table1[[#This Row],[Department]])</f>
        <v>It</v>
      </c>
      <c r="L18" s="8" t="s">
        <v>42</v>
      </c>
      <c r="M18" s="8" t="s">
        <v>43</v>
      </c>
      <c r="N18" s="12">
        <v>465805</v>
      </c>
      <c r="O18" s="8">
        <v>10</v>
      </c>
      <c r="P18" s="9" t="s">
        <v>49</v>
      </c>
    </row>
    <row r="19" spans="1:16">
      <c r="A19" s="7" t="s">
        <v>83</v>
      </c>
      <c r="B19" s="8" t="s">
        <v>75</v>
      </c>
      <c r="C19" s="8" t="s">
        <v>185</v>
      </c>
      <c r="D19" s="8" t="s">
        <v>186</v>
      </c>
      <c r="E19" s="8" t="str">
        <f>_xlfn.CONCAT(Table1[[#This Row],[First Name]]," ",Table1[[#This Row],[Last Name]])</f>
        <v>Chika Umeh</v>
      </c>
      <c r="F19" s="8">
        <f>LEN(Table1[[#This Row],[Full Name2]])</f>
        <v>10</v>
      </c>
      <c r="G19" s="8" t="str">
        <f>LOWER(Table1[[#This Row],[First Name]]&amp; "."&amp;Table1[[#This Row],[Last Name]]&amp;"@dame.com")</f>
        <v>chika.umeh@dame.com</v>
      </c>
      <c r="H19" s="8" t="s">
        <v>46</v>
      </c>
      <c r="I19" s="8" t="str">
        <f>UPPER(Table1[[#This Row],[Department]])</f>
        <v>MARKETING</v>
      </c>
      <c r="J19" s="8" t="str">
        <f>LOWER(Table1[[#This Row],[Department]])</f>
        <v>marketing</v>
      </c>
      <c r="K19" s="8" t="str">
        <f>PROPER(Table1[[#This Row],[Department]])</f>
        <v>Marketing</v>
      </c>
      <c r="L19" s="8" t="s">
        <v>47</v>
      </c>
      <c r="M19" s="8" t="s">
        <v>48</v>
      </c>
      <c r="N19" s="12">
        <v>414186</v>
      </c>
      <c r="O19" s="8">
        <v>7</v>
      </c>
      <c r="P19" s="9" t="s">
        <v>66</v>
      </c>
    </row>
    <row r="20" spans="1:16">
      <c r="A20" s="7" t="s">
        <v>84</v>
      </c>
      <c r="B20" s="8" t="s">
        <v>85</v>
      </c>
      <c r="C20" s="8" t="s">
        <v>187</v>
      </c>
      <c r="D20" s="8" t="s">
        <v>188</v>
      </c>
      <c r="E20" s="8" t="str">
        <f>_xlfn.CONCAT(Table1[[#This Row],[First Name]]," ",Table1[[#This Row],[Last Name]])</f>
        <v>Maria Okafor</v>
      </c>
      <c r="F20" s="8">
        <f>LEN(Table1[[#This Row],[Full Name2]])</f>
        <v>12</v>
      </c>
      <c r="G20" s="8" t="str">
        <f>LOWER(Table1[[#This Row],[First Name]]&amp; "."&amp;Table1[[#This Row],[Last Name]]&amp;"@dame.com")</f>
        <v>maria.okafor@dame.com</v>
      </c>
      <c r="H20" s="8" t="s">
        <v>71</v>
      </c>
      <c r="I20" s="8" t="str">
        <f>UPPER(Table1[[#This Row],[Department]])</f>
        <v>HR</v>
      </c>
      <c r="J20" s="8" t="str">
        <f>LOWER(Table1[[#This Row],[Department]])</f>
        <v>hr</v>
      </c>
      <c r="K20" s="8" t="str">
        <f>PROPER(Table1[[#This Row],[Department]])</f>
        <v>Hr</v>
      </c>
      <c r="L20" s="8" t="s">
        <v>47</v>
      </c>
      <c r="M20" s="8" t="s">
        <v>48</v>
      </c>
      <c r="N20" s="12">
        <v>282557</v>
      </c>
      <c r="O20" s="8">
        <v>9</v>
      </c>
      <c r="P20" s="9" t="s">
        <v>56</v>
      </c>
    </row>
    <row r="21" spans="1:16">
      <c r="A21" s="7" t="s">
        <v>86</v>
      </c>
      <c r="B21" s="8" t="s">
        <v>64</v>
      </c>
      <c r="C21" s="8" t="s">
        <v>181</v>
      </c>
      <c r="D21" s="8" t="s">
        <v>182</v>
      </c>
      <c r="E21" s="8" t="str">
        <f>_xlfn.CONCAT(Table1[[#This Row],[First Name]]," ",Table1[[#This Row],[Last Name]])</f>
        <v>James Obi</v>
      </c>
      <c r="F21" s="8">
        <f>LEN(Table1[[#This Row],[Full Name2]])</f>
        <v>9</v>
      </c>
      <c r="G21" s="8" t="str">
        <f>LOWER(Table1[[#This Row],[First Name]]&amp; "."&amp;Table1[[#This Row],[Last Name]]&amp;"@dame.com")</f>
        <v>james.obi@dame.com</v>
      </c>
      <c r="H21" s="8" t="s">
        <v>71</v>
      </c>
      <c r="I21" s="8" t="str">
        <f>UPPER(Table1[[#This Row],[Department]])</f>
        <v>HR</v>
      </c>
      <c r="J21" s="8" t="str">
        <f>LOWER(Table1[[#This Row],[Department]])</f>
        <v>hr</v>
      </c>
      <c r="K21" s="8" t="str">
        <f>PROPER(Table1[[#This Row],[Department]])</f>
        <v>Hr</v>
      </c>
      <c r="L21" s="8" t="s">
        <v>87</v>
      </c>
      <c r="M21" s="8" t="s">
        <v>43</v>
      </c>
      <c r="N21" s="12">
        <v>330692</v>
      </c>
      <c r="O21" s="8">
        <v>10</v>
      </c>
      <c r="P21" s="9" t="s">
        <v>59</v>
      </c>
    </row>
    <row r="22" spans="1:16">
      <c r="A22" s="7" t="s">
        <v>88</v>
      </c>
      <c r="B22" s="8" t="s">
        <v>75</v>
      </c>
      <c r="C22" s="8" t="s">
        <v>185</v>
      </c>
      <c r="D22" s="8" t="s">
        <v>186</v>
      </c>
      <c r="E22" s="8" t="str">
        <f>_xlfn.CONCAT(Table1[[#This Row],[First Name]]," ",Table1[[#This Row],[Last Name]])</f>
        <v>Chika Umeh</v>
      </c>
      <c r="F22" s="8">
        <f>LEN(Table1[[#This Row],[Full Name2]])</f>
        <v>10</v>
      </c>
      <c r="G22" s="8" t="str">
        <f>LOWER(Table1[[#This Row],[First Name]]&amp; "."&amp;Table1[[#This Row],[Last Name]]&amp;"@dame.com")</f>
        <v>chika.umeh@dame.com</v>
      </c>
      <c r="H22" s="8" t="s">
        <v>54</v>
      </c>
      <c r="I22" s="8" t="str">
        <f>UPPER(Table1[[#This Row],[Department]])</f>
        <v>FINANCE</v>
      </c>
      <c r="J22" s="8" t="str">
        <f>LOWER(Table1[[#This Row],[Department]])</f>
        <v>finance</v>
      </c>
      <c r="K22" s="8" t="str">
        <f>PROPER(Table1[[#This Row],[Department]])</f>
        <v>Finance</v>
      </c>
      <c r="L22" s="8" t="s">
        <v>55</v>
      </c>
      <c r="M22" s="8" t="s">
        <v>43</v>
      </c>
      <c r="N22" s="12">
        <v>334719</v>
      </c>
      <c r="O22" s="8">
        <v>4</v>
      </c>
      <c r="P22" s="9" t="s">
        <v>44</v>
      </c>
    </row>
    <row r="23" spans="1:16">
      <c r="A23" s="7" t="s">
        <v>89</v>
      </c>
      <c r="B23" s="8" t="s">
        <v>40</v>
      </c>
      <c r="C23" s="8" t="s">
        <v>173</v>
      </c>
      <c r="D23" s="8" t="s">
        <v>174</v>
      </c>
      <c r="E23" s="8" t="str">
        <f>_xlfn.CONCAT(Table1[[#This Row],[First Name]]," ",Table1[[#This Row],[Last Name]])</f>
        <v>Sade Bassey</v>
      </c>
      <c r="F23" s="8">
        <f>LEN(Table1[[#This Row],[Full Name2]])</f>
        <v>11</v>
      </c>
      <c r="G23" s="8" t="str">
        <f>LOWER(Table1[[#This Row],[First Name]]&amp; "."&amp;Table1[[#This Row],[Last Name]]&amp;"@dame.com")</f>
        <v>sade.bassey@dame.com</v>
      </c>
      <c r="H23" s="8" t="s">
        <v>52</v>
      </c>
      <c r="I23" s="8" t="str">
        <f>UPPER(Table1[[#This Row],[Department]])</f>
        <v>SALES</v>
      </c>
      <c r="J23" s="8" t="str">
        <f>LOWER(Table1[[#This Row],[Department]])</f>
        <v>sales</v>
      </c>
      <c r="K23" s="8" t="str">
        <f>PROPER(Table1[[#This Row],[Department]])</f>
        <v>Sales</v>
      </c>
      <c r="L23" s="8" t="s">
        <v>90</v>
      </c>
      <c r="M23" s="8" t="s">
        <v>48</v>
      </c>
      <c r="N23" s="12">
        <v>237212</v>
      </c>
      <c r="O23" s="8">
        <v>5</v>
      </c>
      <c r="P23" s="9" t="s">
        <v>59</v>
      </c>
    </row>
    <row r="24" spans="1:16">
      <c r="A24" s="7" t="s">
        <v>91</v>
      </c>
      <c r="B24" s="8" t="s">
        <v>51</v>
      </c>
      <c r="C24" s="8" t="s">
        <v>175</v>
      </c>
      <c r="D24" s="8" t="s">
        <v>176</v>
      </c>
      <c r="E24" s="8" t="str">
        <f>_xlfn.CONCAT(Table1[[#This Row],[First Name]]," ",Table1[[#This Row],[Last Name]])</f>
        <v>Faith Udo</v>
      </c>
      <c r="F24" s="8">
        <f>LEN(Table1[[#This Row],[Full Name2]])</f>
        <v>9</v>
      </c>
      <c r="G24" s="8" t="str">
        <f>LOWER(Table1[[#This Row],[First Name]]&amp; "."&amp;Table1[[#This Row],[Last Name]]&amp;"@dame.com")</f>
        <v>faith.udo@dame.com</v>
      </c>
      <c r="H24" s="8" t="s">
        <v>54</v>
      </c>
      <c r="I24" s="8" t="str">
        <f>UPPER(Table1[[#This Row],[Department]])</f>
        <v>FINANCE</v>
      </c>
      <c r="J24" s="8" t="str">
        <f>LOWER(Table1[[#This Row],[Department]])</f>
        <v>finance</v>
      </c>
      <c r="K24" s="8" t="str">
        <f>PROPER(Table1[[#This Row],[Department]])</f>
        <v>Finance</v>
      </c>
      <c r="L24" s="8" t="s">
        <v>62</v>
      </c>
      <c r="M24" s="8" t="s">
        <v>48</v>
      </c>
      <c r="N24" s="12">
        <v>382250</v>
      </c>
      <c r="O24" s="8">
        <v>1</v>
      </c>
      <c r="P24" s="9" t="s">
        <v>59</v>
      </c>
    </row>
    <row r="25" spans="1:16">
      <c r="A25" s="7" t="s">
        <v>92</v>
      </c>
      <c r="B25" s="8" t="s">
        <v>70</v>
      </c>
      <c r="C25" s="8" t="s">
        <v>183</v>
      </c>
      <c r="D25" s="8" t="s">
        <v>184</v>
      </c>
      <c r="E25" s="8" t="str">
        <f>_xlfn.CONCAT(Table1[[#This Row],[First Name]]," ",Table1[[#This Row],[Last Name]])</f>
        <v>Tope Ade</v>
      </c>
      <c r="F25" s="8">
        <f>LEN(Table1[[#This Row],[Full Name2]])</f>
        <v>8</v>
      </c>
      <c r="G25" s="8" t="str">
        <f>LOWER(Table1[[#This Row],[First Name]]&amp; "."&amp;Table1[[#This Row],[Last Name]]&amp;"@dame.com")</f>
        <v>tope.ade@dame.com</v>
      </c>
      <c r="H25" s="8" t="s">
        <v>41</v>
      </c>
      <c r="I25" s="8" t="str">
        <f>UPPER(Table1[[#This Row],[Department]])</f>
        <v>IT</v>
      </c>
      <c r="J25" s="8" t="str">
        <f>LOWER(Table1[[#This Row],[Department]])</f>
        <v>it</v>
      </c>
      <c r="K25" s="8" t="str">
        <f>PROPER(Table1[[#This Row],[Department]])</f>
        <v>It</v>
      </c>
      <c r="L25" s="8" t="s">
        <v>76</v>
      </c>
      <c r="M25" s="8" t="s">
        <v>48</v>
      </c>
      <c r="N25" s="12">
        <v>422408</v>
      </c>
      <c r="O25" s="8">
        <v>9</v>
      </c>
      <c r="P25" s="9" t="s">
        <v>59</v>
      </c>
    </row>
    <row r="26" spans="1:16">
      <c r="A26" s="7" t="s">
        <v>93</v>
      </c>
      <c r="B26" s="8" t="s">
        <v>94</v>
      </c>
      <c r="C26" s="8" t="s">
        <v>189</v>
      </c>
      <c r="D26" s="8" t="s">
        <v>190</v>
      </c>
      <c r="E26" s="8" t="str">
        <f>_xlfn.CONCAT(Table1[[#This Row],[First Name]]," ",Table1[[#This Row],[Last Name]])</f>
        <v>Ngozi Bello</v>
      </c>
      <c r="F26" s="8">
        <f>LEN(Table1[[#This Row],[Full Name2]])</f>
        <v>11</v>
      </c>
      <c r="G26" s="8" t="str">
        <f>LOWER(Table1[[#This Row],[First Name]]&amp; "."&amp;Table1[[#This Row],[Last Name]]&amp;"@dame.com")</f>
        <v>ngozi.bello@dame.com</v>
      </c>
      <c r="H26" s="8" t="s">
        <v>71</v>
      </c>
      <c r="I26" s="8" t="str">
        <f>UPPER(Table1[[#This Row],[Department]])</f>
        <v>HR</v>
      </c>
      <c r="J26" s="8" t="str">
        <f>LOWER(Table1[[#This Row],[Department]])</f>
        <v>hr</v>
      </c>
      <c r="K26" s="8" t="str">
        <f>PROPER(Table1[[#This Row],[Department]])</f>
        <v>Hr</v>
      </c>
      <c r="L26" s="8" t="s">
        <v>79</v>
      </c>
      <c r="M26" s="8" t="s">
        <v>43</v>
      </c>
      <c r="N26" s="12">
        <v>291740</v>
      </c>
      <c r="O26" s="8">
        <v>1</v>
      </c>
      <c r="P26" s="9" t="s">
        <v>59</v>
      </c>
    </row>
    <row r="27" spans="1:16">
      <c r="A27" s="7" t="s">
        <v>95</v>
      </c>
      <c r="B27" s="8" t="s">
        <v>51</v>
      </c>
      <c r="C27" s="8" t="s">
        <v>175</v>
      </c>
      <c r="D27" s="8" t="s">
        <v>176</v>
      </c>
      <c r="E27" s="8" t="str">
        <f>_xlfn.CONCAT(Table1[[#This Row],[First Name]]," ",Table1[[#This Row],[Last Name]])</f>
        <v>Faith Udo</v>
      </c>
      <c r="F27" s="8">
        <f>LEN(Table1[[#This Row],[Full Name2]])</f>
        <v>9</v>
      </c>
      <c r="G27" s="8" t="str">
        <f>LOWER(Table1[[#This Row],[First Name]]&amp; "."&amp;Table1[[#This Row],[Last Name]]&amp;"@dame.com")</f>
        <v>faith.udo@dame.com</v>
      </c>
      <c r="H27" s="8" t="s">
        <v>71</v>
      </c>
      <c r="I27" s="8" t="str">
        <f>UPPER(Table1[[#This Row],[Department]])</f>
        <v>HR</v>
      </c>
      <c r="J27" s="8" t="str">
        <f>LOWER(Table1[[#This Row],[Department]])</f>
        <v>hr</v>
      </c>
      <c r="K27" s="8" t="str">
        <f>PROPER(Table1[[#This Row],[Department]])</f>
        <v>Hr</v>
      </c>
      <c r="L27" s="8" t="s">
        <v>90</v>
      </c>
      <c r="M27" s="8" t="s">
        <v>48</v>
      </c>
      <c r="N27" s="12">
        <v>417509</v>
      </c>
      <c r="O27" s="8">
        <v>7</v>
      </c>
      <c r="P27" s="9" t="s">
        <v>66</v>
      </c>
    </row>
    <row r="28" spans="1:16">
      <c r="A28" s="7" t="s">
        <v>96</v>
      </c>
      <c r="B28" s="8" t="s">
        <v>51</v>
      </c>
      <c r="C28" s="8" t="s">
        <v>175</v>
      </c>
      <c r="D28" s="8" t="s">
        <v>176</v>
      </c>
      <c r="E28" s="8" t="str">
        <f>_xlfn.CONCAT(Table1[[#This Row],[First Name]]," ",Table1[[#This Row],[Last Name]])</f>
        <v>Faith Udo</v>
      </c>
      <c r="F28" s="8">
        <f>LEN(Table1[[#This Row],[Full Name2]])</f>
        <v>9</v>
      </c>
      <c r="G28" s="8" t="str">
        <f>LOWER(Table1[[#This Row],[First Name]]&amp; "."&amp;Table1[[#This Row],[Last Name]]&amp;"@dame.com")</f>
        <v>faith.udo@dame.com</v>
      </c>
      <c r="H28" s="8" t="s">
        <v>52</v>
      </c>
      <c r="I28" s="8" t="str">
        <f>UPPER(Table1[[#This Row],[Department]])</f>
        <v>SALES</v>
      </c>
      <c r="J28" s="8" t="str">
        <f>LOWER(Table1[[#This Row],[Department]])</f>
        <v>sales</v>
      </c>
      <c r="K28" s="8" t="str">
        <f>PROPER(Table1[[#This Row],[Department]])</f>
        <v>Sales</v>
      </c>
      <c r="L28" s="8" t="s">
        <v>47</v>
      </c>
      <c r="M28" s="8" t="s">
        <v>43</v>
      </c>
      <c r="N28" s="12">
        <v>450750</v>
      </c>
      <c r="O28" s="8">
        <v>4</v>
      </c>
      <c r="P28" s="9" t="s">
        <v>44</v>
      </c>
    </row>
    <row r="29" spans="1:16">
      <c r="A29" s="7" t="s">
        <v>97</v>
      </c>
      <c r="B29" s="8" t="s">
        <v>70</v>
      </c>
      <c r="C29" s="8" t="s">
        <v>183</v>
      </c>
      <c r="D29" s="8" t="s">
        <v>184</v>
      </c>
      <c r="E29" s="8" t="str">
        <f>_xlfn.CONCAT(Table1[[#This Row],[First Name]]," ",Table1[[#This Row],[Last Name]])</f>
        <v>Tope Ade</v>
      </c>
      <c r="F29" s="8">
        <f>LEN(Table1[[#This Row],[Full Name2]])</f>
        <v>8</v>
      </c>
      <c r="G29" s="8" t="str">
        <f>LOWER(Table1[[#This Row],[First Name]]&amp; "."&amp;Table1[[#This Row],[Last Name]]&amp;"@dame.com")</f>
        <v>tope.ade@dame.com</v>
      </c>
      <c r="H29" s="8" t="s">
        <v>71</v>
      </c>
      <c r="I29" s="8" t="str">
        <f>UPPER(Table1[[#This Row],[Department]])</f>
        <v>HR</v>
      </c>
      <c r="J29" s="8" t="str">
        <f>LOWER(Table1[[#This Row],[Department]])</f>
        <v>hr</v>
      </c>
      <c r="K29" s="8" t="str">
        <f>PROPER(Table1[[#This Row],[Department]])</f>
        <v>Hr</v>
      </c>
      <c r="L29" s="8" t="s">
        <v>90</v>
      </c>
      <c r="M29" s="8" t="s">
        <v>43</v>
      </c>
      <c r="N29" s="12">
        <v>281642</v>
      </c>
      <c r="O29" s="8">
        <v>5</v>
      </c>
      <c r="P29" s="9" t="s">
        <v>56</v>
      </c>
    </row>
    <row r="30" spans="1:16">
      <c r="A30" s="7" t="s">
        <v>98</v>
      </c>
      <c r="B30" s="8" t="s">
        <v>64</v>
      </c>
      <c r="C30" s="8" t="s">
        <v>181</v>
      </c>
      <c r="D30" s="8" t="s">
        <v>182</v>
      </c>
      <c r="E30" s="8" t="str">
        <f>_xlfn.CONCAT(Table1[[#This Row],[First Name]]," ",Table1[[#This Row],[Last Name]])</f>
        <v>James Obi</v>
      </c>
      <c r="F30" s="8">
        <f>LEN(Table1[[#This Row],[Full Name2]])</f>
        <v>9</v>
      </c>
      <c r="G30" s="8" t="str">
        <f>LOWER(Table1[[#This Row],[First Name]]&amp; "."&amp;Table1[[#This Row],[Last Name]]&amp;"@dame.com")</f>
        <v>james.obi@dame.com</v>
      </c>
      <c r="H30" s="8" t="s">
        <v>52</v>
      </c>
      <c r="I30" s="8" t="str">
        <f>UPPER(Table1[[#This Row],[Department]])</f>
        <v>SALES</v>
      </c>
      <c r="J30" s="8" t="str">
        <f>LOWER(Table1[[#This Row],[Department]])</f>
        <v>sales</v>
      </c>
      <c r="K30" s="8" t="str">
        <f>PROPER(Table1[[#This Row],[Department]])</f>
        <v>Sales</v>
      </c>
      <c r="L30" s="8" t="s">
        <v>62</v>
      </c>
      <c r="M30" s="8" t="s">
        <v>48</v>
      </c>
      <c r="N30" s="12">
        <v>291645</v>
      </c>
      <c r="O30" s="8">
        <v>10</v>
      </c>
      <c r="P30" s="9" t="s">
        <v>44</v>
      </c>
    </row>
    <row r="31" spans="1:16">
      <c r="A31" s="7" t="s">
        <v>99</v>
      </c>
      <c r="B31" s="8" t="s">
        <v>58</v>
      </c>
      <c r="C31" s="8" t="s">
        <v>177</v>
      </c>
      <c r="D31" s="8" t="s">
        <v>178</v>
      </c>
      <c r="E31" s="8" t="str">
        <f>_xlfn.CONCAT(Table1[[#This Row],[First Name]]," ",Table1[[#This Row],[Last Name]])</f>
        <v>Ibrahim Musa</v>
      </c>
      <c r="F31" s="8">
        <f>LEN(Table1[[#This Row],[Full Name2]])</f>
        <v>12</v>
      </c>
      <c r="G31" s="8" t="str">
        <f>LOWER(Table1[[#This Row],[First Name]]&amp; "."&amp;Table1[[#This Row],[Last Name]]&amp;"@dame.com")</f>
        <v>ibrahim.musa@dame.com</v>
      </c>
      <c r="H31" s="8" t="s">
        <v>41</v>
      </c>
      <c r="I31" s="8" t="str">
        <f>UPPER(Table1[[#This Row],[Department]])</f>
        <v>IT</v>
      </c>
      <c r="J31" s="8" t="str">
        <f>LOWER(Table1[[#This Row],[Department]])</f>
        <v>it</v>
      </c>
      <c r="K31" s="8" t="str">
        <f>PROPER(Table1[[#This Row],[Department]])</f>
        <v>It</v>
      </c>
      <c r="L31" s="8" t="s">
        <v>62</v>
      </c>
      <c r="M31" s="8" t="s">
        <v>48</v>
      </c>
      <c r="N31" s="12">
        <v>309288</v>
      </c>
      <c r="O31" s="8">
        <v>7</v>
      </c>
      <c r="P31" s="9" t="s">
        <v>59</v>
      </c>
    </row>
    <row r="32" spans="1:16">
      <c r="A32" s="7" t="s">
        <v>100</v>
      </c>
      <c r="B32" s="8" t="s">
        <v>58</v>
      </c>
      <c r="C32" s="8" t="s">
        <v>177</v>
      </c>
      <c r="D32" s="8" t="s">
        <v>178</v>
      </c>
      <c r="E32" s="8" t="str">
        <f>_xlfn.CONCAT(Table1[[#This Row],[First Name]]," ",Table1[[#This Row],[Last Name]])</f>
        <v>Ibrahim Musa</v>
      </c>
      <c r="F32" s="8">
        <f>LEN(Table1[[#This Row],[Full Name2]])</f>
        <v>12</v>
      </c>
      <c r="G32" s="8" t="str">
        <f>LOWER(Table1[[#This Row],[First Name]]&amp; "."&amp;Table1[[#This Row],[Last Name]]&amp;"@dame.com")</f>
        <v>ibrahim.musa@dame.com</v>
      </c>
      <c r="H32" s="8" t="s">
        <v>71</v>
      </c>
      <c r="I32" s="8" t="str">
        <f>UPPER(Table1[[#This Row],[Department]])</f>
        <v>HR</v>
      </c>
      <c r="J32" s="8" t="str">
        <f>LOWER(Table1[[#This Row],[Department]])</f>
        <v>hr</v>
      </c>
      <c r="K32" s="8" t="str">
        <f>PROPER(Table1[[#This Row],[Department]])</f>
        <v>Hr</v>
      </c>
      <c r="L32" s="8" t="s">
        <v>47</v>
      </c>
      <c r="M32" s="8" t="s">
        <v>43</v>
      </c>
      <c r="N32" s="12">
        <v>271687</v>
      </c>
      <c r="O32" s="8">
        <v>10</v>
      </c>
      <c r="P32" s="9" t="s">
        <v>59</v>
      </c>
    </row>
    <row r="33" spans="1:16">
      <c r="A33" s="7" t="s">
        <v>101</v>
      </c>
      <c r="B33" s="8" t="s">
        <v>51</v>
      </c>
      <c r="C33" s="8" t="s">
        <v>175</v>
      </c>
      <c r="D33" s="8" t="s">
        <v>176</v>
      </c>
      <c r="E33" s="8" t="str">
        <f>_xlfn.CONCAT(Table1[[#This Row],[First Name]]," ",Table1[[#This Row],[Last Name]])</f>
        <v>Faith Udo</v>
      </c>
      <c r="F33" s="8">
        <f>LEN(Table1[[#This Row],[Full Name2]])</f>
        <v>9</v>
      </c>
      <c r="G33" s="8" t="str">
        <f>LOWER(Table1[[#This Row],[First Name]]&amp; "."&amp;Table1[[#This Row],[Last Name]]&amp;"@dame.com")</f>
        <v>faith.udo@dame.com</v>
      </c>
      <c r="H33" s="8" t="s">
        <v>41</v>
      </c>
      <c r="I33" s="8" t="str">
        <f>UPPER(Table1[[#This Row],[Department]])</f>
        <v>IT</v>
      </c>
      <c r="J33" s="8" t="str">
        <f>LOWER(Table1[[#This Row],[Department]])</f>
        <v>it</v>
      </c>
      <c r="K33" s="8" t="str">
        <f>PROPER(Table1[[#This Row],[Department]])</f>
        <v>It</v>
      </c>
      <c r="L33" s="8" t="s">
        <v>62</v>
      </c>
      <c r="M33" s="8" t="s">
        <v>43</v>
      </c>
      <c r="N33" s="12">
        <v>365101</v>
      </c>
      <c r="O33" s="8">
        <v>9</v>
      </c>
      <c r="P33" s="9" t="s">
        <v>56</v>
      </c>
    </row>
    <row r="34" spans="1:16">
      <c r="A34" s="7" t="s">
        <v>102</v>
      </c>
      <c r="B34" s="8" t="s">
        <v>94</v>
      </c>
      <c r="C34" s="8" t="s">
        <v>189</v>
      </c>
      <c r="D34" s="8" t="s">
        <v>190</v>
      </c>
      <c r="E34" s="8" t="str">
        <f>_xlfn.CONCAT(Table1[[#This Row],[First Name]]," ",Table1[[#This Row],[Last Name]])</f>
        <v>Ngozi Bello</v>
      </c>
      <c r="F34" s="8">
        <f>LEN(Table1[[#This Row],[Full Name2]])</f>
        <v>11</v>
      </c>
      <c r="G34" s="8" t="str">
        <f>LOWER(Table1[[#This Row],[First Name]]&amp; "."&amp;Table1[[#This Row],[Last Name]]&amp;"@dame.com")</f>
        <v>ngozi.bello@dame.com</v>
      </c>
      <c r="H34" s="8" t="s">
        <v>41</v>
      </c>
      <c r="I34" s="8" t="str">
        <f>UPPER(Table1[[#This Row],[Department]])</f>
        <v>IT</v>
      </c>
      <c r="J34" s="8" t="str">
        <f>LOWER(Table1[[#This Row],[Department]])</f>
        <v>it</v>
      </c>
      <c r="K34" s="8" t="str">
        <f>PROPER(Table1[[#This Row],[Department]])</f>
        <v>It</v>
      </c>
      <c r="L34" s="8" t="s">
        <v>90</v>
      </c>
      <c r="M34" s="8" t="s">
        <v>43</v>
      </c>
      <c r="N34" s="12">
        <v>472149</v>
      </c>
      <c r="O34" s="8">
        <v>7</v>
      </c>
      <c r="P34" s="9" t="s">
        <v>66</v>
      </c>
    </row>
    <row r="35" spans="1:16">
      <c r="A35" s="7" t="s">
        <v>103</v>
      </c>
      <c r="B35" s="8" t="s">
        <v>58</v>
      </c>
      <c r="C35" s="8" t="s">
        <v>177</v>
      </c>
      <c r="D35" s="8" t="s">
        <v>178</v>
      </c>
      <c r="E35" s="8" t="str">
        <f>_xlfn.CONCAT(Table1[[#This Row],[First Name]]," ",Table1[[#This Row],[Last Name]])</f>
        <v>Ibrahim Musa</v>
      </c>
      <c r="F35" s="8">
        <f>LEN(Table1[[#This Row],[Full Name2]])</f>
        <v>12</v>
      </c>
      <c r="G35" s="8" t="str">
        <f>LOWER(Table1[[#This Row],[First Name]]&amp; "."&amp;Table1[[#This Row],[Last Name]]&amp;"@dame.com")</f>
        <v>ibrahim.musa@dame.com</v>
      </c>
      <c r="H35" s="8" t="s">
        <v>52</v>
      </c>
      <c r="I35" s="8" t="str">
        <f>UPPER(Table1[[#This Row],[Department]])</f>
        <v>SALES</v>
      </c>
      <c r="J35" s="8" t="str">
        <f>LOWER(Table1[[#This Row],[Department]])</f>
        <v>sales</v>
      </c>
      <c r="K35" s="8" t="str">
        <f>PROPER(Table1[[#This Row],[Department]])</f>
        <v>Sales</v>
      </c>
      <c r="L35" s="8" t="s">
        <v>90</v>
      </c>
      <c r="M35" s="8" t="s">
        <v>43</v>
      </c>
      <c r="N35" s="12">
        <v>408551</v>
      </c>
      <c r="O35" s="8">
        <v>7</v>
      </c>
      <c r="P35" s="9" t="s">
        <v>66</v>
      </c>
    </row>
    <row r="36" spans="1:16">
      <c r="A36" s="7" t="s">
        <v>104</v>
      </c>
      <c r="B36" s="8" t="s">
        <v>94</v>
      </c>
      <c r="C36" s="8" t="s">
        <v>189</v>
      </c>
      <c r="D36" s="8" t="s">
        <v>190</v>
      </c>
      <c r="E36" s="8" t="str">
        <f>_xlfn.CONCAT(Table1[[#This Row],[First Name]]," ",Table1[[#This Row],[Last Name]])</f>
        <v>Ngozi Bello</v>
      </c>
      <c r="F36" s="8">
        <f>LEN(Table1[[#This Row],[Full Name2]])</f>
        <v>11</v>
      </c>
      <c r="G36" s="8" t="str">
        <f>LOWER(Table1[[#This Row],[First Name]]&amp; "."&amp;Table1[[#This Row],[Last Name]]&amp;"@dame.com")</f>
        <v>ngozi.bello@dame.com</v>
      </c>
      <c r="H36" s="8" t="s">
        <v>52</v>
      </c>
      <c r="I36" s="8" t="str">
        <f>UPPER(Table1[[#This Row],[Department]])</f>
        <v>SALES</v>
      </c>
      <c r="J36" s="8" t="str">
        <f>LOWER(Table1[[#This Row],[Department]])</f>
        <v>sales</v>
      </c>
      <c r="K36" s="8" t="str">
        <f>PROPER(Table1[[#This Row],[Department]])</f>
        <v>Sales</v>
      </c>
      <c r="L36" s="8" t="s">
        <v>90</v>
      </c>
      <c r="M36" s="8" t="s">
        <v>48</v>
      </c>
      <c r="N36" s="12">
        <v>334912</v>
      </c>
      <c r="O36" s="8">
        <v>2</v>
      </c>
      <c r="P36" s="9" t="s">
        <v>66</v>
      </c>
    </row>
    <row r="37" spans="1:16">
      <c r="A37" s="7" t="s">
        <v>105</v>
      </c>
      <c r="B37" s="8" t="s">
        <v>75</v>
      </c>
      <c r="C37" s="8" t="s">
        <v>185</v>
      </c>
      <c r="D37" s="8" t="s">
        <v>186</v>
      </c>
      <c r="E37" s="8" t="str">
        <f>_xlfn.CONCAT(Table1[[#This Row],[First Name]]," ",Table1[[#This Row],[Last Name]])</f>
        <v>Chika Umeh</v>
      </c>
      <c r="F37" s="8">
        <f>LEN(Table1[[#This Row],[Full Name2]])</f>
        <v>10</v>
      </c>
      <c r="G37" s="8" t="str">
        <f>LOWER(Table1[[#This Row],[First Name]]&amp; "."&amp;Table1[[#This Row],[Last Name]]&amp;"@dame.com")</f>
        <v>chika.umeh@dame.com</v>
      </c>
      <c r="H37" s="8" t="s">
        <v>54</v>
      </c>
      <c r="I37" s="8" t="str">
        <f>UPPER(Table1[[#This Row],[Department]])</f>
        <v>FINANCE</v>
      </c>
      <c r="J37" s="8" t="str">
        <f>LOWER(Table1[[#This Row],[Department]])</f>
        <v>finance</v>
      </c>
      <c r="K37" s="8" t="str">
        <f>PROPER(Table1[[#This Row],[Department]])</f>
        <v>Finance</v>
      </c>
      <c r="L37" s="8" t="s">
        <v>55</v>
      </c>
      <c r="M37" s="8" t="s">
        <v>48</v>
      </c>
      <c r="N37" s="12">
        <v>311844</v>
      </c>
      <c r="O37" s="8">
        <v>8</v>
      </c>
      <c r="P37" s="9" t="s">
        <v>56</v>
      </c>
    </row>
    <row r="38" spans="1:16">
      <c r="A38" s="7" t="s">
        <v>106</v>
      </c>
      <c r="B38" s="8" t="s">
        <v>70</v>
      </c>
      <c r="C38" s="8" t="s">
        <v>183</v>
      </c>
      <c r="D38" s="8" t="s">
        <v>184</v>
      </c>
      <c r="E38" s="8" t="str">
        <f>_xlfn.CONCAT(Table1[[#This Row],[First Name]]," ",Table1[[#This Row],[Last Name]])</f>
        <v>Tope Ade</v>
      </c>
      <c r="F38" s="8">
        <f>LEN(Table1[[#This Row],[Full Name2]])</f>
        <v>8</v>
      </c>
      <c r="G38" s="8" t="str">
        <f>LOWER(Table1[[#This Row],[First Name]]&amp; "."&amp;Table1[[#This Row],[Last Name]]&amp;"@dame.com")</f>
        <v>tope.ade@dame.com</v>
      </c>
      <c r="H38" s="8" t="s">
        <v>46</v>
      </c>
      <c r="I38" s="8" t="str">
        <f>UPPER(Table1[[#This Row],[Department]])</f>
        <v>MARKETING</v>
      </c>
      <c r="J38" s="8" t="str">
        <f>LOWER(Table1[[#This Row],[Department]])</f>
        <v>marketing</v>
      </c>
      <c r="K38" s="8" t="str">
        <f>PROPER(Table1[[#This Row],[Department]])</f>
        <v>Marketing</v>
      </c>
      <c r="L38" s="8" t="s">
        <v>42</v>
      </c>
      <c r="M38" s="8" t="s">
        <v>48</v>
      </c>
      <c r="N38" s="12">
        <v>222804</v>
      </c>
      <c r="O38" s="8">
        <v>8</v>
      </c>
      <c r="P38" s="9" t="s">
        <v>56</v>
      </c>
    </row>
    <row r="39" spans="1:16">
      <c r="A39" s="7" t="s">
        <v>107</v>
      </c>
      <c r="B39" s="8" t="s">
        <v>40</v>
      </c>
      <c r="C39" s="8" t="s">
        <v>173</v>
      </c>
      <c r="D39" s="8" t="s">
        <v>174</v>
      </c>
      <c r="E39" s="8" t="str">
        <f>_xlfn.CONCAT(Table1[[#This Row],[First Name]]," ",Table1[[#This Row],[Last Name]])</f>
        <v>Sade Bassey</v>
      </c>
      <c r="F39" s="8">
        <f>LEN(Table1[[#This Row],[Full Name2]])</f>
        <v>11</v>
      </c>
      <c r="G39" s="8" t="str">
        <f>LOWER(Table1[[#This Row],[First Name]]&amp; "."&amp;Table1[[#This Row],[Last Name]]&amp;"@dame.com")</f>
        <v>sade.bassey@dame.com</v>
      </c>
      <c r="H39" s="8" t="s">
        <v>54</v>
      </c>
      <c r="I39" s="8" t="str">
        <f>UPPER(Table1[[#This Row],[Department]])</f>
        <v>FINANCE</v>
      </c>
      <c r="J39" s="8" t="str">
        <f>LOWER(Table1[[#This Row],[Department]])</f>
        <v>finance</v>
      </c>
      <c r="K39" s="8" t="str">
        <f>PROPER(Table1[[#This Row],[Department]])</f>
        <v>Finance</v>
      </c>
      <c r="L39" s="8" t="s">
        <v>79</v>
      </c>
      <c r="M39" s="8" t="s">
        <v>43</v>
      </c>
      <c r="N39" s="12">
        <v>202674</v>
      </c>
      <c r="O39" s="8">
        <v>4</v>
      </c>
      <c r="P39" s="9" t="s">
        <v>44</v>
      </c>
    </row>
    <row r="40" spans="1:16">
      <c r="A40" s="7" t="s">
        <v>108</v>
      </c>
      <c r="B40" s="8" t="s">
        <v>40</v>
      </c>
      <c r="C40" s="8" t="s">
        <v>173</v>
      </c>
      <c r="D40" s="8" t="s">
        <v>174</v>
      </c>
      <c r="E40" s="8" t="str">
        <f>_xlfn.CONCAT(Table1[[#This Row],[First Name]]," ",Table1[[#This Row],[Last Name]])</f>
        <v>Sade Bassey</v>
      </c>
      <c r="F40" s="8">
        <f>LEN(Table1[[#This Row],[Full Name2]])</f>
        <v>11</v>
      </c>
      <c r="G40" s="8" t="str">
        <f>LOWER(Table1[[#This Row],[First Name]]&amp; "."&amp;Table1[[#This Row],[Last Name]]&amp;"@dame.com")</f>
        <v>sade.bassey@dame.com</v>
      </c>
      <c r="H40" s="8" t="s">
        <v>41</v>
      </c>
      <c r="I40" s="8" t="str">
        <f>UPPER(Table1[[#This Row],[Department]])</f>
        <v>IT</v>
      </c>
      <c r="J40" s="8" t="str">
        <f>LOWER(Table1[[#This Row],[Department]])</f>
        <v>it</v>
      </c>
      <c r="K40" s="8" t="str">
        <f>PROPER(Table1[[#This Row],[Department]])</f>
        <v>It</v>
      </c>
      <c r="L40" s="8" t="s">
        <v>76</v>
      </c>
      <c r="M40" s="8" t="s">
        <v>43</v>
      </c>
      <c r="N40" s="12">
        <v>481535</v>
      </c>
      <c r="O40" s="8">
        <v>10</v>
      </c>
      <c r="P40" s="9" t="s">
        <v>56</v>
      </c>
    </row>
    <row r="41" spans="1:16">
      <c r="A41" s="7" t="s">
        <v>109</v>
      </c>
      <c r="B41" s="8" t="s">
        <v>64</v>
      </c>
      <c r="C41" s="8" t="s">
        <v>181</v>
      </c>
      <c r="D41" s="8" t="s">
        <v>182</v>
      </c>
      <c r="E41" s="8" t="str">
        <f>_xlfn.CONCAT(Table1[[#This Row],[First Name]]," ",Table1[[#This Row],[Last Name]])</f>
        <v>James Obi</v>
      </c>
      <c r="F41" s="8">
        <f>LEN(Table1[[#This Row],[Full Name2]])</f>
        <v>9</v>
      </c>
      <c r="G41" s="8" t="str">
        <f>LOWER(Table1[[#This Row],[First Name]]&amp; "."&amp;Table1[[#This Row],[Last Name]]&amp;"@dame.com")</f>
        <v>james.obi@dame.com</v>
      </c>
      <c r="H41" s="8" t="s">
        <v>54</v>
      </c>
      <c r="I41" s="8" t="str">
        <f>UPPER(Table1[[#This Row],[Department]])</f>
        <v>FINANCE</v>
      </c>
      <c r="J41" s="8" t="str">
        <f>LOWER(Table1[[#This Row],[Department]])</f>
        <v>finance</v>
      </c>
      <c r="K41" s="8" t="str">
        <f>PROPER(Table1[[#This Row],[Department]])</f>
        <v>Finance</v>
      </c>
      <c r="L41" s="8" t="s">
        <v>55</v>
      </c>
      <c r="M41" s="8" t="s">
        <v>48</v>
      </c>
      <c r="N41" s="12">
        <v>338509</v>
      </c>
      <c r="O41" s="8">
        <v>1</v>
      </c>
      <c r="P41" s="9" t="s">
        <v>59</v>
      </c>
    </row>
    <row r="42" spans="1:16">
      <c r="A42" s="7" t="s">
        <v>110</v>
      </c>
      <c r="B42" s="8" t="s">
        <v>40</v>
      </c>
      <c r="C42" s="8" t="s">
        <v>173</v>
      </c>
      <c r="D42" s="8" t="s">
        <v>174</v>
      </c>
      <c r="E42" s="8" t="str">
        <f>_xlfn.CONCAT(Table1[[#This Row],[First Name]]," ",Table1[[#This Row],[Last Name]])</f>
        <v>Sade Bassey</v>
      </c>
      <c r="F42" s="8">
        <f>LEN(Table1[[#This Row],[Full Name2]])</f>
        <v>11</v>
      </c>
      <c r="G42" s="8" t="str">
        <f>LOWER(Table1[[#This Row],[First Name]]&amp; "."&amp;Table1[[#This Row],[Last Name]]&amp;"@dame.com")</f>
        <v>sade.bassey@dame.com</v>
      </c>
      <c r="H42" s="8" t="s">
        <v>52</v>
      </c>
      <c r="I42" s="8" t="str">
        <f>UPPER(Table1[[#This Row],[Department]])</f>
        <v>SALES</v>
      </c>
      <c r="J42" s="8" t="str">
        <f>LOWER(Table1[[#This Row],[Department]])</f>
        <v>sales</v>
      </c>
      <c r="K42" s="8" t="str">
        <f>PROPER(Table1[[#This Row],[Department]])</f>
        <v>Sales</v>
      </c>
      <c r="L42" s="8" t="s">
        <v>55</v>
      </c>
      <c r="M42" s="8" t="s">
        <v>43</v>
      </c>
      <c r="N42" s="12">
        <v>234031</v>
      </c>
      <c r="O42" s="8">
        <v>10</v>
      </c>
      <c r="P42" s="9" t="s">
        <v>49</v>
      </c>
    </row>
    <row r="43" spans="1:16">
      <c r="A43" s="7" t="s">
        <v>111</v>
      </c>
      <c r="B43" s="8" t="s">
        <v>51</v>
      </c>
      <c r="C43" s="8" t="s">
        <v>175</v>
      </c>
      <c r="D43" s="8" t="s">
        <v>176</v>
      </c>
      <c r="E43" s="8" t="str">
        <f>_xlfn.CONCAT(Table1[[#This Row],[First Name]]," ",Table1[[#This Row],[Last Name]])</f>
        <v>Faith Udo</v>
      </c>
      <c r="F43" s="8">
        <f>LEN(Table1[[#This Row],[Full Name2]])</f>
        <v>9</v>
      </c>
      <c r="G43" s="8" t="str">
        <f>LOWER(Table1[[#This Row],[First Name]]&amp; "."&amp;Table1[[#This Row],[Last Name]]&amp;"@dame.com")</f>
        <v>faith.udo@dame.com</v>
      </c>
      <c r="H43" s="8" t="s">
        <v>52</v>
      </c>
      <c r="I43" s="8" t="str">
        <f>UPPER(Table1[[#This Row],[Department]])</f>
        <v>SALES</v>
      </c>
      <c r="J43" s="8" t="str">
        <f>LOWER(Table1[[#This Row],[Department]])</f>
        <v>sales</v>
      </c>
      <c r="K43" s="8" t="str">
        <f>PROPER(Table1[[#This Row],[Department]])</f>
        <v>Sales</v>
      </c>
      <c r="L43" s="8" t="s">
        <v>62</v>
      </c>
      <c r="M43" s="8" t="s">
        <v>48</v>
      </c>
      <c r="N43" s="12">
        <v>265908</v>
      </c>
      <c r="O43" s="8">
        <v>7</v>
      </c>
      <c r="P43" s="9" t="s">
        <v>49</v>
      </c>
    </row>
    <row r="44" spans="1:16">
      <c r="A44" s="7" t="s">
        <v>112</v>
      </c>
      <c r="B44" s="8" t="s">
        <v>75</v>
      </c>
      <c r="C44" s="8" t="s">
        <v>185</v>
      </c>
      <c r="D44" s="8" t="s">
        <v>186</v>
      </c>
      <c r="E44" s="8" t="str">
        <f>_xlfn.CONCAT(Table1[[#This Row],[First Name]]," ",Table1[[#This Row],[Last Name]])</f>
        <v>Chika Umeh</v>
      </c>
      <c r="F44" s="8">
        <f>LEN(Table1[[#This Row],[Full Name2]])</f>
        <v>10</v>
      </c>
      <c r="G44" s="8" t="str">
        <f>LOWER(Table1[[#This Row],[First Name]]&amp; "."&amp;Table1[[#This Row],[Last Name]]&amp;"@dame.com")</f>
        <v>chika.umeh@dame.com</v>
      </c>
      <c r="H44" s="8" t="s">
        <v>41</v>
      </c>
      <c r="I44" s="8" t="str">
        <f>UPPER(Table1[[#This Row],[Department]])</f>
        <v>IT</v>
      </c>
      <c r="J44" s="8" t="str">
        <f>LOWER(Table1[[#This Row],[Department]])</f>
        <v>it</v>
      </c>
      <c r="K44" s="8" t="str">
        <f>PROPER(Table1[[#This Row],[Department]])</f>
        <v>It</v>
      </c>
      <c r="L44" s="8" t="s">
        <v>42</v>
      </c>
      <c r="M44" s="8" t="s">
        <v>48</v>
      </c>
      <c r="N44" s="12">
        <v>338554</v>
      </c>
      <c r="O44" s="8">
        <v>1</v>
      </c>
      <c r="P44" s="9" t="s">
        <v>49</v>
      </c>
    </row>
    <row r="45" spans="1:16">
      <c r="A45" s="7" t="s">
        <v>113</v>
      </c>
      <c r="B45" s="8" t="s">
        <v>51</v>
      </c>
      <c r="C45" s="8" t="s">
        <v>175</v>
      </c>
      <c r="D45" s="8" t="s">
        <v>176</v>
      </c>
      <c r="E45" s="8" t="str">
        <f>_xlfn.CONCAT(Table1[[#This Row],[First Name]]," ",Table1[[#This Row],[Last Name]])</f>
        <v>Faith Udo</v>
      </c>
      <c r="F45" s="8">
        <f>LEN(Table1[[#This Row],[Full Name2]])</f>
        <v>9</v>
      </c>
      <c r="G45" s="8" t="str">
        <f>LOWER(Table1[[#This Row],[First Name]]&amp; "."&amp;Table1[[#This Row],[Last Name]]&amp;"@dame.com")</f>
        <v>faith.udo@dame.com</v>
      </c>
      <c r="H45" s="8" t="s">
        <v>46</v>
      </c>
      <c r="I45" s="8" t="str">
        <f>UPPER(Table1[[#This Row],[Department]])</f>
        <v>MARKETING</v>
      </c>
      <c r="J45" s="8" t="str">
        <f>LOWER(Table1[[#This Row],[Department]])</f>
        <v>marketing</v>
      </c>
      <c r="K45" s="8" t="str">
        <f>PROPER(Table1[[#This Row],[Department]])</f>
        <v>Marketing</v>
      </c>
      <c r="L45" s="8" t="s">
        <v>79</v>
      </c>
      <c r="M45" s="8" t="s">
        <v>48</v>
      </c>
      <c r="N45" s="12">
        <v>413957</v>
      </c>
      <c r="O45" s="8">
        <v>3</v>
      </c>
      <c r="P45" s="9" t="s">
        <v>59</v>
      </c>
    </row>
    <row r="46" spans="1:16">
      <c r="A46" s="7" t="s">
        <v>114</v>
      </c>
      <c r="B46" s="8" t="s">
        <v>40</v>
      </c>
      <c r="C46" s="8" t="s">
        <v>173</v>
      </c>
      <c r="D46" s="8" t="s">
        <v>174</v>
      </c>
      <c r="E46" s="8" t="str">
        <f>_xlfn.CONCAT(Table1[[#This Row],[First Name]]," ",Table1[[#This Row],[Last Name]])</f>
        <v>Sade Bassey</v>
      </c>
      <c r="F46" s="8">
        <f>LEN(Table1[[#This Row],[Full Name2]])</f>
        <v>11</v>
      </c>
      <c r="G46" s="8" t="str">
        <f>LOWER(Table1[[#This Row],[First Name]]&amp; "."&amp;Table1[[#This Row],[Last Name]]&amp;"@dame.com")</f>
        <v>sade.bassey@dame.com</v>
      </c>
      <c r="H46" s="8" t="s">
        <v>71</v>
      </c>
      <c r="I46" s="8" t="str">
        <f>UPPER(Table1[[#This Row],[Department]])</f>
        <v>HR</v>
      </c>
      <c r="J46" s="8" t="str">
        <f>LOWER(Table1[[#This Row],[Department]])</f>
        <v>hr</v>
      </c>
      <c r="K46" s="8" t="str">
        <f>PROPER(Table1[[#This Row],[Department]])</f>
        <v>Hr</v>
      </c>
      <c r="L46" s="8" t="s">
        <v>42</v>
      </c>
      <c r="M46" s="8" t="s">
        <v>43</v>
      </c>
      <c r="N46" s="12">
        <v>485264</v>
      </c>
      <c r="O46" s="8">
        <v>1</v>
      </c>
      <c r="P46" s="9" t="s">
        <v>56</v>
      </c>
    </row>
    <row r="47" spans="1:16">
      <c r="A47" s="7" t="s">
        <v>115</v>
      </c>
      <c r="B47" s="8" t="s">
        <v>75</v>
      </c>
      <c r="C47" s="8" t="s">
        <v>185</v>
      </c>
      <c r="D47" s="8" t="s">
        <v>186</v>
      </c>
      <c r="E47" s="8" t="str">
        <f>_xlfn.CONCAT(Table1[[#This Row],[First Name]]," ",Table1[[#This Row],[Last Name]])</f>
        <v>Chika Umeh</v>
      </c>
      <c r="F47" s="8">
        <f>LEN(Table1[[#This Row],[Full Name2]])</f>
        <v>10</v>
      </c>
      <c r="G47" s="8" t="str">
        <f>LOWER(Table1[[#This Row],[First Name]]&amp; "."&amp;Table1[[#This Row],[Last Name]]&amp;"@dame.com")</f>
        <v>chika.umeh@dame.com</v>
      </c>
      <c r="H47" s="8" t="s">
        <v>52</v>
      </c>
      <c r="I47" s="8" t="str">
        <f>UPPER(Table1[[#This Row],[Department]])</f>
        <v>SALES</v>
      </c>
      <c r="J47" s="8" t="str">
        <f>LOWER(Table1[[#This Row],[Department]])</f>
        <v>sales</v>
      </c>
      <c r="K47" s="8" t="str">
        <f>PROPER(Table1[[#This Row],[Department]])</f>
        <v>Sales</v>
      </c>
      <c r="L47" s="8" t="s">
        <v>79</v>
      </c>
      <c r="M47" s="8" t="s">
        <v>43</v>
      </c>
      <c r="N47" s="12">
        <v>363350</v>
      </c>
      <c r="O47" s="8">
        <v>1</v>
      </c>
      <c r="P47" s="9" t="s">
        <v>49</v>
      </c>
    </row>
    <row r="48" spans="1:16">
      <c r="A48" s="7" t="s">
        <v>116</v>
      </c>
      <c r="B48" s="8" t="s">
        <v>61</v>
      </c>
      <c r="C48" s="8" t="s">
        <v>179</v>
      </c>
      <c r="D48" s="8" t="s">
        <v>180</v>
      </c>
      <c r="E48" s="8" t="str">
        <f>_xlfn.CONCAT(Table1[[#This Row],[First Name]]," ",Table1[[#This Row],[Last Name]])</f>
        <v>Tunde Salisu</v>
      </c>
      <c r="F48" s="8">
        <f>LEN(Table1[[#This Row],[Full Name2]])</f>
        <v>12</v>
      </c>
      <c r="G48" s="8" t="str">
        <f>LOWER(Table1[[#This Row],[First Name]]&amp; "."&amp;Table1[[#This Row],[Last Name]]&amp;"@dame.com")</f>
        <v>tunde.salisu@dame.com</v>
      </c>
      <c r="H48" s="8" t="s">
        <v>71</v>
      </c>
      <c r="I48" s="8" t="str">
        <f>UPPER(Table1[[#This Row],[Department]])</f>
        <v>HR</v>
      </c>
      <c r="J48" s="8" t="str">
        <f>LOWER(Table1[[#This Row],[Department]])</f>
        <v>hr</v>
      </c>
      <c r="K48" s="8" t="str">
        <f>PROPER(Table1[[#This Row],[Department]])</f>
        <v>Hr</v>
      </c>
      <c r="L48" s="8" t="s">
        <v>47</v>
      </c>
      <c r="M48" s="8" t="s">
        <v>43</v>
      </c>
      <c r="N48" s="12">
        <v>428005</v>
      </c>
      <c r="O48" s="8">
        <v>4</v>
      </c>
      <c r="P48" s="9" t="s">
        <v>56</v>
      </c>
    </row>
    <row r="49" spans="1:16">
      <c r="A49" s="7" t="s">
        <v>117</v>
      </c>
      <c r="B49" s="8" t="s">
        <v>118</v>
      </c>
      <c r="C49" s="8" t="s">
        <v>191</v>
      </c>
      <c r="D49" s="8" t="s">
        <v>192</v>
      </c>
      <c r="E49" s="8" t="str">
        <f>_xlfn.CONCAT(Table1[[#This Row],[First Name]]," ",Table1[[#This Row],[Last Name]])</f>
        <v>Emeka John</v>
      </c>
      <c r="F49" s="8">
        <f>LEN(Table1[[#This Row],[Full Name2]])</f>
        <v>10</v>
      </c>
      <c r="G49" s="8" t="str">
        <f>LOWER(Table1[[#This Row],[First Name]]&amp; "."&amp;Table1[[#This Row],[Last Name]]&amp;"@dame.com")</f>
        <v>emeka.john@dame.com</v>
      </c>
      <c r="H49" s="8" t="s">
        <v>71</v>
      </c>
      <c r="I49" s="8" t="str">
        <f>UPPER(Table1[[#This Row],[Department]])</f>
        <v>HR</v>
      </c>
      <c r="J49" s="8" t="str">
        <f>LOWER(Table1[[#This Row],[Department]])</f>
        <v>hr</v>
      </c>
      <c r="K49" s="8" t="str">
        <f>PROPER(Table1[[#This Row],[Department]])</f>
        <v>Hr</v>
      </c>
      <c r="L49" s="8" t="s">
        <v>62</v>
      </c>
      <c r="M49" s="8" t="s">
        <v>48</v>
      </c>
      <c r="N49" s="12">
        <v>326652</v>
      </c>
      <c r="O49" s="8">
        <v>6</v>
      </c>
      <c r="P49" s="9" t="s">
        <v>56</v>
      </c>
    </row>
    <row r="50" spans="1:16">
      <c r="A50" s="7" t="s">
        <v>119</v>
      </c>
      <c r="B50" s="8" t="s">
        <v>40</v>
      </c>
      <c r="C50" s="8" t="s">
        <v>173</v>
      </c>
      <c r="D50" s="8" t="s">
        <v>174</v>
      </c>
      <c r="E50" s="8" t="str">
        <f>_xlfn.CONCAT(Table1[[#This Row],[First Name]]," ",Table1[[#This Row],[Last Name]])</f>
        <v>Sade Bassey</v>
      </c>
      <c r="F50" s="8">
        <f>LEN(Table1[[#This Row],[Full Name2]])</f>
        <v>11</v>
      </c>
      <c r="G50" s="8" t="str">
        <f>LOWER(Table1[[#This Row],[First Name]]&amp; "."&amp;Table1[[#This Row],[Last Name]]&amp;"@dame.com")</f>
        <v>sade.bassey@dame.com</v>
      </c>
      <c r="H50" s="8" t="s">
        <v>71</v>
      </c>
      <c r="I50" s="8" t="str">
        <f>UPPER(Table1[[#This Row],[Department]])</f>
        <v>HR</v>
      </c>
      <c r="J50" s="8" t="str">
        <f>LOWER(Table1[[#This Row],[Department]])</f>
        <v>hr</v>
      </c>
      <c r="K50" s="8" t="str">
        <f>PROPER(Table1[[#This Row],[Department]])</f>
        <v>Hr</v>
      </c>
      <c r="L50" s="8" t="s">
        <v>79</v>
      </c>
      <c r="M50" s="8" t="s">
        <v>48</v>
      </c>
      <c r="N50" s="12">
        <v>421377</v>
      </c>
      <c r="O50" s="8">
        <v>4</v>
      </c>
      <c r="P50" s="9" t="s">
        <v>44</v>
      </c>
    </row>
    <row r="51" spans="1:16">
      <c r="A51" s="7" t="s">
        <v>120</v>
      </c>
      <c r="B51" s="8" t="s">
        <v>118</v>
      </c>
      <c r="C51" s="8" t="s">
        <v>191</v>
      </c>
      <c r="D51" s="8" t="s">
        <v>192</v>
      </c>
      <c r="E51" s="8" t="str">
        <f>_xlfn.CONCAT(Table1[[#This Row],[First Name]]," ",Table1[[#This Row],[Last Name]])</f>
        <v>Emeka John</v>
      </c>
      <c r="F51" s="8">
        <f>LEN(Table1[[#This Row],[Full Name2]])</f>
        <v>10</v>
      </c>
      <c r="G51" s="8" t="str">
        <f>LOWER(Table1[[#This Row],[First Name]]&amp; "."&amp;Table1[[#This Row],[Last Name]]&amp;"@dame.com")</f>
        <v>emeka.john@dame.com</v>
      </c>
      <c r="H51" s="8" t="s">
        <v>54</v>
      </c>
      <c r="I51" s="8" t="str">
        <f>UPPER(Table1[[#This Row],[Department]])</f>
        <v>FINANCE</v>
      </c>
      <c r="J51" s="8" t="str">
        <f>LOWER(Table1[[#This Row],[Department]])</f>
        <v>finance</v>
      </c>
      <c r="K51" s="8" t="str">
        <f>PROPER(Table1[[#This Row],[Department]])</f>
        <v>Finance</v>
      </c>
      <c r="L51" s="8" t="s">
        <v>47</v>
      </c>
      <c r="M51" s="8" t="s">
        <v>43</v>
      </c>
      <c r="N51" s="12">
        <v>433017</v>
      </c>
      <c r="O51" s="8">
        <v>3</v>
      </c>
      <c r="P51" s="9" t="s">
        <v>49</v>
      </c>
    </row>
    <row r="52" spans="1:16">
      <c r="A52" s="7" t="s">
        <v>121</v>
      </c>
      <c r="B52" s="8" t="s">
        <v>64</v>
      </c>
      <c r="C52" s="8" t="s">
        <v>181</v>
      </c>
      <c r="D52" s="8" t="s">
        <v>182</v>
      </c>
      <c r="E52" s="8" t="str">
        <f>_xlfn.CONCAT(Table1[[#This Row],[First Name]]," ",Table1[[#This Row],[Last Name]])</f>
        <v>James Obi</v>
      </c>
      <c r="F52" s="8">
        <f>LEN(Table1[[#This Row],[Full Name2]])</f>
        <v>9</v>
      </c>
      <c r="G52" s="8" t="str">
        <f>LOWER(Table1[[#This Row],[First Name]]&amp; "."&amp;Table1[[#This Row],[Last Name]]&amp;"@dame.com")</f>
        <v>james.obi@dame.com</v>
      </c>
      <c r="H52" s="8" t="s">
        <v>71</v>
      </c>
      <c r="I52" s="8" t="str">
        <f>UPPER(Table1[[#This Row],[Department]])</f>
        <v>HR</v>
      </c>
      <c r="J52" s="8" t="str">
        <f>LOWER(Table1[[#This Row],[Department]])</f>
        <v>hr</v>
      </c>
      <c r="K52" s="8" t="str">
        <f>PROPER(Table1[[#This Row],[Department]])</f>
        <v>Hr</v>
      </c>
      <c r="L52" s="8" t="s">
        <v>76</v>
      </c>
      <c r="M52" s="8" t="s">
        <v>43</v>
      </c>
      <c r="N52" s="12">
        <v>353050</v>
      </c>
      <c r="O52" s="8">
        <v>7</v>
      </c>
      <c r="P52" s="9" t="s">
        <v>56</v>
      </c>
    </row>
    <row r="53" spans="1:16">
      <c r="A53" s="7" t="s">
        <v>122</v>
      </c>
      <c r="B53" s="8" t="s">
        <v>94</v>
      </c>
      <c r="C53" s="8" t="s">
        <v>189</v>
      </c>
      <c r="D53" s="8" t="s">
        <v>190</v>
      </c>
      <c r="E53" s="8" t="str">
        <f>_xlfn.CONCAT(Table1[[#This Row],[First Name]]," ",Table1[[#This Row],[Last Name]])</f>
        <v>Ngozi Bello</v>
      </c>
      <c r="F53" s="8">
        <f>LEN(Table1[[#This Row],[Full Name2]])</f>
        <v>11</v>
      </c>
      <c r="G53" s="8" t="str">
        <f>LOWER(Table1[[#This Row],[First Name]]&amp; "."&amp;Table1[[#This Row],[Last Name]]&amp;"@dame.com")</f>
        <v>ngozi.bello@dame.com</v>
      </c>
      <c r="H53" s="8" t="s">
        <v>41</v>
      </c>
      <c r="I53" s="8" t="str">
        <f>UPPER(Table1[[#This Row],[Department]])</f>
        <v>IT</v>
      </c>
      <c r="J53" s="8" t="str">
        <f>LOWER(Table1[[#This Row],[Department]])</f>
        <v>it</v>
      </c>
      <c r="K53" s="8" t="str">
        <f>PROPER(Table1[[#This Row],[Department]])</f>
        <v>It</v>
      </c>
      <c r="L53" s="8" t="s">
        <v>47</v>
      </c>
      <c r="M53" s="8" t="s">
        <v>43</v>
      </c>
      <c r="N53" s="12">
        <v>450941</v>
      </c>
      <c r="O53" s="8">
        <v>3</v>
      </c>
      <c r="P53" s="9" t="s">
        <v>56</v>
      </c>
    </row>
    <row r="54" spans="1:16">
      <c r="A54" s="7" t="s">
        <v>123</v>
      </c>
      <c r="B54" s="8" t="s">
        <v>51</v>
      </c>
      <c r="C54" s="8" t="s">
        <v>175</v>
      </c>
      <c r="D54" s="8" t="s">
        <v>176</v>
      </c>
      <c r="E54" s="8" t="str">
        <f>_xlfn.CONCAT(Table1[[#This Row],[First Name]]," ",Table1[[#This Row],[Last Name]])</f>
        <v>Faith Udo</v>
      </c>
      <c r="F54" s="8">
        <f>LEN(Table1[[#This Row],[Full Name2]])</f>
        <v>9</v>
      </c>
      <c r="G54" s="8" t="str">
        <f>LOWER(Table1[[#This Row],[First Name]]&amp; "."&amp;Table1[[#This Row],[Last Name]]&amp;"@dame.com")</f>
        <v>faith.udo@dame.com</v>
      </c>
      <c r="H54" s="8" t="s">
        <v>54</v>
      </c>
      <c r="I54" s="8" t="str">
        <f>UPPER(Table1[[#This Row],[Department]])</f>
        <v>FINANCE</v>
      </c>
      <c r="J54" s="8" t="str">
        <f>LOWER(Table1[[#This Row],[Department]])</f>
        <v>finance</v>
      </c>
      <c r="K54" s="8" t="str">
        <f>PROPER(Table1[[#This Row],[Department]])</f>
        <v>Finance</v>
      </c>
      <c r="L54" s="8" t="s">
        <v>76</v>
      </c>
      <c r="M54" s="8" t="s">
        <v>43</v>
      </c>
      <c r="N54" s="12">
        <v>337560</v>
      </c>
      <c r="O54" s="8">
        <v>2</v>
      </c>
      <c r="P54" s="9" t="s">
        <v>49</v>
      </c>
    </row>
    <row r="55" spans="1:16">
      <c r="A55" s="7" t="s">
        <v>124</v>
      </c>
      <c r="B55" s="8" t="s">
        <v>40</v>
      </c>
      <c r="C55" s="8" t="s">
        <v>173</v>
      </c>
      <c r="D55" s="8" t="s">
        <v>174</v>
      </c>
      <c r="E55" s="8" t="str">
        <f>_xlfn.CONCAT(Table1[[#This Row],[First Name]]," ",Table1[[#This Row],[Last Name]])</f>
        <v>Sade Bassey</v>
      </c>
      <c r="F55" s="8">
        <f>LEN(Table1[[#This Row],[Full Name2]])</f>
        <v>11</v>
      </c>
      <c r="G55" s="8" t="str">
        <f>LOWER(Table1[[#This Row],[First Name]]&amp; "."&amp;Table1[[#This Row],[Last Name]]&amp;"@dame.com")</f>
        <v>sade.bassey@dame.com</v>
      </c>
      <c r="H55" s="8" t="s">
        <v>52</v>
      </c>
      <c r="I55" s="8" t="str">
        <f>UPPER(Table1[[#This Row],[Department]])</f>
        <v>SALES</v>
      </c>
      <c r="J55" s="8" t="str">
        <f>LOWER(Table1[[#This Row],[Department]])</f>
        <v>sales</v>
      </c>
      <c r="K55" s="8" t="str">
        <f>PROPER(Table1[[#This Row],[Department]])</f>
        <v>Sales</v>
      </c>
      <c r="L55" s="8" t="s">
        <v>90</v>
      </c>
      <c r="M55" s="8" t="s">
        <v>48</v>
      </c>
      <c r="N55" s="12">
        <v>325849</v>
      </c>
      <c r="O55" s="8">
        <v>2</v>
      </c>
      <c r="P55" s="9" t="s">
        <v>59</v>
      </c>
    </row>
    <row r="56" spans="1:16">
      <c r="A56" s="7" t="s">
        <v>125</v>
      </c>
      <c r="B56" s="8" t="s">
        <v>118</v>
      </c>
      <c r="C56" s="8" t="s">
        <v>191</v>
      </c>
      <c r="D56" s="8" t="s">
        <v>192</v>
      </c>
      <c r="E56" s="8" t="str">
        <f>_xlfn.CONCAT(Table1[[#This Row],[First Name]]," ",Table1[[#This Row],[Last Name]])</f>
        <v>Emeka John</v>
      </c>
      <c r="F56" s="8">
        <f>LEN(Table1[[#This Row],[Full Name2]])</f>
        <v>10</v>
      </c>
      <c r="G56" s="8" t="str">
        <f>LOWER(Table1[[#This Row],[First Name]]&amp; "."&amp;Table1[[#This Row],[Last Name]]&amp;"@dame.com")</f>
        <v>emeka.john@dame.com</v>
      </c>
      <c r="H56" s="8" t="s">
        <v>46</v>
      </c>
      <c r="I56" s="8" t="str">
        <f>UPPER(Table1[[#This Row],[Department]])</f>
        <v>MARKETING</v>
      </c>
      <c r="J56" s="8" t="str">
        <f>LOWER(Table1[[#This Row],[Department]])</f>
        <v>marketing</v>
      </c>
      <c r="K56" s="8" t="str">
        <f>PROPER(Table1[[#This Row],[Department]])</f>
        <v>Marketing</v>
      </c>
      <c r="L56" s="8" t="s">
        <v>90</v>
      </c>
      <c r="M56" s="8" t="s">
        <v>48</v>
      </c>
      <c r="N56" s="12">
        <v>252488</v>
      </c>
      <c r="O56" s="8">
        <v>5</v>
      </c>
      <c r="P56" s="9" t="s">
        <v>56</v>
      </c>
    </row>
    <row r="57" spans="1:16">
      <c r="A57" s="7" t="s">
        <v>126</v>
      </c>
      <c r="B57" s="8" t="s">
        <v>118</v>
      </c>
      <c r="C57" s="8" t="s">
        <v>191</v>
      </c>
      <c r="D57" s="8" t="s">
        <v>192</v>
      </c>
      <c r="E57" s="8" t="str">
        <f>_xlfn.CONCAT(Table1[[#This Row],[First Name]]," ",Table1[[#This Row],[Last Name]])</f>
        <v>Emeka John</v>
      </c>
      <c r="F57" s="8">
        <f>LEN(Table1[[#This Row],[Full Name2]])</f>
        <v>10</v>
      </c>
      <c r="G57" s="8" t="str">
        <f>LOWER(Table1[[#This Row],[First Name]]&amp; "."&amp;Table1[[#This Row],[Last Name]]&amp;"@dame.com")</f>
        <v>emeka.john@dame.com</v>
      </c>
      <c r="H57" s="8" t="s">
        <v>54</v>
      </c>
      <c r="I57" s="8" t="str">
        <f>UPPER(Table1[[#This Row],[Department]])</f>
        <v>FINANCE</v>
      </c>
      <c r="J57" s="8" t="str">
        <f>LOWER(Table1[[#This Row],[Department]])</f>
        <v>finance</v>
      </c>
      <c r="K57" s="8" t="str">
        <f>PROPER(Table1[[#This Row],[Department]])</f>
        <v>Finance</v>
      </c>
      <c r="L57" s="8" t="s">
        <v>73</v>
      </c>
      <c r="M57" s="8" t="s">
        <v>48</v>
      </c>
      <c r="N57" s="12">
        <v>261616</v>
      </c>
      <c r="O57" s="8">
        <v>2</v>
      </c>
      <c r="P57" s="9" t="s">
        <v>49</v>
      </c>
    </row>
    <row r="58" spans="1:16">
      <c r="A58" s="7" t="s">
        <v>127</v>
      </c>
      <c r="B58" s="8" t="s">
        <v>64</v>
      </c>
      <c r="C58" s="8" t="s">
        <v>181</v>
      </c>
      <c r="D58" s="8" t="s">
        <v>182</v>
      </c>
      <c r="E58" s="8" t="str">
        <f>_xlfn.CONCAT(Table1[[#This Row],[First Name]]," ",Table1[[#This Row],[Last Name]])</f>
        <v>James Obi</v>
      </c>
      <c r="F58" s="8">
        <f>LEN(Table1[[#This Row],[Full Name2]])</f>
        <v>9</v>
      </c>
      <c r="G58" s="8" t="str">
        <f>LOWER(Table1[[#This Row],[First Name]]&amp; "."&amp;Table1[[#This Row],[Last Name]]&amp;"@dame.com")</f>
        <v>james.obi@dame.com</v>
      </c>
      <c r="H58" s="8" t="s">
        <v>46</v>
      </c>
      <c r="I58" s="8" t="str">
        <f>UPPER(Table1[[#This Row],[Department]])</f>
        <v>MARKETING</v>
      </c>
      <c r="J58" s="8" t="str">
        <f>LOWER(Table1[[#This Row],[Department]])</f>
        <v>marketing</v>
      </c>
      <c r="K58" s="8" t="str">
        <f>PROPER(Table1[[#This Row],[Department]])</f>
        <v>Marketing</v>
      </c>
      <c r="L58" s="8" t="s">
        <v>73</v>
      </c>
      <c r="M58" s="8" t="s">
        <v>43</v>
      </c>
      <c r="N58" s="12">
        <v>296968</v>
      </c>
      <c r="O58" s="8">
        <v>4</v>
      </c>
      <c r="P58" s="9" t="s">
        <v>49</v>
      </c>
    </row>
    <row r="59" spans="1:16">
      <c r="A59" s="7" t="s">
        <v>128</v>
      </c>
      <c r="B59" s="8" t="s">
        <v>118</v>
      </c>
      <c r="C59" s="8" t="s">
        <v>191</v>
      </c>
      <c r="D59" s="8" t="s">
        <v>192</v>
      </c>
      <c r="E59" s="8" t="str">
        <f>_xlfn.CONCAT(Table1[[#This Row],[First Name]]," ",Table1[[#This Row],[Last Name]])</f>
        <v>Emeka John</v>
      </c>
      <c r="F59" s="8">
        <f>LEN(Table1[[#This Row],[Full Name2]])</f>
        <v>10</v>
      </c>
      <c r="G59" s="8" t="str">
        <f>LOWER(Table1[[#This Row],[First Name]]&amp; "."&amp;Table1[[#This Row],[Last Name]]&amp;"@dame.com")</f>
        <v>emeka.john@dame.com</v>
      </c>
      <c r="H59" s="8" t="s">
        <v>41</v>
      </c>
      <c r="I59" s="8" t="str">
        <f>UPPER(Table1[[#This Row],[Department]])</f>
        <v>IT</v>
      </c>
      <c r="J59" s="8" t="str">
        <f>LOWER(Table1[[#This Row],[Department]])</f>
        <v>it</v>
      </c>
      <c r="K59" s="8" t="str">
        <f>PROPER(Table1[[#This Row],[Department]])</f>
        <v>It</v>
      </c>
      <c r="L59" s="8" t="s">
        <v>73</v>
      </c>
      <c r="M59" s="8" t="s">
        <v>48</v>
      </c>
      <c r="N59" s="12">
        <v>369656</v>
      </c>
      <c r="O59" s="8">
        <v>8</v>
      </c>
      <c r="P59" s="9" t="s">
        <v>56</v>
      </c>
    </row>
    <row r="60" spans="1:16">
      <c r="A60" s="7" t="s">
        <v>129</v>
      </c>
      <c r="B60" s="8" t="s">
        <v>94</v>
      </c>
      <c r="C60" s="8" t="s">
        <v>189</v>
      </c>
      <c r="D60" s="8" t="s">
        <v>190</v>
      </c>
      <c r="E60" s="8" t="str">
        <f>_xlfn.CONCAT(Table1[[#This Row],[First Name]]," ",Table1[[#This Row],[Last Name]])</f>
        <v>Ngozi Bello</v>
      </c>
      <c r="F60" s="8">
        <f>LEN(Table1[[#This Row],[Full Name2]])</f>
        <v>11</v>
      </c>
      <c r="G60" s="8" t="str">
        <f>LOWER(Table1[[#This Row],[First Name]]&amp; "."&amp;Table1[[#This Row],[Last Name]]&amp;"@dame.com")</f>
        <v>ngozi.bello@dame.com</v>
      </c>
      <c r="H60" s="8" t="s">
        <v>46</v>
      </c>
      <c r="I60" s="8" t="str">
        <f>UPPER(Table1[[#This Row],[Department]])</f>
        <v>MARKETING</v>
      </c>
      <c r="J60" s="8" t="str">
        <f>LOWER(Table1[[#This Row],[Department]])</f>
        <v>marketing</v>
      </c>
      <c r="K60" s="8" t="str">
        <f>PROPER(Table1[[#This Row],[Department]])</f>
        <v>Marketing</v>
      </c>
      <c r="L60" s="8" t="s">
        <v>62</v>
      </c>
      <c r="M60" s="8" t="s">
        <v>43</v>
      </c>
      <c r="N60" s="12">
        <v>385249</v>
      </c>
      <c r="O60" s="8">
        <v>3</v>
      </c>
      <c r="P60" s="9" t="s">
        <v>49</v>
      </c>
    </row>
    <row r="61" spans="1:16">
      <c r="A61" s="7" t="s">
        <v>130</v>
      </c>
      <c r="B61" s="8" t="s">
        <v>51</v>
      </c>
      <c r="C61" s="8" t="s">
        <v>175</v>
      </c>
      <c r="D61" s="8" t="s">
        <v>176</v>
      </c>
      <c r="E61" s="8" t="str">
        <f>_xlfn.CONCAT(Table1[[#This Row],[First Name]]," ",Table1[[#This Row],[Last Name]])</f>
        <v>Faith Udo</v>
      </c>
      <c r="F61" s="8">
        <f>LEN(Table1[[#This Row],[Full Name2]])</f>
        <v>9</v>
      </c>
      <c r="G61" s="8" t="str">
        <f>LOWER(Table1[[#This Row],[First Name]]&amp; "."&amp;Table1[[#This Row],[Last Name]]&amp;"@dame.com")</f>
        <v>faith.udo@dame.com</v>
      </c>
      <c r="H61" s="8" t="s">
        <v>41</v>
      </c>
      <c r="I61" s="8" t="str">
        <f>UPPER(Table1[[#This Row],[Department]])</f>
        <v>IT</v>
      </c>
      <c r="J61" s="8" t="str">
        <f>LOWER(Table1[[#This Row],[Department]])</f>
        <v>it</v>
      </c>
      <c r="K61" s="8" t="str">
        <f>PROPER(Table1[[#This Row],[Department]])</f>
        <v>It</v>
      </c>
      <c r="L61" s="8" t="s">
        <v>90</v>
      </c>
      <c r="M61" s="8" t="s">
        <v>43</v>
      </c>
      <c r="N61" s="12">
        <v>485946</v>
      </c>
      <c r="O61" s="8">
        <v>4</v>
      </c>
      <c r="P61" s="9" t="s">
        <v>59</v>
      </c>
    </row>
    <row r="62" spans="1:16">
      <c r="A62" s="7" t="s">
        <v>131</v>
      </c>
      <c r="B62" s="8" t="s">
        <v>94</v>
      </c>
      <c r="C62" s="8" t="s">
        <v>189</v>
      </c>
      <c r="D62" s="8" t="s">
        <v>190</v>
      </c>
      <c r="E62" s="8" t="str">
        <f>_xlfn.CONCAT(Table1[[#This Row],[First Name]]," ",Table1[[#This Row],[Last Name]])</f>
        <v>Ngozi Bello</v>
      </c>
      <c r="F62" s="8">
        <f>LEN(Table1[[#This Row],[Full Name2]])</f>
        <v>11</v>
      </c>
      <c r="G62" s="8" t="str">
        <f>LOWER(Table1[[#This Row],[First Name]]&amp; "."&amp;Table1[[#This Row],[Last Name]]&amp;"@dame.com")</f>
        <v>ngozi.bello@dame.com</v>
      </c>
      <c r="H62" s="8" t="s">
        <v>54</v>
      </c>
      <c r="I62" s="8" t="str">
        <f>UPPER(Table1[[#This Row],[Department]])</f>
        <v>FINANCE</v>
      </c>
      <c r="J62" s="8" t="str">
        <f>LOWER(Table1[[#This Row],[Department]])</f>
        <v>finance</v>
      </c>
      <c r="K62" s="8" t="str">
        <f>PROPER(Table1[[#This Row],[Department]])</f>
        <v>Finance</v>
      </c>
      <c r="L62" s="8" t="s">
        <v>47</v>
      </c>
      <c r="M62" s="8" t="s">
        <v>48</v>
      </c>
      <c r="N62" s="12">
        <v>481575</v>
      </c>
      <c r="O62" s="8">
        <v>3</v>
      </c>
      <c r="P62" s="9" t="s">
        <v>49</v>
      </c>
    </row>
    <row r="63" spans="1:16">
      <c r="A63" s="7" t="s">
        <v>132</v>
      </c>
      <c r="B63" s="8" t="s">
        <v>75</v>
      </c>
      <c r="C63" s="8" t="s">
        <v>185</v>
      </c>
      <c r="D63" s="8" t="s">
        <v>186</v>
      </c>
      <c r="E63" s="8" t="str">
        <f>_xlfn.CONCAT(Table1[[#This Row],[First Name]]," ",Table1[[#This Row],[Last Name]])</f>
        <v>Chika Umeh</v>
      </c>
      <c r="F63" s="8">
        <f>LEN(Table1[[#This Row],[Full Name2]])</f>
        <v>10</v>
      </c>
      <c r="G63" s="8" t="str">
        <f>LOWER(Table1[[#This Row],[First Name]]&amp; "."&amp;Table1[[#This Row],[Last Name]]&amp;"@dame.com")</f>
        <v>chika.umeh@dame.com</v>
      </c>
      <c r="H63" s="8" t="s">
        <v>41</v>
      </c>
      <c r="I63" s="8" t="str">
        <f>UPPER(Table1[[#This Row],[Department]])</f>
        <v>IT</v>
      </c>
      <c r="J63" s="8" t="str">
        <f>LOWER(Table1[[#This Row],[Department]])</f>
        <v>it</v>
      </c>
      <c r="K63" s="8" t="str">
        <f>PROPER(Table1[[#This Row],[Department]])</f>
        <v>It</v>
      </c>
      <c r="L63" s="8" t="s">
        <v>47</v>
      </c>
      <c r="M63" s="8" t="s">
        <v>48</v>
      </c>
      <c r="N63" s="12">
        <v>345273</v>
      </c>
      <c r="O63" s="8">
        <v>6</v>
      </c>
      <c r="P63" s="9" t="s">
        <v>49</v>
      </c>
    </row>
    <row r="64" spans="1:16">
      <c r="A64" s="7" t="s">
        <v>133</v>
      </c>
      <c r="B64" s="8" t="s">
        <v>85</v>
      </c>
      <c r="C64" s="8" t="s">
        <v>187</v>
      </c>
      <c r="D64" s="8" t="s">
        <v>188</v>
      </c>
      <c r="E64" s="8" t="str">
        <f>_xlfn.CONCAT(Table1[[#This Row],[First Name]]," ",Table1[[#This Row],[Last Name]])</f>
        <v>Maria Okafor</v>
      </c>
      <c r="F64" s="8">
        <f>LEN(Table1[[#This Row],[Full Name2]])</f>
        <v>12</v>
      </c>
      <c r="G64" s="8" t="str">
        <f>LOWER(Table1[[#This Row],[First Name]]&amp; "."&amp;Table1[[#This Row],[Last Name]]&amp;"@dame.com")</f>
        <v>maria.okafor@dame.com</v>
      </c>
      <c r="H64" s="8" t="s">
        <v>41</v>
      </c>
      <c r="I64" s="8" t="str">
        <f>UPPER(Table1[[#This Row],[Department]])</f>
        <v>IT</v>
      </c>
      <c r="J64" s="8" t="str">
        <f>LOWER(Table1[[#This Row],[Department]])</f>
        <v>it</v>
      </c>
      <c r="K64" s="8" t="str">
        <f>PROPER(Table1[[#This Row],[Department]])</f>
        <v>It</v>
      </c>
      <c r="L64" s="8" t="s">
        <v>68</v>
      </c>
      <c r="M64" s="8" t="s">
        <v>48</v>
      </c>
      <c r="N64" s="12">
        <v>201172</v>
      </c>
      <c r="O64" s="8">
        <v>8</v>
      </c>
      <c r="P64" s="9" t="s">
        <v>59</v>
      </c>
    </row>
    <row r="65" spans="1:16">
      <c r="A65" s="7" t="s">
        <v>134</v>
      </c>
      <c r="B65" s="8" t="s">
        <v>61</v>
      </c>
      <c r="C65" s="8" t="s">
        <v>179</v>
      </c>
      <c r="D65" s="8" t="s">
        <v>180</v>
      </c>
      <c r="E65" s="8" t="str">
        <f>_xlfn.CONCAT(Table1[[#This Row],[First Name]]," ",Table1[[#This Row],[Last Name]])</f>
        <v>Tunde Salisu</v>
      </c>
      <c r="F65" s="8">
        <f>LEN(Table1[[#This Row],[Full Name2]])</f>
        <v>12</v>
      </c>
      <c r="G65" s="8" t="str">
        <f>LOWER(Table1[[#This Row],[First Name]]&amp; "."&amp;Table1[[#This Row],[Last Name]]&amp;"@dame.com")</f>
        <v>tunde.salisu@dame.com</v>
      </c>
      <c r="H65" s="8" t="s">
        <v>46</v>
      </c>
      <c r="I65" s="8" t="str">
        <f>UPPER(Table1[[#This Row],[Department]])</f>
        <v>MARKETING</v>
      </c>
      <c r="J65" s="8" t="str">
        <f>LOWER(Table1[[#This Row],[Department]])</f>
        <v>marketing</v>
      </c>
      <c r="K65" s="8" t="str">
        <f>PROPER(Table1[[#This Row],[Department]])</f>
        <v>Marketing</v>
      </c>
      <c r="L65" s="8" t="s">
        <v>55</v>
      </c>
      <c r="M65" s="8" t="s">
        <v>48</v>
      </c>
      <c r="N65" s="12">
        <v>321800</v>
      </c>
      <c r="O65" s="8">
        <v>7</v>
      </c>
      <c r="P65" s="9" t="s">
        <v>44</v>
      </c>
    </row>
    <row r="66" spans="1:16">
      <c r="A66" s="7" t="s">
        <v>135</v>
      </c>
      <c r="B66" s="8" t="s">
        <v>58</v>
      </c>
      <c r="C66" s="8" t="s">
        <v>177</v>
      </c>
      <c r="D66" s="8" t="s">
        <v>178</v>
      </c>
      <c r="E66" s="8" t="str">
        <f>_xlfn.CONCAT(Table1[[#This Row],[First Name]]," ",Table1[[#This Row],[Last Name]])</f>
        <v>Ibrahim Musa</v>
      </c>
      <c r="F66" s="8">
        <f>LEN(Table1[[#This Row],[Full Name2]])</f>
        <v>12</v>
      </c>
      <c r="G66" s="8" t="str">
        <f>LOWER(Table1[[#This Row],[First Name]]&amp; "."&amp;Table1[[#This Row],[Last Name]]&amp;"@dame.com")</f>
        <v>ibrahim.musa@dame.com</v>
      </c>
      <c r="H66" s="8" t="s">
        <v>52</v>
      </c>
      <c r="I66" s="8" t="str">
        <f>UPPER(Table1[[#This Row],[Department]])</f>
        <v>SALES</v>
      </c>
      <c r="J66" s="8" t="str">
        <f>LOWER(Table1[[#This Row],[Department]])</f>
        <v>sales</v>
      </c>
      <c r="K66" s="8" t="str">
        <f>PROPER(Table1[[#This Row],[Department]])</f>
        <v>Sales</v>
      </c>
      <c r="L66" s="8" t="s">
        <v>87</v>
      </c>
      <c r="M66" s="8" t="s">
        <v>48</v>
      </c>
      <c r="N66" s="12">
        <v>478662</v>
      </c>
      <c r="O66" s="8">
        <v>2</v>
      </c>
      <c r="P66" s="9" t="s">
        <v>59</v>
      </c>
    </row>
    <row r="67" spans="1:16">
      <c r="A67" s="7" t="s">
        <v>136</v>
      </c>
      <c r="B67" s="8" t="s">
        <v>64</v>
      </c>
      <c r="C67" s="8" t="s">
        <v>181</v>
      </c>
      <c r="D67" s="8" t="s">
        <v>182</v>
      </c>
      <c r="E67" s="8" t="str">
        <f>_xlfn.CONCAT(Table1[[#This Row],[First Name]]," ",Table1[[#This Row],[Last Name]])</f>
        <v>James Obi</v>
      </c>
      <c r="F67" s="8">
        <f>LEN(Table1[[#This Row],[Full Name2]])</f>
        <v>9</v>
      </c>
      <c r="G67" s="8" t="str">
        <f>LOWER(Table1[[#This Row],[First Name]]&amp; "."&amp;Table1[[#This Row],[Last Name]]&amp;"@dame.com")</f>
        <v>james.obi@dame.com</v>
      </c>
      <c r="H67" s="8" t="s">
        <v>71</v>
      </c>
      <c r="I67" s="8" t="str">
        <f>UPPER(Table1[[#This Row],[Department]])</f>
        <v>HR</v>
      </c>
      <c r="J67" s="8" t="str">
        <f>LOWER(Table1[[#This Row],[Department]])</f>
        <v>hr</v>
      </c>
      <c r="K67" s="8" t="str">
        <f>PROPER(Table1[[#This Row],[Department]])</f>
        <v>Hr</v>
      </c>
      <c r="L67" s="8" t="s">
        <v>87</v>
      </c>
      <c r="M67" s="8" t="s">
        <v>48</v>
      </c>
      <c r="N67" s="12">
        <v>447144</v>
      </c>
      <c r="O67" s="8">
        <v>10</v>
      </c>
      <c r="P67" s="9" t="s">
        <v>66</v>
      </c>
    </row>
    <row r="68" spans="1:16">
      <c r="A68" s="7" t="s">
        <v>137</v>
      </c>
      <c r="B68" s="8" t="s">
        <v>51</v>
      </c>
      <c r="C68" s="8" t="s">
        <v>175</v>
      </c>
      <c r="D68" s="8" t="s">
        <v>176</v>
      </c>
      <c r="E68" s="8" t="str">
        <f>_xlfn.CONCAT(Table1[[#This Row],[First Name]]," ",Table1[[#This Row],[Last Name]])</f>
        <v>Faith Udo</v>
      </c>
      <c r="F68" s="8">
        <f>LEN(Table1[[#This Row],[Full Name2]])</f>
        <v>9</v>
      </c>
      <c r="G68" s="8" t="str">
        <f>LOWER(Table1[[#This Row],[First Name]]&amp; "."&amp;Table1[[#This Row],[Last Name]]&amp;"@dame.com")</f>
        <v>faith.udo@dame.com</v>
      </c>
      <c r="H68" s="8" t="s">
        <v>54</v>
      </c>
      <c r="I68" s="8" t="str">
        <f>UPPER(Table1[[#This Row],[Department]])</f>
        <v>FINANCE</v>
      </c>
      <c r="J68" s="8" t="str">
        <f>LOWER(Table1[[#This Row],[Department]])</f>
        <v>finance</v>
      </c>
      <c r="K68" s="8" t="str">
        <f>PROPER(Table1[[#This Row],[Department]])</f>
        <v>Finance</v>
      </c>
      <c r="L68" s="8" t="s">
        <v>76</v>
      </c>
      <c r="M68" s="8" t="s">
        <v>48</v>
      </c>
      <c r="N68" s="12">
        <v>367942</v>
      </c>
      <c r="O68" s="8">
        <v>8</v>
      </c>
      <c r="P68" s="9" t="s">
        <v>44</v>
      </c>
    </row>
    <row r="69" spans="1:16">
      <c r="A69" s="7" t="s">
        <v>138</v>
      </c>
      <c r="B69" s="8" t="s">
        <v>94</v>
      </c>
      <c r="C69" s="8" t="s">
        <v>189</v>
      </c>
      <c r="D69" s="8" t="s">
        <v>190</v>
      </c>
      <c r="E69" s="8" t="str">
        <f>_xlfn.CONCAT(Table1[[#This Row],[First Name]]," ",Table1[[#This Row],[Last Name]])</f>
        <v>Ngozi Bello</v>
      </c>
      <c r="F69" s="8">
        <f>LEN(Table1[[#This Row],[Full Name2]])</f>
        <v>11</v>
      </c>
      <c r="G69" s="8" t="str">
        <f>LOWER(Table1[[#This Row],[First Name]]&amp; "."&amp;Table1[[#This Row],[Last Name]]&amp;"@dame.com")</f>
        <v>ngozi.bello@dame.com</v>
      </c>
      <c r="H69" s="8" t="s">
        <v>52</v>
      </c>
      <c r="I69" s="8" t="str">
        <f>UPPER(Table1[[#This Row],[Department]])</f>
        <v>SALES</v>
      </c>
      <c r="J69" s="8" t="str">
        <f>LOWER(Table1[[#This Row],[Department]])</f>
        <v>sales</v>
      </c>
      <c r="K69" s="8" t="str">
        <f>PROPER(Table1[[#This Row],[Department]])</f>
        <v>Sales</v>
      </c>
      <c r="L69" s="8" t="s">
        <v>90</v>
      </c>
      <c r="M69" s="8" t="s">
        <v>43</v>
      </c>
      <c r="N69" s="12">
        <v>225459</v>
      </c>
      <c r="O69" s="8">
        <v>2</v>
      </c>
      <c r="P69" s="9" t="s">
        <v>59</v>
      </c>
    </row>
    <row r="70" spans="1:16">
      <c r="A70" s="7" t="s">
        <v>139</v>
      </c>
      <c r="B70" s="8" t="s">
        <v>61</v>
      </c>
      <c r="C70" s="8" t="s">
        <v>179</v>
      </c>
      <c r="D70" s="8" t="s">
        <v>180</v>
      </c>
      <c r="E70" s="8" t="str">
        <f>_xlfn.CONCAT(Table1[[#This Row],[First Name]]," ",Table1[[#This Row],[Last Name]])</f>
        <v>Tunde Salisu</v>
      </c>
      <c r="F70" s="8">
        <f>LEN(Table1[[#This Row],[Full Name2]])</f>
        <v>12</v>
      </c>
      <c r="G70" s="8" t="str">
        <f>LOWER(Table1[[#This Row],[First Name]]&amp; "."&amp;Table1[[#This Row],[Last Name]]&amp;"@dame.com")</f>
        <v>tunde.salisu@dame.com</v>
      </c>
      <c r="H70" s="8" t="s">
        <v>41</v>
      </c>
      <c r="I70" s="8" t="str">
        <f>UPPER(Table1[[#This Row],[Department]])</f>
        <v>IT</v>
      </c>
      <c r="J70" s="8" t="str">
        <f>LOWER(Table1[[#This Row],[Department]])</f>
        <v>it</v>
      </c>
      <c r="K70" s="8" t="str">
        <f>PROPER(Table1[[#This Row],[Department]])</f>
        <v>It</v>
      </c>
      <c r="L70" s="8" t="s">
        <v>87</v>
      </c>
      <c r="M70" s="8" t="s">
        <v>43</v>
      </c>
      <c r="N70" s="12">
        <v>334185</v>
      </c>
      <c r="O70" s="8">
        <v>2</v>
      </c>
      <c r="P70" s="9" t="s">
        <v>44</v>
      </c>
    </row>
    <row r="71" spans="1:16">
      <c r="A71" s="7" t="s">
        <v>140</v>
      </c>
      <c r="B71" s="8" t="s">
        <v>75</v>
      </c>
      <c r="C71" s="8" t="s">
        <v>185</v>
      </c>
      <c r="D71" s="8" t="s">
        <v>186</v>
      </c>
      <c r="E71" s="8" t="str">
        <f>_xlfn.CONCAT(Table1[[#This Row],[First Name]]," ",Table1[[#This Row],[Last Name]])</f>
        <v>Chika Umeh</v>
      </c>
      <c r="F71" s="8">
        <f>LEN(Table1[[#This Row],[Full Name2]])</f>
        <v>10</v>
      </c>
      <c r="G71" s="8" t="str">
        <f>LOWER(Table1[[#This Row],[First Name]]&amp; "."&amp;Table1[[#This Row],[Last Name]]&amp;"@dame.com")</f>
        <v>chika.umeh@dame.com</v>
      </c>
      <c r="H71" s="8" t="s">
        <v>41</v>
      </c>
      <c r="I71" s="8" t="str">
        <f>UPPER(Table1[[#This Row],[Department]])</f>
        <v>IT</v>
      </c>
      <c r="J71" s="8" t="str">
        <f>LOWER(Table1[[#This Row],[Department]])</f>
        <v>it</v>
      </c>
      <c r="K71" s="8" t="str">
        <f>PROPER(Table1[[#This Row],[Department]])</f>
        <v>It</v>
      </c>
      <c r="L71" s="8" t="s">
        <v>90</v>
      </c>
      <c r="M71" s="8" t="s">
        <v>48</v>
      </c>
      <c r="N71" s="12">
        <v>329104</v>
      </c>
      <c r="O71" s="8">
        <v>2</v>
      </c>
      <c r="P71" s="9" t="s">
        <v>56</v>
      </c>
    </row>
    <row r="72" spans="1:16">
      <c r="A72" s="7" t="s">
        <v>141</v>
      </c>
      <c r="B72" s="8" t="s">
        <v>58</v>
      </c>
      <c r="C72" s="8" t="s">
        <v>177</v>
      </c>
      <c r="D72" s="8" t="s">
        <v>178</v>
      </c>
      <c r="E72" s="8" t="str">
        <f>_xlfn.CONCAT(Table1[[#This Row],[First Name]]," ",Table1[[#This Row],[Last Name]])</f>
        <v>Ibrahim Musa</v>
      </c>
      <c r="F72" s="8">
        <f>LEN(Table1[[#This Row],[Full Name2]])</f>
        <v>12</v>
      </c>
      <c r="G72" s="8" t="str">
        <f>LOWER(Table1[[#This Row],[First Name]]&amp; "."&amp;Table1[[#This Row],[Last Name]]&amp;"@dame.com")</f>
        <v>ibrahim.musa@dame.com</v>
      </c>
      <c r="H72" s="8" t="s">
        <v>41</v>
      </c>
      <c r="I72" s="8" t="str">
        <f>UPPER(Table1[[#This Row],[Department]])</f>
        <v>IT</v>
      </c>
      <c r="J72" s="8" t="str">
        <f>LOWER(Table1[[#This Row],[Department]])</f>
        <v>it</v>
      </c>
      <c r="K72" s="8" t="str">
        <f>PROPER(Table1[[#This Row],[Department]])</f>
        <v>It</v>
      </c>
      <c r="L72" s="8" t="s">
        <v>42</v>
      </c>
      <c r="M72" s="8" t="s">
        <v>48</v>
      </c>
      <c r="N72" s="12">
        <v>253559</v>
      </c>
      <c r="O72" s="8">
        <v>4</v>
      </c>
      <c r="P72" s="9" t="s">
        <v>66</v>
      </c>
    </row>
    <row r="73" spans="1:16">
      <c r="A73" s="7" t="s">
        <v>142</v>
      </c>
      <c r="B73" s="8" t="s">
        <v>58</v>
      </c>
      <c r="C73" s="8" t="s">
        <v>177</v>
      </c>
      <c r="D73" s="8" t="s">
        <v>178</v>
      </c>
      <c r="E73" s="8" t="str">
        <f>_xlfn.CONCAT(Table1[[#This Row],[First Name]]," ",Table1[[#This Row],[Last Name]])</f>
        <v>Ibrahim Musa</v>
      </c>
      <c r="F73" s="8">
        <f>LEN(Table1[[#This Row],[Full Name2]])</f>
        <v>12</v>
      </c>
      <c r="G73" s="8" t="str">
        <f>LOWER(Table1[[#This Row],[First Name]]&amp; "."&amp;Table1[[#This Row],[Last Name]]&amp;"@dame.com")</f>
        <v>ibrahim.musa@dame.com</v>
      </c>
      <c r="H73" s="8" t="s">
        <v>46</v>
      </c>
      <c r="I73" s="8" t="str">
        <f>UPPER(Table1[[#This Row],[Department]])</f>
        <v>MARKETING</v>
      </c>
      <c r="J73" s="8" t="str">
        <f>LOWER(Table1[[#This Row],[Department]])</f>
        <v>marketing</v>
      </c>
      <c r="K73" s="8" t="str">
        <f>PROPER(Table1[[#This Row],[Department]])</f>
        <v>Marketing</v>
      </c>
      <c r="L73" s="8" t="s">
        <v>42</v>
      </c>
      <c r="M73" s="8" t="s">
        <v>43</v>
      </c>
      <c r="N73" s="12">
        <v>203632</v>
      </c>
      <c r="O73" s="8">
        <v>4</v>
      </c>
      <c r="P73" s="9" t="s">
        <v>49</v>
      </c>
    </row>
    <row r="74" spans="1:16">
      <c r="A74" s="7" t="s">
        <v>143</v>
      </c>
      <c r="B74" s="8" t="s">
        <v>40</v>
      </c>
      <c r="C74" s="8" t="s">
        <v>173</v>
      </c>
      <c r="D74" s="8" t="s">
        <v>174</v>
      </c>
      <c r="E74" s="8" t="str">
        <f>_xlfn.CONCAT(Table1[[#This Row],[First Name]]," ",Table1[[#This Row],[Last Name]])</f>
        <v>Sade Bassey</v>
      </c>
      <c r="F74" s="8">
        <f>LEN(Table1[[#This Row],[Full Name2]])</f>
        <v>11</v>
      </c>
      <c r="G74" s="8" t="str">
        <f>LOWER(Table1[[#This Row],[First Name]]&amp; "."&amp;Table1[[#This Row],[Last Name]]&amp;"@dame.com")</f>
        <v>sade.bassey@dame.com</v>
      </c>
      <c r="H74" s="8" t="s">
        <v>41</v>
      </c>
      <c r="I74" s="8" t="str">
        <f>UPPER(Table1[[#This Row],[Department]])</f>
        <v>IT</v>
      </c>
      <c r="J74" s="8" t="str">
        <f>LOWER(Table1[[#This Row],[Department]])</f>
        <v>it</v>
      </c>
      <c r="K74" s="8" t="str">
        <f>PROPER(Table1[[#This Row],[Department]])</f>
        <v>It</v>
      </c>
      <c r="L74" s="8" t="s">
        <v>73</v>
      </c>
      <c r="M74" s="8" t="s">
        <v>48</v>
      </c>
      <c r="N74" s="12">
        <v>404012</v>
      </c>
      <c r="O74" s="8">
        <v>7</v>
      </c>
      <c r="P74" s="9" t="s">
        <v>59</v>
      </c>
    </row>
    <row r="75" spans="1:16">
      <c r="A75" s="7" t="s">
        <v>144</v>
      </c>
      <c r="B75" s="8" t="s">
        <v>85</v>
      </c>
      <c r="C75" s="8" t="s">
        <v>187</v>
      </c>
      <c r="D75" s="8" t="s">
        <v>188</v>
      </c>
      <c r="E75" s="8" t="str">
        <f>_xlfn.CONCAT(Table1[[#This Row],[First Name]]," ",Table1[[#This Row],[Last Name]])</f>
        <v>Maria Okafor</v>
      </c>
      <c r="F75" s="8">
        <f>LEN(Table1[[#This Row],[Full Name2]])</f>
        <v>12</v>
      </c>
      <c r="G75" s="8" t="str">
        <f>LOWER(Table1[[#This Row],[First Name]]&amp; "."&amp;Table1[[#This Row],[Last Name]]&amp;"@dame.com")</f>
        <v>maria.okafor@dame.com</v>
      </c>
      <c r="H75" s="8" t="s">
        <v>41</v>
      </c>
      <c r="I75" s="8" t="str">
        <f>UPPER(Table1[[#This Row],[Department]])</f>
        <v>IT</v>
      </c>
      <c r="J75" s="8" t="str">
        <f>LOWER(Table1[[#This Row],[Department]])</f>
        <v>it</v>
      </c>
      <c r="K75" s="8" t="str">
        <f>PROPER(Table1[[#This Row],[Department]])</f>
        <v>It</v>
      </c>
      <c r="L75" s="8" t="s">
        <v>90</v>
      </c>
      <c r="M75" s="8" t="s">
        <v>43</v>
      </c>
      <c r="N75" s="12">
        <v>493395</v>
      </c>
      <c r="O75" s="8">
        <v>4</v>
      </c>
      <c r="P75" s="9" t="s">
        <v>44</v>
      </c>
    </row>
    <row r="76" spans="1:16">
      <c r="A76" s="7" t="s">
        <v>145</v>
      </c>
      <c r="B76" s="8" t="s">
        <v>58</v>
      </c>
      <c r="C76" s="8" t="s">
        <v>177</v>
      </c>
      <c r="D76" s="8" t="s">
        <v>178</v>
      </c>
      <c r="E76" s="8" t="str">
        <f>_xlfn.CONCAT(Table1[[#This Row],[First Name]]," ",Table1[[#This Row],[Last Name]])</f>
        <v>Ibrahim Musa</v>
      </c>
      <c r="F76" s="8">
        <f>LEN(Table1[[#This Row],[Full Name2]])</f>
        <v>12</v>
      </c>
      <c r="G76" s="8" t="str">
        <f>LOWER(Table1[[#This Row],[First Name]]&amp; "."&amp;Table1[[#This Row],[Last Name]]&amp;"@dame.com")</f>
        <v>ibrahim.musa@dame.com</v>
      </c>
      <c r="H76" s="8" t="s">
        <v>52</v>
      </c>
      <c r="I76" s="8" t="str">
        <f>UPPER(Table1[[#This Row],[Department]])</f>
        <v>SALES</v>
      </c>
      <c r="J76" s="8" t="str">
        <f>LOWER(Table1[[#This Row],[Department]])</f>
        <v>sales</v>
      </c>
      <c r="K76" s="8" t="str">
        <f>PROPER(Table1[[#This Row],[Department]])</f>
        <v>Sales</v>
      </c>
      <c r="L76" s="8" t="s">
        <v>73</v>
      </c>
      <c r="M76" s="8" t="s">
        <v>43</v>
      </c>
      <c r="N76" s="12">
        <v>372679</v>
      </c>
      <c r="O76" s="8">
        <v>2</v>
      </c>
      <c r="P76" s="9" t="s">
        <v>44</v>
      </c>
    </row>
    <row r="77" spans="1:16">
      <c r="A77" s="7" t="s">
        <v>146</v>
      </c>
      <c r="B77" s="8" t="s">
        <v>51</v>
      </c>
      <c r="C77" s="8" t="s">
        <v>175</v>
      </c>
      <c r="D77" s="8" t="s">
        <v>176</v>
      </c>
      <c r="E77" s="8" t="str">
        <f>_xlfn.CONCAT(Table1[[#This Row],[First Name]]," ",Table1[[#This Row],[Last Name]])</f>
        <v>Faith Udo</v>
      </c>
      <c r="F77" s="8">
        <f>LEN(Table1[[#This Row],[Full Name2]])</f>
        <v>9</v>
      </c>
      <c r="G77" s="8" t="str">
        <f>LOWER(Table1[[#This Row],[First Name]]&amp; "."&amp;Table1[[#This Row],[Last Name]]&amp;"@dame.com")</f>
        <v>faith.udo@dame.com</v>
      </c>
      <c r="H77" s="8" t="s">
        <v>71</v>
      </c>
      <c r="I77" s="8" t="str">
        <f>UPPER(Table1[[#This Row],[Department]])</f>
        <v>HR</v>
      </c>
      <c r="J77" s="8" t="str">
        <f>LOWER(Table1[[#This Row],[Department]])</f>
        <v>hr</v>
      </c>
      <c r="K77" s="8" t="str">
        <f>PROPER(Table1[[#This Row],[Department]])</f>
        <v>Hr</v>
      </c>
      <c r="L77" s="8" t="s">
        <v>47</v>
      </c>
      <c r="M77" s="8" t="s">
        <v>48</v>
      </c>
      <c r="N77" s="12">
        <v>464770</v>
      </c>
      <c r="O77" s="8">
        <v>9</v>
      </c>
      <c r="P77" s="9" t="s">
        <v>44</v>
      </c>
    </row>
    <row r="78" spans="1:16">
      <c r="A78" s="7" t="s">
        <v>147</v>
      </c>
      <c r="B78" s="8" t="s">
        <v>85</v>
      </c>
      <c r="C78" s="8" t="s">
        <v>187</v>
      </c>
      <c r="D78" s="8" t="s">
        <v>188</v>
      </c>
      <c r="E78" s="8" t="str">
        <f>_xlfn.CONCAT(Table1[[#This Row],[First Name]]," ",Table1[[#This Row],[Last Name]])</f>
        <v>Maria Okafor</v>
      </c>
      <c r="F78" s="8">
        <f>LEN(Table1[[#This Row],[Full Name2]])</f>
        <v>12</v>
      </c>
      <c r="G78" s="8" t="str">
        <f>LOWER(Table1[[#This Row],[First Name]]&amp; "."&amp;Table1[[#This Row],[Last Name]]&amp;"@dame.com")</f>
        <v>maria.okafor@dame.com</v>
      </c>
      <c r="H78" s="8" t="s">
        <v>52</v>
      </c>
      <c r="I78" s="8" t="str">
        <f>UPPER(Table1[[#This Row],[Department]])</f>
        <v>SALES</v>
      </c>
      <c r="J78" s="8" t="str">
        <f>LOWER(Table1[[#This Row],[Department]])</f>
        <v>sales</v>
      </c>
      <c r="K78" s="8" t="str">
        <f>PROPER(Table1[[#This Row],[Department]])</f>
        <v>Sales</v>
      </c>
      <c r="L78" s="8" t="s">
        <v>87</v>
      </c>
      <c r="M78" s="8" t="s">
        <v>48</v>
      </c>
      <c r="N78" s="12">
        <v>360225</v>
      </c>
      <c r="O78" s="8">
        <v>3</v>
      </c>
      <c r="P78" s="9" t="s">
        <v>49</v>
      </c>
    </row>
    <row r="79" spans="1:16">
      <c r="A79" s="7" t="s">
        <v>148</v>
      </c>
      <c r="B79" s="8" t="s">
        <v>58</v>
      </c>
      <c r="C79" s="8" t="s">
        <v>177</v>
      </c>
      <c r="D79" s="8" t="s">
        <v>178</v>
      </c>
      <c r="E79" s="8" t="str">
        <f>_xlfn.CONCAT(Table1[[#This Row],[First Name]]," ",Table1[[#This Row],[Last Name]])</f>
        <v>Ibrahim Musa</v>
      </c>
      <c r="F79" s="8">
        <f>LEN(Table1[[#This Row],[Full Name2]])</f>
        <v>12</v>
      </c>
      <c r="G79" s="8" t="str">
        <f>LOWER(Table1[[#This Row],[First Name]]&amp; "."&amp;Table1[[#This Row],[Last Name]]&amp;"@dame.com")</f>
        <v>ibrahim.musa@dame.com</v>
      </c>
      <c r="H79" s="8" t="s">
        <v>41</v>
      </c>
      <c r="I79" s="8" t="str">
        <f>UPPER(Table1[[#This Row],[Department]])</f>
        <v>IT</v>
      </c>
      <c r="J79" s="8" t="str">
        <f>LOWER(Table1[[#This Row],[Department]])</f>
        <v>it</v>
      </c>
      <c r="K79" s="8" t="str">
        <f>PROPER(Table1[[#This Row],[Department]])</f>
        <v>It</v>
      </c>
      <c r="L79" s="8" t="s">
        <v>76</v>
      </c>
      <c r="M79" s="8" t="s">
        <v>43</v>
      </c>
      <c r="N79" s="12">
        <v>422249</v>
      </c>
      <c r="O79" s="8">
        <v>10</v>
      </c>
      <c r="P79" s="9" t="s">
        <v>66</v>
      </c>
    </row>
    <row r="80" spans="1:16">
      <c r="A80" s="7" t="s">
        <v>149</v>
      </c>
      <c r="B80" s="8" t="s">
        <v>61</v>
      </c>
      <c r="C80" s="8" t="s">
        <v>179</v>
      </c>
      <c r="D80" s="8" t="s">
        <v>180</v>
      </c>
      <c r="E80" s="8" t="str">
        <f>_xlfn.CONCAT(Table1[[#This Row],[First Name]]," ",Table1[[#This Row],[Last Name]])</f>
        <v>Tunde Salisu</v>
      </c>
      <c r="F80" s="8">
        <f>LEN(Table1[[#This Row],[Full Name2]])</f>
        <v>12</v>
      </c>
      <c r="G80" s="8" t="str">
        <f>LOWER(Table1[[#This Row],[First Name]]&amp; "."&amp;Table1[[#This Row],[Last Name]]&amp;"@dame.com")</f>
        <v>tunde.salisu@dame.com</v>
      </c>
      <c r="H80" s="8" t="s">
        <v>52</v>
      </c>
      <c r="I80" s="8" t="str">
        <f>UPPER(Table1[[#This Row],[Department]])</f>
        <v>SALES</v>
      </c>
      <c r="J80" s="8" t="str">
        <f>LOWER(Table1[[#This Row],[Department]])</f>
        <v>sales</v>
      </c>
      <c r="K80" s="8" t="str">
        <f>PROPER(Table1[[#This Row],[Department]])</f>
        <v>Sales</v>
      </c>
      <c r="L80" s="8" t="s">
        <v>90</v>
      </c>
      <c r="M80" s="8" t="s">
        <v>48</v>
      </c>
      <c r="N80" s="12">
        <v>343548</v>
      </c>
      <c r="O80" s="8">
        <v>7</v>
      </c>
      <c r="P80" s="9" t="s">
        <v>59</v>
      </c>
    </row>
    <row r="81" spans="1:16">
      <c r="A81" s="7" t="s">
        <v>150</v>
      </c>
      <c r="B81" s="8" t="s">
        <v>75</v>
      </c>
      <c r="C81" s="8" t="s">
        <v>185</v>
      </c>
      <c r="D81" s="8" t="s">
        <v>186</v>
      </c>
      <c r="E81" s="8" t="str">
        <f>_xlfn.CONCAT(Table1[[#This Row],[First Name]]," ",Table1[[#This Row],[Last Name]])</f>
        <v>Chika Umeh</v>
      </c>
      <c r="F81" s="8">
        <f>LEN(Table1[[#This Row],[Full Name2]])</f>
        <v>10</v>
      </c>
      <c r="G81" s="8" t="str">
        <f>LOWER(Table1[[#This Row],[First Name]]&amp; "."&amp;Table1[[#This Row],[Last Name]]&amp;"@dame.com")</f>
        <v>chika.umeh@dame.com</v>
      </c>
      <c r="H81" s="8" t="s">
        <v>46</v>
      </c>
      <c r="I81" s="8" t="str">
        <f>UPPER(Table1[[#This Row],[Department]])</f>
        <v>MARKETING</v>
      </c>
      <c r="J81" s="8" t="str">
        <f>LOWER(Table1[[#This Row],[Department]])</f>
        <v>marketing</v>
      </c>
      <c r="K81" s="8" t="str">
        <f>PROPER(Table1[[#This Row],[Department]])</f>
        <v>Marketing</v>
      </c>
      <c r="L81" s="8" t="s">
        <v>47</v>
      </c>
      <c r="M81" s="8" t="s">
        <v>43</v>
      </c>
      <c r="N81" s="12">
        <v>429470</v>
      </c>
      <c r="O81" s="8">
        <v>3</v>
      </c>
      <c r="P81" s="9" t="s">
        <v>44</v>
      </c>
    </row>
    <row r="82" spans="1:16">
      <c r="A82" s="7" t="s">
        <v>151</v>
      </c>
      <c r="B82" s="8" t="s">
        <v>85</v>
      </c>
      <c r="C82" s="8" t="s">
        <v>187</v>
      </c>
      <c r="D82" s="8" t="s">
        <v>188</v>
      </c>
      <c r="E82" s="8" t="str">
        <f>_xlfn.CONCAT(Table1[[#This Row],[First Name]]," ",Table1[[#This Row],[Last Name]])</f>
        <v>Maria Okafor</v>
      </c>
      <c r="F82" s="8">
        <f>LEN(Table1[[#This Row],[Full Name2]])</f>
        <v>12</v>
      </c>
      <c r="G82" s="8" t="str">
        <f>LOWER(Table1[[#This Row],[First Name]]&amp; "."&amp;Table1[[#This Row],[Last Name]]&amp;"@dame.com")</f>
        <v>maria.okafor@dame.com</v>
      </c>
      <c r="H82" s="8" t="s">
        <v>71</v>
      </c>
      <c r="I82" s="8" t="str">
        <f>UPPER(Table1[[#This Row],[Department]])</f>
        <v>HR</v>
      </c>
      <c r="J82" s="8" t="str">
        <f>LOWER(Table1[[#This Row],[Department]])</f>
        <v>hr</v>
      </c>
      <c r="K82" s="8" t="str">
        <f>PROPER(Table1[[#This Row],[Department]])</f>
        <v>Hr</v>
      </c>
      <c r="L82" s="8" t="s">
        <v>62</v>
      </c>
      <c r="M82" s="8" t="s">
        <v>48</v>
      </c>
      <c r="N82" s="12">
        <v>228264</v>
      </c>
      <c r="O82" s="8">
        <v>5</v>
      </c>
      <c r="P82" s="9" t="s">
        <v>59</v>
      </c>
    </row>
    <row r="83" spans="1:16">
      <c r="A83" s="7" t="s">
        <v>152</v>
      </c>
      <c r="B83" s="8" t="s">
        <v>64</v>
      </c>
      <c r="C83" s="8" t="s">
        <v>181</v>
      </c>
      <c r="D83" s="8" t="s">
        <v>182</v>
      </c>
      <c r="E83" s="8" t="str">
        <f>_xlfn.CONCAT(Table1[[#This Row],[First Name]]," ",Table1[[#This Row],[Last Name]])</f>
        <v>James Obi</v>
      </c>
      <c r="F83" s="8">
        <f>LEN(Table1[[#This Row],[Full Name2]])</f>
        <v>9</v>
      </c>
      <c r="G83" s="8" t="str">
        <f>LOWER(Table1[[#This Row],[First Name]]&amp; "."&amp;Table1[[#This Row],[Last Name]]&amp;"@dame.com")</f>
        <v>james.obi@dame.com</v>
      </c>
      <c r="H83" s="8" t="s">
        <v>52</v>
      </c>
      <c r="I83" s="8" t="str">
        <f>UPPER(Table1[[#This Row],[Department]])</f>
        <v>SALES</v>
      </c>
      <c r="J83" s="8" t="str">
        <f>LOWER(Table1[[#This Row],[Department]])</f>
        <v>sales</v>
      </c>
      <c r="K83" s="8" t="str">
        <f>PROPER(Table1[[#This Row],[Department]])</f>
        <v>Sales</v>
      </c>
      <c r="L83" s="8" t="s">
        <v>55</v>
      </c>
      <c r="M83" s="8" t="s">
        <v>43</v>
      </c>
      <c r="N83" s="12">
        <v>481733</v>
      </c>
      <c r="O83" s="8">
        <v>7</v>
      </c>
      <c r="P83" s="9" t="s">
        <v>49</v>
      </c>
    </row>
    <row r="84" spans="1:16">
      <c r="A84" s="7" t="s">
        <v>153</v>
      </c>
      <c r="B84" s="8" t="s">
        <v>64</v>
      </c>
      <c r="C84" s="8" t="s">
        <v>181</v>
      </c>
      <c r="D84" s="8" t="s">
        <v>182</v>
      </c>
      <c r="E84" s="8" t="str">
        <f>_xlfn.CONCAT(Table1[[#This Row],[First Name]]," ",Table1[[#This Row],[Last Name]])</f>
        <v>James Obi</v>
      </c>
      <c r="F84" s="8">
        <f>LEN(Table1[[#This Row],[Full Name2]])</f>
        <v>9</v>
      </c>
      <c r="G84" s="8" t="str">
        <f>LOWER(Table1[[#This Row],[First Name]]&amp; "."&amp;Table1[[#This Row],[Last Name]]&amp;"@dame.com")</f>
        <v>james.obi@dame.com</v>
      </c>
      <c r="H84" s="8" t="s">
        <v>41</v>
      </c>
      <c r="I84" s="8" t="str">
        <f>UPPER(Table1[[#This Row],[Department]])</f>
        <v>IT</v>
      </c>
      <c r="J84" s="8" t="str">
        <f>LOWER(Table1[[#This Row],[Department]])</f>
        <v>it</v>
      </c>
      <c r="K84" s="8" t="str">
        <f>PROPER(Table1[[#This Row],[Department]])</f>
        <v>It</v>
      </c>
      <c r="L84" s="8" t="s">
        <v>42</v>
      </c>
      <c r="M84" s="8" t="s">
        <v>43</v>
      </c>
      <c r="N84" s="12">
        <v>253954</v>
      </c>
      <c r="O84" s="8">
        <v>2</v>
      </c>
      <c r="P84" s="9" t="s">
        <v>49</v>
      </c>
    </row>
    <row r="85" spans="1:16">
      <c r="A85" s="7" t="s">
        <v>154</v>
      </c>
      <c r="B85" s="8" t="s">
        <v>64</v>
      </c>
      <c r="C85" s="8" t="s">
        <v>181</v>
      </c>
      <c r="D85" s="8" t="s">
        <v>182</v>
      </c>
      <c r="E85" s="8" t="str">
        <f>_xlfn.CONCAT(Table1[[#This Row],[First Name]]," ",Table1[[#This Row],[Last Name]])</f>
        <v>James Obi</v>
      </c>
      <c r="F85" s="8">
        <f>LEN(Table1[[#This Row],[Full Name2]])</f>
        <v>9</v>
      </c>
      <c r="G85" s="8" t="str">
        <f>LOWER(Table1[[#This Row],[First Name]]&amp; "."&amp;Table1[[#This Row],[Last Name]]&amp;"@dame.com")</f>
        <v>james.obi@dame.com</v>
      </c>
      <c r="H85" s="8" t="s">
        <v>41</v>
      </c>
      <c r="I85" s="8" t="str">
        <f>UPPER(Table1[[#This Row],[Department]])</f>
        <v>IT</v>
      </c>
      <c r="J85" s="8" t="str">
        <f>LOWER(Table1[[#This Row],[Department]])</f>
        <v>it</v>
      </c>
      <c r="K85" s="8" t="str">
        <f>PROPER(Table1[[#This Row],[Department]])</f>
        <v>It</v>
      </c>
      <c r="L85" s="8" t="s">
        <v>76</v>
      </c>
      <c r="M85" s="8" t="s">
        <v>43</v>
      </c>
      <c r="N85" s="12">
        <v>338029</v>
      </c>
      <c r="O85" s="8">
        <v>6</v>
      </c>
      <c r="P85" s="9" t="s">
        <v>66</v>
      </c>
    </row>
    <row r="86" spans="1:16">
      <c r="A86" s="7" t="s">
        <v>155</v>
      </c>
      <c r="B86" s="8" t="s">
        <v>94</v>
      </c>
      <c r="C86" s="8" t="s">
        <v>189</v>
      </c>
      <c r="D86" s="8" t="s">
        <v>190</v>
      </c>
      <c r="E86" s="8" t="str">
        <f>_xlfn.CONCAT(Table1[[#This Row],[First Name]]," ",Table1[[#This Row],[Last Name]])</f>
        <v>Ngozi Bello</v>
      </c>
      <c r="F86" s="8">
        <f>LEN(Table1[[#This Row],[Full Name2]])</f>
        <v>11</v>
      </c>
      <c r="G86" s="8" t="str">
        <f>LOWER(Table1[[#This Row],[First Name]]&amp; "."&amp;Table1[[#This Row],[Last Name]]&amp;"@dame.com")</f>
        <v>ngozi.bello@dame.com</v>
      </c>
      <c r="H86" s="8" t="s">
        <v>54</v>
      </c>
      <c r="I86" s="8" t="str">
        <f>UPPER(Table1[[#This Row],[Department]])</f>
        <v>FINANCE</v>
      </c>
      <c r="J86" s="8" t="str">
        <f>LOWER(Table1[[#This Row],[Department]])</f>
        <v>finance</v>
      </c>
      <c r="K86" s="8" t="str">
        <f>PROPER(Table1[[#This Row],[Department]])</f>
        <v>Finance</v>
      </c>
      <c r="L86" s="8" t="s">
        <v>87</v>
      </c>
      <c r="M86" s="8" t="s">
        <v>43</v>
      </c>
      <c r="N86" s="12">
        <v>340723</v>
      </c>
      <c r="O86" s="8">
        <v>7</v>
      </c>
      <c r="P86" s="9" t="s">
        <v>44</v>
      </c>
    </row>
    <row r="87" spans="1:16">
      <c r="A87" s="7" t="s">
        <v>156</v>
      </c>
      <c r="B87" s="8" t="s">
        <v>51</v>
      </c>
      <c r="C87" s="8" t="s">
        <v>175</v>
      </c>
      <c r="D87" s="8" t="s">
        <v>176</v>
      </c>
      <c r="E87" s="8" t="str">
        <f>_xlfn.CONCAT(Table1[[#This Row],[First Name]]," ",Table1[[#This Row],[Last Name]])</f>
        <v>Faith Udo</v>
      </c>
      <c r="F87" s="8">
        <f>LEN(Table1[[#This Row],[Full Name2]])</f>
        <v>9</v>
      </c>
      <c r="G87" s="8" t="str">
        <f>LOWER(Table1[[#This Row],[First Name]]&amp; "."&amp;Table1[[#This Row],[Last Name]]&amp;"@dame.com")</f>
        <v>faith.udo@dame.com</v>
      </c>
      <c r="H87" s="8" t="s">
        <v>46</v>
      </c>
      <c r="I87" s="8" t="str">
        <f>UPPER(Table1[[#This Row],[Department]])</f>
        <v>MARKETING</v>
      </c>
      <c r="J87" s="8" t="str">
        <f>LOWER(Table1[[#This Row],[Department]])</f>
        <v>marketing</v>
      </c>
      <c r="K87" s="8" t="str">
        <f>PROPER(Table1[[#This Row],[Department]])</f>
        <v>Marketing</v>
      </c>
      <c r="L87" s="8" t="s">
        <v>42</v>
      </c>
      <c r="M87" s="8" t="s">
        <v>43</v>
      </c>
      <c r="N87" s="12">
        <v>216138</v>
      </c>
      <c r="O87" s="8">
        <v>2</v>
      </c>
      <c r="P87" s="9" t="s">
        <v>44</v>
      </c>
    </row>
    <row r="88" spans="1:16">
      <c r="A88" s="7" t="s">
        <v>157</v>
      </c>
      <c r="B88" s="8" t="s">
        <v>75</v>
      </c>
      <c r="C88" s="8" t="s">
        <v>185</v>
      </c>
      <c r="D88" s="8" t="s">
        <v>186</v>
      </c>
      <c r="E88" s="8" t="str">
        <f>_xlfn.CONCAT(Table1[[#This Row],[First Name]]," ",Table1[[#This Row],[Last Name]])</f>
        <v>Chika Umeh</v>
      </c>
      <c r="F88" s="8">
        <f>LEN(Table1[[#This Row],[Full Name2]])</f>
        <v>10</v>
      </c>
      <c r="G88" s="8" t="str">
        <f>LOWER(Table1[[#This Row],[First Name]]&amp; "."&amp;Table1[[#This Row],[Last Name]]&amp;"@dame.com")</f>
        <v>chika.umeh@dame.com</v>
      </c>
      <c r="H88" s="8" t="s">
        <v>41</v>
      </c>
      <c r="I88" s="8" t="str">
        <f>UPPER(Table1[[#This Row],[Department]])</f>
        <v>IT</v>
      </c>
      <c r="J88" s="8" t="str">
        <f>LOWER(Table1[[#This Row],[Department]])</f>
        <v>it</v>
      </c>
      <c r="K88" s="8" t="str">
        <f>PROPER(Table1[[#This Row],[Department]])</f>
        <v>It</v>
      </c>
      <c r="L88" s="8" t="s">
        <v>73</v>
      </c>
      <c r="M88" s="8" t="s">
        <v>48</v>
      </c>
      <c r="N88" s="12">
        <v>490025</v>
      </c>
      <c r="O88" s="8">
        <v>8</v>
      </c>
      <c r="P88" s="9" t="s">
        <v>49</v>
      </c>
    </row>
    <row r="89" spans="1:16">
      <c r="A89" s="7" t="s">
        <v>158</v>
      </c>
      <c r="B89" s="8" t="s">
        <v>75</v>
      </c>
      <c r="C89" s="8" t="s">
        <v>185</v>
      </c>
      <c r="D89" s="8" t="s">
        <v>186</v>
      </c>
      <c r="E89" s="8" t="str">
        <f>_xlfn.CONCAT(Table1[[#This Row],[First Name]]," ",Table1[[#This Row],[Last Name]])</f>
        <v>Chika Umeh</v>
      </c>
      <c r="F89" s="8">
        <f>LEN(Table1[[#This Row],[Full Name2]])</f>
        <v>10</v>
      </c>
      <c r="G89" s="8" t="str">
        <f>LOWER(Table1[[#This Row],[First Name]]&amp; "."&amp;Table1[[#This Row],[Last Name]]&amp;"@dame.com")</f>
        <v>chika.umeh@dame.com</v>
      </c>
      <c r="H89" s="8" t="s">
        <v>46</v>
      </c>
      <c r="I89" s="8" t="str">
        <f>UPPER(Table1[[#This Row],[Department]])</f>
        <v>MARKETING</v>
      </c>
      <c r="J89" s="8" t="str">
        <f>LOWER(Table1[[#This Row],[Department]])</f>
        <v>marketing</v>
      </c>
      <c r="K89" s="8" t="str">
        <f>PROPER(Table1[[#This Row],[Department]])</f>
        <v>Marketing</v>
      </c>
      <c r="L89" s="8" t="s">
        <v>68</v>
      </c>
      <c r="M89" s="8" t="s">
        <v>43</v>
      </c>
      <c r="N89" s="12">
        <v>339580</v>
      </c>
      <c r="O89" s="8">
        <v>2</v>
      </c>
      <c r="P89" s="9" t="s">
        <v>56</v>
      </c>
    </row>
    <row r="90" spans="1:16">
      <c r="A90" s="7" t="s">
        <v>159</v>
      </c>
      <c r="B90" s="8" t="s">
        <v>58</v>
      </c>
      <c r="C90" s="8" t="s">
        <v>177</v>
      </c>
      <c r="D90" s="8" t="s">
        <v>178</v>
      </c>
      <c r="E90" s="8" t="str">
        <f>_xlfn.CONCAT(Table1[[#This Row],[First Name]]," ",Table1[[#This Row],[Last Name]])</f>
        <v>Ibrahim Musa</v>
      </c>
      <c r="F90" s="8">
        <f>LEN(Table1[[#This Row],[Full Name2]])</f>
        <v>12</v>
      </c>
      <c r="G90" s="8" t="str">
        <f>LOWER(Table1[[#This Row],[First Name]]&amp; "."&amp;Table1[[#This Row],[Last Name]]&amp;"@dame.com")</f>
        <v>ibrahim.musa@dame.com</v>
      </c>
      <c r="H90" s="8" t="s">
        <v>71</v>
      </c>
      <c r="I90" s="8" t="str">
        <f>UPPER(Table1[[#This Row],[Department]])</f>
        <v>HR</v>
      </c>
      <c r="J90" s="8" t="str">
        <f>LOWER(Table1[[#This Row],[Department]])</f>
        <v>hr</v>
      </c>
      <c r="K90" s="8" t="str">
        <f>PROPER(Table1[[#This Row],[Department]])</f>
        <v>Hr</v>
      </c>
      <c r="L90" s="8" t="s">
        <v>76</v>
      </c>
      <c r="M90" s="8" t="s">
        <v>48</v>
      </c>
      <c r="N90" s="12">
        <v>325782</v>
      </c>
      <c r="O90" s="8">
        <v>8</v>
      </c>
      <c r="P90" s="9" t="s">
        <v>56</v>
      </c>
    </row>
    <row r="91" spans="1:16">
      <c r="A91" s="7" t="s">
        <v>160</v>
      </c>
      <c r="B91" s="8" t="s">
        <v>61</v>
      </c>
      <c r="C91" s="8" t="s">
        <v>179</v>
      </c>
      <c r="D91" s="8" t="s">
        <v>180</v>
      </c>
      <c r="E91" s="8" t="str">
        <f>_xlfn.CONCAT(Table1[[#This Row],[First Name]]," ",Table1[[#This Row],[Last Name]])</f>
        <v>Tunde Salisu</v>
      </c>
      <c r="F91" s="8">
        <f>LEN(Table1[[#This Row],[Full Name2]])</f>
        <v>12</v>
      </c>
      <c r="G91" s="8" t="str">
        <f>LOWER(Table1[[#This Row],[First Name]]&amp; "."&amp;Table1[[#This Row],[Last Name]]&amp;"@dame.com")</f>
        <v>tunde.salisu@dame.com</v>
      </c>
      <c r="H91" s="8" t="s">
        <v>41</v>
      </c>
      <c r="I91" s="8" t="str">
        <f>UPPER(Table1[[#This Row],[Department]])</f>
        <v>IT</v>
      </c>
      <c r="J91" s="8" t="str">
        <f>LOWER(Table1[[#This Row],[Department]])</f>
        <v>it</v>
      </c>
      <c r="K91" s="8" t="str">
        <f>PROPER(Table1[[#This Row],[Department]])</f>
        <v>It</v>
      </c>
      <c r="L91" s="8" t="s">
        <v>79</v>
      </c>
      <c r="M91" s="8" t="s">
        <v>43</v>
      </c>
      <c r="N91" s="12">
        <v>397430</v>
      </c>
      <c r="O91" s="8">
        <v>10</v>
      </c>
      <c r="P91" s="9" t="s">
        <v>59</v>
      </c>
    </row>
    <row r="92" spans="1:16">
      <c r="A92" s="7" t="s">
        <v>161</v>
      </c>
      <c r="B92" s="8" t="s">
        <v>94</v>
      </c>
      <c r="C92" s="8" t="s">
        <v>189</v>
      </c>
      <c r="D92" s="8" t="s">
        <v>190</v>
      </c>
      <c r="E92" s="8" t="str">
        <f>_xlfn.CONCAT(Table1[[#This Row],[First Name]]," ",Table1[[#This Row],[Last Name]])</f>
        <v>Ngozi Bello</v>
      </c>
      <c r="F92" s="8">
        <f>LEN(Table1[[#This Row],[Full Name2]])</f>
        <v>11</v>
      </c>
      <c r="G92" s="8" t="str">
        <f>LOWER(Table1[[#This Row],[First Name]]&amp; "."&amp;Table1[[#This Row],[Last Name]]&amp;"@dame.com")</f>
        <v>ngozi.bello@dame.com</v>
      </c>
      <c r="H92" s="8" t="s">
        <v>54</v>
      </c>
      <c r="I92" s="8" t="str">
        <f>UPPER(Table1[[#This Row],[Department]])</f>
        <v>FINANCE</v>
      </c>
      <c r="J92" s="8" t="str">
        <f>LOWER(Table1[[#This Row],[Department]])</f>
        <v>finance</v>
      </c>
      <c r="K92" s="8" t="str">
        <f>PROPER(Table1[[#This Row],[Department]])</f>
        <v>Finance</v>
      </c>
      <c r="L92" s="8" t="s">
        <v>76</v>
      </c>
      <c r="M92" s="8" t="s">
        <v>43</v>
      </c>
      <c r="N92" s="12">
        <v>300847</v>
      </c>
      <c r="O92" s="8">
        <v>4</v>
      </c>
      <c r="P92" s="9" t="s">
        <v>44</v>
      </c>
    </row>
    <row r="93" spans="1:16">
      <c r="A93" s="7" t="s">
        <v>162</v>
      </c>
      <c r="B93" s="8" t="s">
        <v>64</v>
      </c>
      <c r="C93" s="8" t="s">
        <v>181</v>
      </c>
      <c r="D93" s="8" t="s">
        <v>182</v>
      </c>
      <c r="E93" s="8" t="str">
        <f>_xlfn.CONCAT(Table1[[#This Row],[First Name]]," ",Table1[[#This Row],[Last Name]])</f>
        <v>James Obi</v>
      </c>
      <c r="F93" s="8">
        <f>LEN(Table1[[#This Row],[Full Name2]])</f>
        <v>9</v>
      </c>
      <c r="G93" s="8" t="str">
        <f>LOWER(Table1[[#This Row],[First Name]]&amp; "."&amp;Table1[[#This Row],[Last Name]]&amp;"@dame.com")</f>
        <v>james.obi@dame.com</v>
      </c>
      <c r="H93" s="8" t="s">
        <v>41</v>
      </c>
      <c r="I93" s="8" t="str">
        <f>UPPER(Table1[[#This Row],[Department]])</f>
        <v>IT</v>
      </c>
      <c r="J93" s="8" t="str">
        <f>LOWER(Table1[[#This Row],[Department]])</f>
        <v>it</v>
      </c>
      <c r="K93" s="8" t="str">
        <f>PROPER(Table1[[#This Row],[Department]])</f>
        <v>It</v>
      </c>
      <c r="L93" s="8" t="s">
        <v>47</v>
      </c>
      <c r="M93" s="8" t="s">
        <v>43</v>
      </c>
      <c r="N93" s="12">
        <v>265948</v>
      </c>
      <c r="O93" s="8">
        <v>6</v>
      </c>
      <c r="P93" s="9" t="s">
        <v>49</v>
      </c>
    </row>
    <row r="94" spans="1:16">
      <c r="A94" s="7" t="s">
        <v>163</v>
      </c>
      <c r="B94" s="8" t="s">
        <v>61</v>
      </c>
      <c r="C94" s="8" t="s">
        <v>179</v>
      </c>
      <c r="D94" s="8" t="s">
        <v>180</v>
      </c>
      <c r="E94" s="8" t="str">
        <f>_xlfn.CONCAT(Table1[[#This Row],[First Name]]," ",Table1[[#This Row],[Last Name]])</f>
        <v>Tunde Salisu</v>
      </c>
      <c r="F94" s="8">
        <f>LEN(Table1[[#This Row],[Full Name2]])</f>
        <v>12</v>
      </c>
      <c r="G94" s="8" t="str">
        <f>LOWER(Table1[[#This Row],[First Name]]&amp; "."&amp;Table1[[#This Row],[Last Name]]&amp;"@dame.com")</f>
        <v>tunde.salisu@dame.com</v>
      </c>
      <c r="H94" s="8" t="s">
        <v>71</v>
      </c>
      <c r="I94" s="8" t="str">
        <f>UPPER(Table1[[#This Row],[Department]])</f>
        <v>HR</v>
      </c>
      <c r="J94" s="8" t="str">
        <f>LOWER(Table1[[#This Row],[Department]])</f>
        <v>hr</v>
      </c>
      <c r="K94" s="8" t="str">
        <f>PROPER(Table1[[#This Row],[Department]])</f>
        <v>Hr</v>
      </c>
      <c r="L94" s="8" t="s">
        <v>68</v>
      </c>
      <c r="M94" s="8" t="s">
        <v>48</v>
      </c>
      <c r="N94" s="12">
        <v>341060</v>
      </c>
      <c r="O94" s="8">
        <v>7</v>
      </c>
      <c r="P94" s="9" t="s">
        <v>66</v>
      </c>
    </row>
    <row r="95" spans="1:16">
      <c r="A95" s="7" t="s">
        <v>164</v>
      </c>
      <c r="B95" s="8" t="s">
        <v>94</v>
      </c>
      <c r="C95" s="8" t="s">
        <v>189</v>
      </c>
      <c r="D95" s="8" t="s">
        <v>190</v>
      </c>
      <c r="E95" s="8" t="str">
        <f>_xlfn.CONCAT(Table1[[#This Row],[First Name]]," ",Table1[[#This Row],[Last Name]])</f>
        <v>Ngozi Bello</v>
      </c>
      <c r="F95" s="8">
        <f>LEN(Table1[[#This Row],[Full Name2]])</f>
        <v>11</v>
      </c>
      <c r="G95" s="8" t="str">
        <f>LOWER(Table1[[#This Row],[First Name]]&amp; "."&amp;Table1[[#This Row],[Last Name]]&amp;"@dame.com")</f>
        <v>ngozi.bello@dame.com</v>
      </c>
      <c r="H95" s="8" t="s">
        <v>46</v>
      </c>
      <c r="I95" s="8" t="str">
        <f>UPPER(Table1[[#This Row],[Department]])</f>
        <v>MARKETING</v>
      </c>
      <c r="J95" s="8" t="str">
        <f>LOWER(Table1[[#This Row],[Department]])</f>
        <v>marketing</v>
      </c>
      <c r="K95" s="8" t="str">
        <f>PROPER(Table1[[#This Row],[Department]])</f>
        <v>Marketing</v>
      </c>
      <c r="L95" s="8" t="s">
        <v>55</v>
      </c>
      <c r="M95" s="8" t="s">
        <v>48</v>
      </c>
      <c r="N95" s="12">
        <v>326977</v>
      </c>
      <c r="O95" s="8">
        <v>4</v>
      </c>
      <c r="P95" s="9" t="s">
        <v>49</v>
      </c>
    </row>
    <row r="96" spans="1:16">
      <c r="A96" s="7" t="s">
        <v>165</v>
      </c>
      <c r="B96" s="8" t="s">
        <v>61</v>
      </c>
      <c r="C96" s="8" t="s">
        <v>179</v>
      </c>
      <c r="D96" s="8" t="s">
        <v>180</v>
      </c>
      <c r="E96" s="8" t="str">
        <f>_xlfn.CONCAT(Table1[[#This Row],[First Name]]," ",Table1[[#This Row],[Last Name]])</f>
        <v>Tunde Salisu</v>
      </c>
      <c r="F96" s="8">
        <f>LEN(Table1[[#This Row],[Full Name2]])</f>
        <v>12</v>
      </c>
      <c r="G96" s="8" t="str">
        <f>LOWER(Table1[[#This Row],[First Name]]&amp; "."&amp;Table1[[#This Row],[Last Name]]&amp;"@dame.com")</f>
        <v>tunde.salisu@dame.com</v>
      </c>
      <c r="H96" s="8" t="s">
        <v>41</v>
      </c>
      <c r="I96" s="8" t="str">
        <f>UPPER(Table1[[#This Row],[Department]])</f>
        <v>IT</v>
      </c>
      <c r="J96" s="8" t="str">
        <f>LOWER(Table1[[#This Row],[Department]])</f>
        <v>it</v>
      </c>
      <c r="K96" s="8" t="str">
        <f>PROPER(Table1[[#This Row],[Department]])</f>
        <v>It</v>
      </c>
      <c r="L96" s="8" t="s">
        <v>42</v>
      </c>
      <c r="M96" s="8" t="s">
        <v>43</v>
      </c>
      <c r="N96" s="12">
        <v>433031</v>
      </c>
      <c r="O96" s="8">
        <v>1</v>
      </c>
      <c r="P96" s="9" t="s">
        <v>49</v>
      </c>
    </row>
    <row r="97" spans="1:16">
      <c r="A97" s="7" t="s">
        <v>166</v>
      </c>
      <c r="B97" s="8" t="s">
        <v>58</v>
      </c>
      <c r="C97" s="8" t="s">
        <v>177</v>
      </c>
      <c r="D97" s="8" t="s">
        <v>178</v>
      </c>
      <c r="E97" s="8" t="str">
        <f>_xlfn.CONCAT(Table1[[#This Row],[First Name]]," ",Table1[[#This Row],[Last Name]])</f>
        <v>Ibrahim Musa</v>
      </c>
      <c r="F97" s="8">
        <f>LEN(Table1[[#This Row],[Full Name2]])</f>
        <v>12</v>
      </c>
      <c r="G97" s="8" t="str">
        <f>LOWER(Table1[[#This Row],[First Name]]&amp; "."&amp;Table1[[#This Row],[Last Name]]&amp;"@dame.com")</f>
        <v>ibrahim.musa@dame.com</v>
      </c>
      <c r="H97" s="8" t="s">
        <v>46</v>
      </c>
      <c r="I97" s="8" t="str">
        <f>UPPER(Table1[[#This Row],[Department]])</f>
        <v>MARKETING</v>
      </c>
      <c r="J97" s="8" t="str">
        <f>LOWER(Table1[[#This Row],[Department]])</f>
        <v>marketing</v>
      </c>
      <c r="K97" s="8" t="str">
        <f>PROPER(Table1[[#This Row],[Department]])</f>
        <v>Marketing</v>
      </c>
      <c r="L97" s="8" t="s">
        <v>62</v>
      </c>
      <c r="M97" s="8" t="s">
        <v>43</v>
      </c>
      <c r="N97" s="12">
        <v>421034</v>
      </c>
      <c r="O97" s="8">
        <v>3</v>
      </c>
      <c r="P97" s="9" t="s">
        <v>56</v>
      </c>
    </row>
    <row r="98" spans="1:16">
      <c r="A98" s="7" t="s">
        <v>167</v>
      </c>
      <c r="B98" s="8" t="s">
        <v>51</v>
      </c>
      <c r="C98" s="8" t="s">
        <v>175</v>
      </c>
      <c r="D98" s="8" t="s">
        <v>176</v>
      </c>
      <c r="E98" s="8" t="str">
        <f>_xlfn.CONCAT(Table1[[#This Row],[First Name]]," ",Table1[[#This Row],[Last Name]])</f>
        <v>Faith Udo</v>
      </c>
      <c r="F98" s="8">
        <f>LEN(Table1[[#This Row],[Full Name2]])</f>
        <v>9</v>
      </c>
      <c r="G98" s="8" t="str">
        <f>LOWER(Table1[[#This Row],[First Name]]&amp; "."&amp;Table1[[#This Row],[Last Name]]&amp;"@dame.com")</f>
        <v>faith.udo@dame.com</v>
      </c>
      <c r="H98" s="8" t="s">
        <v>71</v>
      </c>
      <c r="I98" s="8" t="str">
        <f>UPPER(Table1[[#This Row],[Department]])</f>
        <v>HR</v>
      </c>
      <c r="J98" s="8" t="str">
        <f>LOWER(Table1[[#This Row],[Department]])</f>
        <v>hr</v>
      </c>
      <c r="K98" s="8" t="str">
        <f>PROPER(Table1[[#This Row],[Department]])</f>
        <v>Hr</v>
      </c>
      <c r="L98" s="8" t="s">
        <v>47</v>
      </c>
      <c r="M98" s="8" t="s">
        <v>43</v>
      </c>
      <c r="N98" s="12">
        <v>363199</v>
      </c>
      <c r="O98" s="8">
        <v>4</v>
      </c>
      <c r="P98" s="9" t="s">
        <v>59</v>
      </c>
    </row>
    <row r="99" spans="1:16">
      <c r="A99" s="7" t="s">
        <v>168</v>
      </c>
      <c r="B99" s="8" t="s">
        <v>61</v>
      </c>
      <c r="C99" s="8" t="s">
        <v>179</v>
      </c>
      <c r="D99" s="8" t="s">
        <v>180</v>
      </c>
      <c r="E99" s="8" t="str">
        <f>_xlfn.CONCAT(Table1[[#This Row],[First Name]]," ",Table1[[#This Row],[Last Name]])</f>
        <v>Tunde Salisu</v>
      </c>
      <c r="F99" s="8">
        <f>LEN(Table1[[#This Row],[Full Name2]])</f>
        <v>12</v>
      </c>
      <c r="G99" s="8" t="str">
        <f>LOWER(Table1[[#This Row],[First Name]]&amp; "."&amp;Table1[[#This Row],[Last Name]]&amp;"@dame.com")</f>
        <v>tunde.salisu@dame.com</v>
      </c>
      <c r="H99" s="8" t="s">
        <v>46</v>
      </c>
      <c r="I99" s="8" t="str">
        <f>UPPER(Table1[[#This Row],[Department]])</f>
        <v>MARKETING</v>
      </c>
      <c r="J99" s="8" t="str">
        <f>LOWER(Table1[[#This Row],[Department]])</f>
        <v>marketing</v>
      </c>
      <c r="K99" s="8" t="str">
        <f>PROPER(Table1[[#This Row],[Department]])</f>
        <v>Marketing</v>
      </c>
      <c r="L99" s="8" t="s">
        <v>76</v>
      </c>
      <c r="M99" s="8" t="s">
        <v>43</v>
      </c>
      <c r="N99" s="12">
        <v>399940</v>
      </c>
      <c r="O99" s="8">
        <v>7</v>
      </c>
      <c r="P99" s="9" t="s">
        <v>44</v>
      </c>
    </row>
    <row r="100" spans="1:16">
      <c r="A100" s="7" t="s">
        <v>169</v>
      </c>
      <c r="B100" s="8" t="s">
        <v>64</v>
      </c>
      <c r="C100" s="8" t="s">
        <v>181</v>
      </c>
      <c r="D100" s="8" t="s">
        <v>182</v>
      </c>
      <c r="E100" s="8" t="str">
        <f>_xlfn.CONCAT(Table1[[#This Row],[First Name]]," ",Table1[[#This Row],[Last Name]])</f>
        <v>James Obi</v>
      </c>
      <c r="F100" s="8">
        <f>LEN(Table1[[#This Row],[Full Name2]])</f>
        <v>9</v>
      </c>
      <c r="G100" s="8" t="str">
        <f>LOWER(Table1[[#This Row],[First Name]]&amp; "."&amp;Table1[[#This Row],[Last Name]]&amp;"@dame.com")</f>
        <v>james.obi@dame.com</v>
      </c>
      <c r="H100" s="8" t="s">
        <v>41</v>
      </c>
      <c r="I100" s="8" t="str">
        <f>UPPER(Table1[[#This Row],[Department]])</f>
        <v>IT</v>
      </c>
      <c r="J100" s="8" t="str">
        <f>LOWER(Table1[[#This Row],[Department]])</f>
        <v>it</v>
      </c>
      <c r="K100" s="8" t="str">
        <f>PROPER(Table1[[#This Row],[Department]])</f>
        <v>It</v>
      </c>
      <c r="L100" s="8" t="s">
        <v>87</v>
      </c>
      <c r="M100" s="8" t="s">
        <v>43</v>
      </c>
      <c r="N100" s="12">
        <v>231891</v>
      </c>
      <c r="O100" s="8">
        <v>4</v>
      </c>
      <c r="P100" s="9" t="s">
        <v>59</v>
      </c>
    </row>
    <row r="101" spans="1:16">
      <c r="A101" s="6" t="s">
        <v>170</v>
      </c>
      <c r="B101" s="10" t="s">
        <v>51</v>
      </c>
      <c r="C101" s="10" t="s">
        <v>175</v>
      </c>
      <c r="D101" s="10" t="s">
        <v>176</v>
      </c>
      <c r="E101" s="10" t="str">
        <f>_xlfn.CONCAT(Table1[[#This Row],[First Name]]," ",Table1[[#This Row],[Last Name]])</f>
        <v>Faith Udo</v>
      </c>
      <c r="F101" s="10">
        <f>LEN(Table1[[#This Row],[Full Name2]])</f>
        <v>9</v>
      </c>
      <c r="G101" s="10" t="str">
        <f>LOWER(Table1[[#This Row],[First Name]]&amp; "."&amp;Table1[[#This Row],[Last Name]]&amp;"@dame.com")</f>
        <v>faith.udo@dame.com</v>
      </c>
      <c r="H101" s="10" t="s">
        <v>52</v>
      </c>
      <c r="I101" s="10" t="str">
        <f>UPPER(Table1[[#This Row],[Department]])</f>
        <v>SALES</v>
      </c>
      <c r="J101" s="10" t="str">
        <f>LOWER(Table1[[#This Row],[Department]])</f>
        <v>sales</v>
      </c>
      <c r="K101" s="10" t="str">
        <f>PROPER(Table1[[#This Row],[Department]])</f>
        <v>Sales</v>
      </c>
      <c r="L101" s="10" t="s">
        <v>90</v>
      </c>
      <c r="M101" s="10" t="s">
        <v>43</v>
      </c>
      <c r="N101" s="13">
        <v>203199</v>
      </c>
      <c r="O101" s="10">
        <v>8</v>
      </c>
      <c r="P101" s="5" t="s">
        <v>66</v>
      </c>
    </row>
    <row r="104" spans="1:16">
      <c r="B104" s="17" t="s">
        <v>200</v>
      </c>
      <c r="C104" s="18" t="s">
        <v>201</v>
      </c>
      <c r="D104" s="19" t="s">
        <v>199</v>
      </c>
      <c r="E104" s="21" t="s">
        <v>202</v>
      </c>
      <c r="F104" s="21" t="s">
        <v>203</v>
      </c>
      <c r="G104" s="22" t="s">
        <v>204</v>
      </c>
      <c r="H104" s="24" t="s">
        <v>205</v>
      </c>
      <c r="I104" s="24" t="s">
        <v>206</v>
      </c>
      <c r="J104" s="24" t="s">
        <v>207</v>
      </c>
    </row>
    <row r="105" spans="1:16">
      <c r="B105" s="16">
        <f>SUM(Table1[Salary])</f>
        <v>34862380</v>
      </c>
      <c r="C105" s="13">
        <f>AVERAGE(Table1[Salary])</f>
        <v>348623.8</v>
      </c>
      <c r="D105" s="20">
        <f>COUNTA(Table1[Full Name2])</f>
        <v>100</v>
      </c>
      <c r="E105" s="14">
        <f>SUMIF(Table1[Department],"Sales",Table1[Salary])</f>
        <v>6081869</v>
      </c>
      <c r="F105" s="14">
        <f>AVERAGEIF(Table1[Department],"HR",Table1[Salary])</f>
        <v>353549.25</v>
      </c>
      <c r="G105" s="23">
        <f>SUMIFS(N2:N101,P2:P101,"Lagos",O2:O101,"&gt;3")</f>
        <v>5470326</v>
      </c>
      <c r="H105" s="14">
        <f>AVERAGEIFS(Table1[Salary],Table1[Gender],"Female",Table1[City],"Lagos")</f>
        <v>315870.8</v>
      </c>
      <c r="I105" s="25">
        <f>COUNTIFS(Table1[Gender],"Male",P2:P101,"Lagos")</f>
        <v>15</v>
      </c>
      <c r="J105" s="14">
        <f>_xlfn.MAXIFS(N2:N101,H2:H101,"IT")</f>
        <v>493395</v>
      </c>
    </row>
  </sheetData>
  <phoneticPr fontId="3" type="noConversion"/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Sheet1</vt:lpstr>
      <vt:lpstr>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ReerGlobal</dc:creator>
  <cp:lastModifiedBy>Fiyinfoluwa Eniola Oresajo</cp:lastModifiedBy>
  <dcterms:created xsi:type="dcterms:W3CDTF">2025-10-30T12:28:00Z</dcterms:created>
  <dcterms:modified xsi:type="dcterms:W3CDTF">2025-12-20T17:40:47Z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CE00C0CAC4898A452A1C436918F75BB2_42</vt:lpwstr>
  </property>
  <property fmtid="{D5CDD505-2E9C-101B-9397-08002B2CF9AE}" pid="3" name="KSOProductBuildVer">
    <vt:lpwstr>1033-12.1.22533.22533</vt:lpwstr>
  </property>
</Properties>
</file>