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eerGlobal\Desktop\"/>
    </mc:Choice>
  </mc:AlternateContent>
  <xr:revisionPtr revIDLastSave="0" documentId="13_ncr:1_{400494A3-5433-44A1-9F4F-EAADCCC0D777}" xr6:coauthVersionLast="47" xr6:coauthVersionMax="47" xr10:uidLastSave="{00000000-0000-0000-0000-000000000000}"/>
  <bookViews>
    <workbookView xWindow="-120" yWindow="-120" windowWidth="20730" windowHeight="11760" firstSheet="1" activeTab="4" xr2:uid="{00000000-000D-0000-FFFF-FFFF00000000}"/>
  </bookViews>
  <sheets>
    <sheet name="Instructions" sheetId="2" r:id="rId1"/>
    <sheet name="Sales Data" sheetId="4" r:id="rId2"/>
    <sheet name="Sales Data New" sheetId="1" r:id="rId3"/>
    <sheet name="Pivot table" sheetId="9" r:id="rId4"/>
    <sheet name="Dashboard" sheetId="5" r:id="rId5"/>
  </sheets>
  <definedNames>
    <definedName name="_xlcn.WorksheetConnection_excelproject.xlsxTable11" hidden="1">Table1[]</definedName>
    <definedName name="_xlcn.WorksheetConnection_excelproject.xlsxTable41" hidden="1">Table4</definedName>
    <definedName name="Slicer_CATEGORY">#N/A</definedName>
    <definedName name="Slicer_CHANNEL">#N/A</definedName>
    <definedName name="Slicer_REGION">#N/A</definedName>
    <definedName name="Slicer_SALES_REP">#N/A</definedName>
  </definedNames>
  <calcPr calcId="191029"/>
  <pivotCaches>
    <pivotCache cacheId="3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excel project.xlsx!Table4"/>
          <x15:modelTable id="Table1" name="Table1" connection="WorksheetConnection_excel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 i="1"/>
  <c r="K2099" i="4"/>
  <c r="K2098" i="4"/>
  <c r="K2097" i="4"/>
  <c r="K2096" i="4"/>
  <c r="K2095" i="4"/>
  <c r="K2094" i="4"/>
  <c r="K2093" i="4"/>
  <c r="K2092" i="4"/>
  <c r="K2091" i="4"/>
  <c r="K2090" i="4"/>
  <c r="K2089" i="4"/>
  <c r="K2088" i="4"/>
  <c r="K2087" i="4"/>
  <c r="K2086" i="4"/>
  <c r="K2085" i="4"/>
  <c r="K2084" i="4"/>
  <c r="K2083" i="4"/>
  <c r="K2082" i="4"/>
  <c r="K2081" i="4"/>
  <c r="K2080" i="4"/>
  <c r="K2079" i="4"/>
  <c r="K2078" i="4"/>
  <c r="K2077" i="4"/>
  <c r="K2076" i="4"/>
  <c r="K2075" i="4"/>
  <c r="K2074" i="4"/>
  <c r="K2073" i="4"/>
  <c r="K2072" i="4"/>
  <c r="K2071" i="4"/>
  <c r="K2070" i="4"/>
  <c r="K2069" i="4"/>
  <c r="K2068" i="4"/>
  <c r="K2067" i="4"/>
  <c r="K2066" i="4"/>
  <c r="K2065" i="4"/>
  <c r="K2064" i="4"/>
  <c r="K2063" i="4"/>
  <c r="K2062" i="4"/>
  <c r="K2061" i="4"/>
  <c r="K2060" i="4"/>
  <c r="K2059" i="4"/>
  <c r="K2058" i="4"/>
  <c r="K2057" i="4"/>
  <c r="K2056" i="4"/>
  <c r="K2055" i="4"/>
  <c r="K2054" i="4"/>
  <c r="K2053" i="4"/>
  <c r="K2052" i="4"/>
  <c r="K2051" i="4"/>
  <c r="K2050" i="4"/>
  <c r="K2049" i="4"/>
  <c r="K2048" i="4"/>
  <c r="K2047" i="4"/>
  <c r="K2046" i="4"/>
  <c r="K2045" i="4"/>
  <c r="K2044" i="4"/>
  <c r="K2043" i="4"/>
  <c r="K2042" i="4"/>
  <c r="K2041" i="4"/>
  <c r="K2040" i="4"/>
  <c r="K2039" i="4"/>
  <c r="K2038" i="4"/>
  <c r="K2037" i="4"/>
  <c r="K2036" i="4"/>
  <c r="K2035" i="4"/>
  <c r="K2034" i="4"/>
  <c r="K2033" i="4"/>
  <c r="K2032" i="4"/>
  <c r="K2031" i="4"/>
  <c r="K2030" i="4"/>
  <c r="K2029" i="4"/>
  <c r="K2028" i="4"/>
  <c r="K2027" i="4"/>
  <c r="K2026" i="4"/>
  <c r="K2025" i="4"/>
  <c r="K2024" i="4"/>
  <c r="K2023" i="4"/>
  <c r="K2022" i="4"/>
  <c r="K2021" i="4"/>
  <c r="K2020" i="4"/>
  <c r="K2019" i="4"/>
  <c r="K2018" i="4"/>
  <c r="K2017" i="4"/>
  <c r="K2016" i="4"/>
  <c r="K2015" i="4"/>
  <c r="K2014" i="4"/>
  <c r="K2013" i="4"/>
  <c r="K2012" i="4"/>
  <c r="K2011" i="4"/>
  <c r="K2010" i="4"/>
  <c r="K2009" i="4"/>
  <c r="K2008" i="4"/>
  <c r="K2007" i="4"/>
  <c r="K2006" i="4"/>
  <c r="K2005" i="4"/>
  <c r="K2004" i="4"/>
  <c r="K2003" i="4"/>
  <c r="K2002" i="4"/>
  <c r="K2001" i="4"/>
  <c r="K2000" i="4"/>
  <c r="K1999" i="4"/>
  <c r="K1998" i="4"/>
  <c r="K1997" i="4"/>
  <c r="K1996" i="4"/>
  <c r="K1995" i="4"/>
  <c r="K1994" i="4"/>
  <c r="K1993" i="4"/>
  <c r="K1992" i="4"/>
  <c r="K1991" i="4"/>
  <c r="K1990" i="4"/>
  <c r="K1989" i="4"/>
  <c r="K1988" i="4"/>
  <c r="K1987" i="4"/>
  <c r="K1986" i="4"/>
  <c r="K1985" i="4"/>
  <c r="K1984" i="4"/>
  <c r="K1983" i="4"/>
  <c r="K1982" i="4"/>
  <c r="K1981" i="4"/>
  <c r="K1980" i="4"/>
  <c r="K1979" i="4"/>
  <c r="K1978" i="4"/>
  <c r="K1977" i="4"/>
  <c r="K1976" i="4"/>
  <c r="K1975" i="4"/>
  <c r="K1974" i="4"/>
  <c r="K1973" i="4"/>
  <c r="K1972" i="4"/>
  <c r="K1971" i="4"/>
  <c r="K1970" i="4"/>
  <c r="K1969" i="4"/>
  <c r="K1968" i="4"/>
  <c r="K1967" i="4"/>
  <c r="K1966" i="4"/>
  <c r="K1965" i="4"/>
  <c r="K1964" i="4"/>
  <c r="K1963" i="4"/>
  <c r="K1962" i="4"/>
  <c r="K1961" i="4"/>
  <c r="K1960" i="4"/>
  <c r="K1959" i="4"/>
  <c r="K1958" i="4"/>
  <c r="K1957" i="4"/>
  <c r="K1956" i="4"/>
  <c r="K1955" i="4"/>
  <c r="K1954" i="4"/>
  <c r="K1953" i="4"/>
  <c r="K1952" i="4"/>
  <c r="K1951" i="4"/>
  <c r="K1950" i="4"/>
  <c r="K1949" i="4"/>
  <c r="K1948" i="4"/>
  <c r="K1947" i="4"/>
  <c r="K1946" i="4"/>
  <c r="K1945" i="4"/>
  <c r="K1944" i="4"/>
  <c r="K1943" i="4"/>
  <c r="K1942" i="4"/>
  <c r="K1941" i="4"/>
  <c r="K1940" i="4"/>
  <c r="K1939" i="4"/>
  <c r="K1938" i="4"/>
  <c r="K1937" i="4"/>
  <c r="K1936" i="4"/>
  <c r="K1935" i="4"/>
  <c r="K1934" i="4"/>
  <c r="K1933" i="4"/>
  <c r="K1932" i="4"/>
  <c r="K1931" i="4"/>
  <c r="K1930" i="4"/>
  <c r="K1929" i="4"/>
  <c r="K1928" i="4"/>
  <c r="K1927" i="4"/>
  <c r="K1926" i="4"/>
  <c r="K1925" i="4"/>
  <c r="K1924" i="4"/>
  <c r="K1923" i="4"/>
  <c r="K1922" i="4"/>
  <c r="K1921" i="4"/>
  <c r="K1920" i="4"/>
  <c r="K1919" i="4"/>
  <c r="K1918" i="4"/>
  <c r="K1917" i="4"/>
  <c r="K1916" i="4"/>
  <c r="K1915" i="4"/>
  <c r="K1914" i="4"/>
  <c r="K1913" i="4"/>
  <c r="K1912" i="4"/>
  <c r="K1911" i="4"/>
  <c r="K1910" i="4"/>
  <c r="K1909" i="4"/>
  <c r="K1908" i="4"/>
  <c r="K1907" i="4"/>
  <c r="K1906" i="4"/>
  <c r="K1905" i="4"/>
  <c r="K1904" i="4"/>
  <c r="K1903" i="4"/>
  <c r="K1902" i="4"/>
  <c r="K1901" i="4"/>
  <c r="K1900" i="4"/>
  <c r="K1899" i="4"/>
  <c r="K1898" i="4"/>
  <c r="K1897" i="4"/>
  <c r="K1896" i="4"/>
  <c r="K1895" i="4"/>
  <c r="K1894" i="4"/>
  <c r="K1893" i="4"/>
  <c r="K1892" i="4"/>
  <c r="K1891" i="4"/>
  <c r="K1890" i="4"/>
  <c r="K1889" i="4"/>
  <c r="K1888" i="4"/>
  <c r="K1887" i="4"/>
  <c r="K1886" i="4"/>
  <c r="K1885" i="4"/>
  <c r="K1884" i="4"/>
  <c r="K1883" i="4"/>
  <c r="K1882" i="4"/>
  <c r="K1881" i="4"/>
  <c r="K1880" i="4"/>
  <c r="K1879" i="4"/>
  <c r="K1878" i="4"/>
  <c r="K1877" i="4"/>
  <c r="K1876" i="4"/>
  <c r="K1875" i="4"/>
  <c r="K1874" i="4"/>
  <c r="K1873" i="4"/>
  <c r="K1872" i="4"/>
  <c r="K1871" i="4"/>
  <c r="K1870" i="4"/>
  <c r="K1869" i="4"/>
  <c r="K1868" i="4"/>
  <c r="K1867" i="4"/>
  <c r="K1866" i="4"/>
  <c r="K1865" i="4"/>
  <c r="K1864" i="4"/>
  <c r="K1863" i="4"/>
  <c r="K1862" i="4"/>
  <c r="K1861" i="4"/>
  <c r="K1860" i="4"/>
  <c r="K1859" i="4"/>
  <c r="K1858" i="4"/>
  <c r="K1857" i="4"/>
  <c r="K1856" i="4"/>
  <c r="K1855" i="4"/>
  <c r="K1854" i="4"/>
  <c r="K1853" i="4"/>
  <c r="K1852" i="4"/>
  <c r="K1851" i="4"/>
  <c r="K1850" i="4"/>
  <c r="K1849" i="4"/>
  <c r="K1848" i="4"/>
  <c r="K1847" i="4"/>
  <c r="K1846" i="4"/>
  <c r="K1845" i="4"/>
  <c r="K1844" i="4"/>
  <c r="K1843" i="4"/>
  <c r="K1842" i="4"/>
  <c r="K1841" i="4"/>
  <c r="K1840" i="4"/>
  <c r="K1839" i="4"/>
  <c r="K1838" i="4"/>
  <c r="K1837" i="4"/>
  <c r="K1836" i="4"/>
  <c r="K1835" i="4"/>
  <c r="K1834" i="4"/>
  <c r="K1833" i="4"/>
  <c r="K1832" i="4"/>
  <c r="K1831" i="4"/>
  <c r="K1830" i="4"/>
  <c r="K1829" i="4"/>
  <c r="K1828" i="4"/>
  <c r="K1827" i="4"/>
  <c r="K1826" i="4"/>
  <c r="K1825" i="4"/>
  <c r="K1824" i="4"/>
  <c r="K1823" i="4"/>
  <c r="K1822" i="4"/>
  <c r="K1821" i="4"/>
  <c r="K1820" i="4"/>
  <c r="K1819" i="4"/>
  <c r="K1818" i="4"/>
  <c r="K1817" i="4"/>
  <c r="K1816" i="4"/>
  <c r="K1815" i="4"/>
  <c r="K1814" i="4"/>
  <c r="K1813" i="4"/>
  <c r="K1812" i="4"/>
  <c r="K1811" i="4"/>
  <c r="K1810" i="4"/>
  <c r="K1809" i="4"/>
  <c r="K1808" i="4"/>
  <c r="K1807" i="4"/>
  <c r="K1806" i="4"/>
  <c r="K1805" i="4"/>
  <c r="K1804" i="4"/>
  <c r="K1803" i="4"/>
  <c r="K1802" i="4"/>
  <c r="K1801" i="4"/>
  <c r="K1800" i="4"/>
  <c r="K1799" i="4"/>
  <c r="K1798" i="4"/>
  <c r="K1797" i="4"/>
  <c r="K1796" i="4"/>
  <c r="K1795" i="4"/>
  <c r="K1794" i="4"/>
  <c r="K1793" i="4"/>
  <c r="K1792" i="4"/>
  <c r="K1791" i="4"/>
  <c r="K1790" i="4"/>
  <c r="K1789" i="4"/>
  <c r="K1788" i="4"/>
  <c r="K1787" i="4"/>
  <c r="K1786" i="4"/>
  <c r="K1785" i="4"/>
  <c r="K1784" i="4"/>
  <c r="K1783" i="4"/>
  <c r="K1782" i="4"/>
  <c r="K1781" i="4"/>
  <c r="K1780" i="4"/>
  <c r="K1779" i="4"/>
  <c r="K1778" i="4"/>
  <c r="K1777" i="4"/>
  <c r="K1776" i="4"/>
  <c r="K1775" i="4"/>
  <c r="K1774" i="4"/>
  <c r="K1773" i="4"/>
  <c r="K1772" i="4"/>
  <c r="K1771" i="4"/>
  <c r="K1770" i="4"/>
  <c r="K1769" i="4"/>
  <c r="K1768" i="4"/>
  <c r="K1767" i="4"/>
  <c r="K1766" i="4"/>
  <c r="K1765" i="4"/>
  <c r="K1764" i="4"/>
  <c r="K1763" i="4"/>
  <c r="K1762" i="4"/>
  <c r="K1761" i="4"/>
  <c r="K1760" i="4"/>
  <c r="K1759" i="4"/>
  <c r="K1758" i="4"/>
  <c r="K1757" i="4"/>
  <c r="K1756" i="4"/>
  <c r="K1755" i="4"/>
  <c r="K1754" i="4"/>
  <c r="K1753" i="4"/>
  <c r="K1752" i="4"/>
  <c r="K1751" i="4"/>
  <c r="K1750" i="4"/>
  <c r="K1749" i="4"/>
  <c r="K1748" i="4"/>
  <c r="K1747" i="4"/>
  <c r="K1746" i="4"/>
  <c r="K1745" i="4"/>
  <c r="K1744" i="4"/>
  <c r="K1743" i="4"/>
  <c r="K1742" i="4"/>
  <c r="K1741" i="4"/>
  <c r="K1740" i="4"/>
  <c r="K1739" i="4"/>
  <c r="K1738" i="4"/>
  <c r="K1737" i="4"/>
  <c r="K1736" i="4"/>
  <c r="K1735" i="4"/>
  <c r="K1734" i="4"/>
  <c r="K1733" i="4"/>
  <c r="K1732" i="4"/>
  <c r="K1731" i="4"/>
  <c r="K1730" i="4"/>
  <c r="K1729" i="4"/>
  <c r="K1728" i="4"/>
  <c r="K1727" i="4"/>
  <c r="K1726" i="4"/>
  <c r="K1725" i="4"/>
  <c r="K1724" i="4"/>
  <c r="K1723" i="4"/>
  <c r="K1722" i="4"/>
  <c r="K1721" i="4"/>
  <c r="K1720" i="4"/>
  <c r="K1719" i="4"/>
  <c r="K1718" i="4"/>
  <c r="K1717" i="4"/>
  <c r="K1716" i="4"/>
  <c r="K1715" i="4"/>
  <c r="K1714" i="4"/>
  <c r="K1713" i="4"/>
  <c r="K1712" i="4"/>
  <c r="K1711" i="4"/>
  <c r="K1710" i="4"/>
  <c r="K1709" i="4"/>
  <c r="K1708" i="4"/>
  <c r="K1707" i="4"/>
  <c r="K1706" i="4"/>
  <c r="K1705" i="4"/>
  <c r="K1704" i="4"/>
  <c r="K1703" i="4"/>
  <c r="K1702" i="4"/>
  <c r="K1701" i="4"/>
  <c r="K1700" i="4"/>
  <c r="K1699" i="4"/>
  <c r="K1698" i="4"/>
  <c r="K1697" i="4"/>
  <c r="K1696" i="4"/>
  <c r="K1695" i="4"/>
  <c r="K1694" i="4"/>
  <c r="K1693" i="4"/>
  <c r="K1692" i="4"/>
  <c r="K1691" i="4"/>
  <c r="K1690" i="4"/>
  <c r="K1689" i="4"/>
  <c r="K1688" i="4"/>
  <c r="K1687" i="4"/>
  <c r="K1686" i="4"/>
  <c r="K1685" i="4"/>
  <c r="K1684" i="4"/>
  <c r="K1683" i="4"/>
  <c r="K1682" i="4"/>
  <c r="K1681" i="4"/>
  <c r="K1680" i="4"/>
  <c r="K1679" i="4"/>
  <c r="K1678" i="4"/>
  <c r="K1677" i="4"/>
  <c r="K1676" i="4"/>
  <c r="K1675" i="4"/>
  <c r="K1674" i="4"/>
  <c r="K1673" i="4"/>
  <c r="K1672" i="4"/>
  <c r="K1671" i="4"/>
  <c r="K1670" i="4"/>
  <c r="K1669" i="4"/>
  <c r="K1668" i="4"/>
  <c r="K1667" i="4"/>
  <c r="K1666" i="4"/>
  <c r="K1665" i="4"/>
  <c r="K1664" i="4"/>
  <c r="K1663" i="4"/>
  <c r="K1662" i="4"/>
  <c r="K1661" i="4"/>
  <c r="K1660" i="4"/>
  <c r="K1659" i="4"/>
  <c r="K1658" i="4"/>
  <c r="K1657" i="4"/>
  <c r="K1656" i="4"/>
  <c r="K1655" i="4"/>
  <c r="K1654" i="4"/>
  <c r="K1653" i="4"/>
  <c r="K1652" i="4"/>
  <c r="K1651" i="4"/>
  <c r="K1650" i="4"/>
  <c r="K1649" i="4"/>
  <c r="K1648" i="4"/>
  <c r="K1647" i="4"/>
  <c r="K1646" i="4"/>
  <c r="K1645" i="4"/>
  <c r="K1644" i="4"/>
  <c r="K1643" i="4"/>
  <c r="K1642" i="4"/>
  <c r="K1641" i="4"/>
  <c r="K1640" i="4"/>
  <c r="K1639" i="4"/>
  <c r="K1638" i="4"/>
  <c r="K1637" i="4"/>
  <c r="K1636" i="4"/>
  <c r="K1635" i="4"/>
  <c r="K1634" i="4"/>
  <c r="K1633" i="4"/>
  <c r="K1632" i="4"/>
  <c r="K1631" i="4"/>
  <c r="K1630" i="4"/>
  <c r="K1629" i="4"/>
  <c r="K1628" i="4"/>
  <c r="K1627" i="4"/>
  <c r="K1626" i="4"/>
  <c r="K1625" i="4"/>
  <c r="K1624" i="4"/>
  <c r="K1623" i="4"/>
  <c r="K1622" i="4"/>
  <c r="K1621" i="4"/>
  <c r="K1620" i="4"/>
  <c r="K1619" i="4"/>
  <c r="K1618" i="4"/>
  <c r="K1617" i="4"/>
  <c r="K1616" i="4"/>
  <c r="K1615" i="4"/>
  <c r="K1614" i="4"/>
  <c r="K1613" i="4"/>
  <c r="K1612" i="4"/>
  <c r="K1611" i="4"/>
  <c r="K1610" i="4"/>
  <c r="K1609" i="4"/>
  <c r="K1608" i="4"/>
  <c r="K1607" i="4"/>
  <c r="K1606" i="4"/>
  <c r="K1605" i="4"/>
  <c r="K1604" i="4"/>
  <c r="K1603" i="4"/>
  <c r="K1602" i="4"/>
  <c r="K1601" i="4"/>
  <c r="K1600" i="4"/>
  <c r="K1599" i="4"/>
  <c r="K1598" i="4"/>
  <c r="K1597" i="4"/>
  <c r="K1596" i="4"/>
  <c r="K1595" i="4"/>
  <c r="K1594" i="4"/>
  <c r="K1593" i="4"/>
  <c r="K1592" i="4"/>
  <c r="K1591" i="4"/>
  <c r="K1590" i="4"/>
  <c r="K1589" i="4"/>
  <c r="K1588" i="4"/>
  <c r="K1587" i="4"/>
  <c r="K1586" i="4"/>
  <c r="K1585" i="4"/>
  <c r="K1584" i="4"/>
  <c r="K1583" i="4"/>
  <c r="K1582" i="4"/>
  <c r="K1581" i="4"/>
  <c r="K1580" i="4"/>
  <c r="K1579" i="4"/>
  <c r="K1578" i="4"/>
  <c r="K1577" i="4"/>
  <c r="K1576" i="4"/>
  <c r="K1575" i="4"/>
  <c r="K1574" i="4"/>
  <c r="K1573" i="4"/>
  <c r="K1572" i="4"/>
  <c r="K1571" i="4"/>
  <c r="K1570" i="4"/>
  <c r="K1569" i="4"/>
  <c r="K1568" i="4"/>
  <c r="K1567" i="4"/>
  <c r="K1566" i="4"/>
  <c r="K1565" i="4"/>
  <c r="K1564" i="4"/>
  <c r="K1563" i="4"/>
  <c r="K1562" i="4"/>
  <c r="K1561" i="4"/>
  <c r="K1560" i="4"/>
  <c r="K1559" i="4"/>
  <c r="K1558" i="4"/>
  <c r="K1557" i="4"/>
  <c r="K1556" i="4"/>
  <c r="K1555" i="4"/>
  <c r="K1554" i="4"/>
  <c r="K1553" i="4"/>
  <c r="K1552" i="4"/>
  <c r="K1551" i="4"/>
  <c r="K1550" i="4"/>
  <c r="K1549" i="4"/>
  <c r="K1548" i="4"/>
  <c r="K1547" i="4"/>
  <c r="K1546" i="4"/>
  <c r="K1545" i="4"/>
  <c r="K1544" i="4"/>
  <c r="K1543" i="4"/>
  <c r="K1542" i="4"/>
  <c r="K1541" i="4"/>
  <c r="K1540" i="4"/>
  <c r="K1539" i="4"/>
  <c r="K1538" i="4"/>
  <c r="K1537" i="4"/>
  <c r="K1536" i="4"/>
  <c r="K1535" i="4"/>
  <c r="K1534" i="4"/>
  <c r="K1533" i="4"/>
  <c r="K1532" i="4"/>
  <c r="K1531" i="4"/>
  <c r="K1530" i="4"/>
  <c r="K1529" i="4"/>
  <c r="K1528" i="4"/>
  <c r="K1527" i="4"/>
  <c r="K1526" i="4"/>
  <c r="K1525" i="4"/>
  <c r="K1524" i="4"/>
  <c r="K1523" i="4"/>
  <c r="K1522" i="4"/>
  <c r="K1521" i="4"/>
  <c r="K1520" i="4"/>
  <c r="K1519" i="4"/>
  <c r="K1518" i="4"/>
  <c r="K1517" i="4"/>
  <c r="K1516" i="4"/>
  <c r="K1515" i="4"/>
  <c r="K1514" i="4"/>
  <c r="K1513" i="4"/>
  <c r="K1512" i="4"/>
  <c r="K1511" i="4"/>
  <c r="K1510" i="4"/>
  <c r="K1509" i="4"/>
  <c r="K1508" i="4"/>
  <c r="K1507" i="4"/>
  <c r="K1506" i="4"/>
  <c r="K1505" i="4"/>
  <c r="K1504" i="4"/>
  <c r="K1503" i="4"/>
  <c r="K1502" i="4"/>
  <c r="K1501" i="4"/>
  <c r="K1500" i="4"/>
  <c r="K1499" i="4"/>
  <c r="K1498" i="4"/>
  <c r="K1497" i="4"/>
  <c r="K1496" i="4"/>
  <c r="K1495" i="4"/>
  <c r="K1494" i="4"/>
  <c r="K1493" i="4"/>
  <c r="K1492" i="4"/>
  <c r="K1491" i="4"/>
  <c r="K1490" i="4"/>
  <c r="K1489" i="4"/>
  <c r="K1488" i="4"/>
  <c r="K1487" i="4"/>
  <c r="K1486" i="4"/>
  <c r="K1485" i="4"/>
  <c r="K1484" i="4"/>
  <c r="K1483" i="4"/>
  <c r="K1482" i="4"/>
  <c r="K1481" i="4"/>
  <c r="K1480" i="4"/>
  <c r="K1479" i="4"/>
  <c r="K1478" i="4"/>
  <c r="K1477" i="4"/>
  <c r="K1476" i="4"/>
  <c r="K1475" i="4"/>
  <c r="K1474" i="4"/>
  <c r="K1473" i="4"/>
  <c r="K1472" i="4"/>
  <c r="K1471" i="4"/>
  <c r="K1470" i="4"/>
  <c r="K1469" i="4"/>
  <c r="K1468" i="4"/>
  <c r="K1467" i="4"/>
  <c r="K1466" i="4"/>
  <c r="K1465" i="4"/>
  <c r="K1464" i="4"/>
  <c r="K1463" i="4"/>
  <c r="K1462" i="4"/>
  <c r="K1461" i="4"/>
  <c r="K1460" i="4"/>
  <c r="K1459" i="4"/>
  <c r="K1458" i="4"/>
  <c r="K1457" i="4"/>
  <c r="K1456" i="4"/>
  <c r="K1455" i="4"/>
  <c r="K1454" i="4"/>
  <c r="K1453" i="4"/>
  <c r="K1452" i="4"/>
  <c r="K1451" i="4"/>
  <c r="K1450" i="4"/>
  <c r="K1449" i="4"/>
  <c r="K1448" i="4"/>
  <c r="K1447" i="4"/>
  <c r="K1446" i="4"/>
  <c r="K1445" i="4"/>
  <c r="K1444" i="4"/>
  <c r="K1443" i="4"/>
  <c r="K1442" i="4"/>
  <c r="K1441" i="4"/>
  <c r="K1440" i="4"/>
  <c r="K1439" i="4"/>
  <c r="K1438" i="4"/>
  <c r="K1437" i="4"/>
  <c r="K1436" i="4"/>
  <c r="K1435" i="4"/>
  <c r="K1434" i="4"/>
  <c r="K1433" i="4"/>
  <c r="K1432" i="4"/>
  <c r="K1431" i="4"/>
  <c r="K1430" i="4"/>
  <c r="K1429" i="4"/>
  <c r="K1428" i="4"/>
  <c r="K1427" i="4"/>
  <c r="K1426" i="4"/>
  <c r="K1425" i="4"/>
  <c r="K1424" i="4"/>
  <c r="K1423" i="4"/>
  <c r="K1422" i="4"/>
  <c r="K1421" i="4"/>
  <c r="K1420" i="4"/>
  <c r="K1419" i="4"/>
  <c r="K1418" i="4"/>
  <c r="K1417" i="4"/>
  <c r="K1416" i="4"/>
  <c r="K1415" i="4"/>
  <c r="K1414" i="4"/>
  <c r="K1413" i="4"/>
  <c r="K1412" i="4"/>
  <c r="K1411" i="4"/>
  <c r="K1410" i="4"/>
  <c r="K1409" i="4"/>
  <c r="K1408" i="4"/>
  <c r="K1407" i="4"/>
  <c r="K1406" i="4"/>
  <c r="K1405" i="4"/>
  <c r="K1404" i="4"/>
  <c r="K1403" i="4"/>
  <c r="K1402" i="4"/>
  <c r="K1401" i="4"/>
  <c r="K1400" i="4"/>
  <c r="K1399" i="4"/>
  <c r="K1398" i="4"/>
  <c r="K1397" i="4"/>
  <c r="K1396" i="4"/>
  <c r="K1395" i="4"/>
  <c r="K1394" i="4"/>
  <c r="K1393" i="4"/>
  <c r="K1392" i="4"/>
  <c r="K1391" i="4"/>
  <c r="K1390" i="4"/>
  <c r="K1389" i="4"/>
  <c r="K1388" i="4"/>
  <c r="K1387" i="4"/>
  <c r="K1386" i="4"/>
  <c r="K1385" i="4"/>
  <c r="K1384" i="4"/>
  <c r="K1383" i="4"/>
  <c r="K1382" i="4"/>
  <c r="K1381" i="4"/>
  <c r="K1380" i="4"/>
  <c r="K1379" i="4"/>
  <c r="K1378" i="4"/>
  <c r="K1377" i="4"/>
  <c r="K1376" i="4"/>
  <c r="K1375" i="4"/>
  <c r="K1374" i="4"/>
  <c r="K1373" i="4"/>
  <c r="K1372" i="4"/>
  <c r="K1371" i="4"/>
  <c r="K1370" i="4"/>
  <c r="K1369" i="4"/>
  <c r="K1368" i="4"/>
  <c r="K1367" i="4"/>
  <c r="K1366" i="4"/>
  <c r="K1365" i="4"/>
  <c r="K1364" i="4"/>
  <c r="K1363" i="4"/>
  <c r="K1362" i="4"/>
  <c r="K1361" i="4"/>
  <c r="K1360" i="4"/>
  <c r="K1359" i="4"/>
  <c r="K1358" i="4"/>
  <c r="K1357" i="4"/>
  <c r="K1356" i="4"/>
  <c r="K1355" i="4"/>
  <c r="K1354" i="4"/>
  <c r="K1353" i="4"/>
  <c r="K1352" i="4"/>
  <c r="K1351" i="4"/>
  <c r="K1350" i="4"/>
  <c r="K1349" i="4"/>
  <c r="K1348" i="4"/>
  <c r="K1347" i="4"/>
  <c r="K1346" i="4"/>
  <c r="K1345" i="4"/>
  <c r="K1344" i="4"/>
  <c r="K1343" i="4"/>
  <c r="K1342" i="4"/>
  <c r="K1341" i="4"/>
  <c r="K1340" i="4"/>
  <c r="K1339" i="4"/>
  <c r="K1338" i="4"/>
  <c r="K1337" i="4"/>
  <c r="K1336" i="4"/>
  <c r="K1335" i="4"/>
  <c r="K1334" i="4"/>
  <c r="K1333" i="4"/>
  <c r="K1332" i="4"/>
  <c r="K1331" i="4"/>
  <c r="K1330" i="4"/>
  <c r="K1329" i="4"/>
  <c r="K1328" i="4"/>
  <c r="K1327" i="4"/>
  <c r="K1326" i="4"/>
  <c r="K1325" i="4"/>
  <c r="K1324" i="4"/>
  <c r="K1323" i="4"/>
  <c r="K1322" i="4"/>
  <c r="K1321" i="4"/>
  <c r="K1320" i="4"/>
  <c r="K1319" i="4"/>
  <c r="K1318" i="4"/>
  <c r="K1317" i="4"/>
  <c r="K1316" i="4"/>
  <c r="K1315" i="4"/>
  <c r="K1314" i="4"/>
  <c r="K1313" i="4"/>
  <c r="K1312" i="4"/>
  <c r="K1311" i="4"/>
  <c r="K1310" i="4"/>
  <c r="K1309" i="4"/>
  <c r="K1308" i="4"/>
  <c r="K1307" i="4"/>
  <c r="K1306" i="4"/>
  <c r="K1305" i="4"/>
  <c r="K1304" i="4"/>
  <c r="K1303" i="4"/>
  <c r="K1302" i="4"/>
  <c r="K1301" i="4"/>
  <c r="K1300" i="4"/>
  <c r="K1299" i="4"/>
  <c r="K1298" i="4"/>
  <c r="K1297" i="4"/>
  <c r="K1296" i="4"/>
  <c r="K1295" i="4"/>
  <c r="K1294" i="4"/>
  <c r="K1293" i="4"/>
  <c r="K1292" i="4"/>
  <c r="K1291" i="4"/>
  <c r="K1290" i="4"/>
  <c r="K1289" i="4"/>
  <c r="K1288" i="4"/>
  <c r="K1287" i="4"/>
  <c r="K1286" i="4"/>
  <c r="K1285" i="4"/>
  <c r="K1284" i="4"/>
  <c r="K1283" i="4"/>
  <c r="K1282" i="4"/>
  <c r="K1281" i="4"/>
  <c r="K1280" i="4"/>
  <c r="K1279" i="4"/>
  <c r="K1278" i="4"/>
  <c r="K1277" i="4"/>
  <c r="K1276" i="4"/>
  <c r="K1275" i="4"/>
  <c r="K1274" i="4"/>
  <c r="K1273" i="4"/>
  <c r="K1272" i="4"/>
  <c r="K1271" i="4"/>
  <c r="K1270" i="4"/>
  <c r="K1269" i="4"/>
  <c r="K1268" i="4"/>
  <c r="K1267" i="4"/>
  <c r="K1266" i="4"/>
  <c r="K1265" i="4"/>
  <c r="K1264" i="4"/>
  <c r="K1263" i="4"/>
  <c r="K1262" i="4"/>
  <c r="K1261" i="4"/>
  <c r="K1260" i="4"/>
  <c r="K1259" i="4"/>
  <c r="K1258" i="4"/>
  <c r="K1257" i="4"/>
  <c r="K1256" i="4"/>
  <c r="K1255" i="4"/>
  <c r="K1254" i="4"/>
  <c r="K1253" i="4"/>
  <c r="K1252" i="4"/>
  <c r="K1251" i="4"/>
  <c r="K1250" i="4"/>
  <c r="K1249" i="4"/>
  <c r="K1248" i="4"/>
  <c r="K1247" i="4"/>
  <c r="K1246" i="4"/>
  <c r="K1245" i="4"/>
  <c r="K1244" i="4"/>
  <c r="K1243" i="4"/>
  <c r="K1242" i="4"/>
  <c r="K1241" i="4"/>
  <c r="K1240" i="4"/>
  <c r="K1239" i="4"/>
  <c r="K1238" i="4"/>
  <c r="K1237" i="4"/>
  <c r="K1236" i="4"/>
  <c r="K1235" i="4"/>
  <c r="K1234" i="4"/>
  <c r="K1233" i="4"/>
  <c r="K1232" i="4"/>
  <c r="K1231" i="4"/>
  <c r="K1230" i="4"/>
  <c r="K1229" i="4"/>
  <c r="K1228" i="4"/>
  <c r="K1227" i="4"/>
  <c r="K1226" i="4"/>
  <c r="K1225" i="4"/>
  <c r="K1224" i="4"/>
  <c r="K1223" i="4"/>
  <c r="K1222" i="4"/>
  <c r="K1221" i="4"/>
  <c r="K1220" i="4"/>
  <c r="K1219" i="4"/>
  <c r="K1218" i="4"/>
  <c r="K1217" i="4"/>
  <c r="K1216" i="4"/>
  <c r="K1215" i="4"/>
  <c r="K1214" i="4"/>
  <c r="K1213" i="4"/>
  <c r="K1212" i="4"/>
  <c r="K1211" i="4"/>
  <c r="K1210" i="4"/>
  <c r="K1209" i="4"/>
  <c r="K1208" i="4"/>
  <c r="K1207" i="4"/>
  <c r="K1206" i="4"/>
  <c r="K1205" i="4"/>
  <c r="K1204" i="4"/>
  <c r="K1203" i="4"/>
  <c r="K1202" i="4"/>
  <c r="K1201" i="4"/>
  <c r="K1200" i="4"/>
  <c r="K1199" i="4"/>
  <c r="K1198" i="4"/>
  <c r="K1197" i="4"/>
  <c r="K1196" i="4"/>
  <c r="K1195" i="4"/>
  <c r="K1194" i="4"/>
  <c r="K1193" i="4"/>
  <c r="K1192" i="4"/>
  <c r="K1191" i="4"/>
  <c r="K1190" i="4"/>
  <c r="K1189" i="4"/>
  <c r="K1188" i="4"/>
  <c r="K1187" i="4"/>
  <c r="K1186" i="4"/>
  <c r="K1185" i="4"/>
  <c r="K1184" i="4"/>
  <c r="K1183" i="4"/>
  <c r="K1182" i="4"/>
  <c r="K1181" i="4"/>
  <c r="K1180" i="4"/>
  <c r="K1179" i="4"/>
  <c r="K1178" i="4"/>
  <c r="K1177" i="4"/>
  <c r="K1176" i="4"/>
  <c r="K1175" i="4"/>
  <c r="K1174" i="4"/>
  <c r="K1173" i="4"/>
  <c r="K1172" i="4"/>
  <c r="K1171" i="4"/>
  <c r="K1170" i="4"/>
  <c r="K1169" i="4"/>
  <c r="K1168" i="4"/>
  <c r="K1167" i="4"/>
  <c r="K1166" i="4"/>
  <c r="K1165" i="4"/>
  <c r="K1164" i="4"/>
  <c r="K1163" i="4"/>
  <c r="K1162" i="4"/>
  <c r="K1161" i="4"/>
  <c r="K1160" i="4"/>
  <c r="K1159" i="4"/>
  <c r="K1158" i="4"/>
  <c r="K1157" i="4"/>
  <c r="K1156" i="4"/>
  <c r="K1155" i="4"/>
  <c r="K1154" i="4"/>
  <c r="K1153" i="4"/>
  <c r="K1152" i="4"/>
  <c r="K1151" i="4"/>
  <c r="K1150" i="4"/>
  <c r="K1149" i="4"/>
  <c r="K1148" i="4"/>
  <c r="K1147" i="4"/>
  <c r="K1146" i="4"/>
  <c r="K1145" i="4"/>
  <c r="K1144" i="4"/>
  <c r="K1143" i="4"/>
  <c r="K1142" i="4"/>
  <c r="K1141" i="4"/>
  <c r="K1140" i="4"/>
  <c r="K1139" i="4"/>
  <c r="K1138" i="4"/>
  <c r="K1137" i="4"/>
  <c r="K1136" i="4"/>
  <c r="K1135" i="4"/>
  <c r="K1134" i="4"/>
  <c r="K1133" i="4"/>
  <c r="K1132" i="4"/>
  <c r="K1131" i="4"/>
  <c r="K1130" i="4"/>
  <c r="K1129" i="4"/>
  <c r="K1128" i="4"/>
  <c r="K1127" i="4"/>
  <c r="K1126" i="4"/>
  <c r="K1125" i="4"/>
  <c r="K1124" i="4"/>
  <c r="K1123" i="4"/>
  <c r="K1122" i="4"/>
  <c r="K1121" i="4"/>
  <c r="K1120" i="4"/>
  <c r="K1119" i="4"/>
  <c r="K1118" i="4"/>
  <c r="K1117" i="4"/>
  <c r="K1116" i="4"/>
  <c r="K1115" i="4"/>
  <c r="K1114" i="4"/>
  <c r="K1113" i="4"/>
  <c r="K1112" i="4"/>
  <c r="K1111" i="4"/>
  <c r="K1110" i="4"/>
  <c r="K1109" i="4"/>
  <c r="K1108" i="4"/>
  <c r="K1107" i="4"/>
  <c r="K1106" i="4"/>
  <c r="K1105" i="4"/>
  <c r="K1104" i="4"/>
  <c r="K1103" i="4"/>
  <c r="K1102" i="4"/>
  <c r="K1101" i="4"/>
  <c r="K1100" i="4"/>
  <c r="K1099" i="4"/>
  <c r="K1098" i="4"/>
  <c r="K1097" i="4"/>
  <c r="K1096" i="4"/>
  <c r="K1095" i="4"/>
  <c r="K1094" i="4"/>
  <c r="K1093" i="4"/>
  <c r="K1092" i="4"/>
  <c r="K1091" i="4"/>
  <c r="K1090" i="4"/>
  <c r="K1089" i="4"/>
  <c r="K1088" i="4"/>
  <c r="K1087" i="4"/>
  <c r="K1086" i="4"/>
  <c r="K1085" i="4"/>
  <c r="K1084" i="4"/>
  <c r="K1083" i="4"/>
  <c r="K1082" i="4"/>
  <c r="K1081" i="4"/>
  <c r="K1080" i="4"/>
  <c r="K1079" i="4"/>
  <c r="K1078" i="4"/>
  <c r="K1077" i="4"/>
  <c r="K1076" i="4"/>
  <c r="K1075" i="4"/>
  <c r="K1074" i="4"/>
  <c r="K1073" i="4"/>
  <c r="K1072" i="4"/>
  <c r="K1071" i="4"/>
  <c r="K1070" i="4"/>
  <c r="K1069" i="4"/>
  <c r="K1068" i="4"/>
  <c r="K1067" i="4"/>
  <c r="K1066" i="4"/>
  <c r="K1065" i="4"/>
  <c r="K1064" i="4"/>
  <c r="K1063" i="4"/>
  <c r="K1062" i="4"/>
  <c r="K1061" i="4"/>
  <c r="K1060" i="4"/>
  <c r="K1059" i="4"/>
  <c r="K1058" i="4"/>
  <c r="K1057" i="4"/>
  <c r="K1056" i="4"/>
  <c r="K1055" i="4"/>
  <c r="K1054" i="4"/>
  <c r="K1053" i="4"/>
  <c r="K1052" i="4"/>
  <c r="K1051" i="4"/>
  <c r="K1050" i="4"/>
  <c r="K1049" i="4"/>
  <c r="K1048" i="4"/>
  <c r="K1047" i="4"/>
  <c r="K1046" i="4"/>
  <c r="K1045" i="4"/>
  <c r="K1044" i="4"/>
  <c r="K1043" i="4"/>
  <c r="K1042" i="4"/>
  <c r="K1041" i="4"/>
  <c r="K1040" i="4"/>
  <c r="K1039" i="4"/>
  <c r="K1038" i="4"/>
  <c r="K1037" i="4"/>
  <c r="K1036" i="4"/>
  <c r="K1035" i="4"/>
  <c r="K1034" i="4"/>
  <c r="K1033" i="4"/>
  <c r="K1032" i="4"/>
  <c r="K1031" i="4"/>
  <c r="K1030" i="4"/>
  <c r="K1029" i="4"/>
  <c r="K1028" i="4"/>
  <c r="K1027" i="4"/>
  <c r="K1026" i="4"/>
  <c r="K1025" i="4"/>
  <c r="K1024" i="4"/>
  <c r="K1023" i="4"/>
  <c r="K1022" i="4"/>
  <c r="K1021" i="4"/>
  <c r="K1020" i="4"/>
  <c r="K1019" i="4"/>
  <c r="K1018" i="4"/>
  <c r="K1017" i="4"/>
  <c r="K1016" i="4"/>
  <c r="K1015" i="4"/>
  <c r="K1014" i="4"/>
  <c r="K1013" i="4"/>
  <c r="K1012" i="4"/>
  <c r="K1011" i="4"/>
  <c r="K1010" i="4"/>
  <c r="K1009" i="4"/>
  <c r="K1008" i="4"/>
  <c r="K1007" i="4"/>
  <c r="K1006" i="4"/>
  <c r="K1005" i="4"/>
  <c r="K1004" i="4"/>
  <c r="K1003" i="4"/>
  <c r="K1002" i="4"/>
  <c r="K1001" i="4"/>
  <c r="K1000" i="4"/>
  <c r="K999" i="4"/>
  <c r="K998" i="4"/>
  <c r="K997" i="4"/>
  <c r="K996" i="4"/>
  <c r="K995" i="4"/>
  <c r="K994" i="4"/>
  <c r="K993" i="4"/>
  <c r="K992" i="4"/>
  <c r="K991" i="4"/>
  <c r="K990" i="4"/>
  <c r="K989" i="4"/>
  <c r="K988" i="4"/>
  <c r="K987" i="4"/>
  <c r="K986" i="4"/>
  <c r="K985" i="4"/>
  <c r="K984" i="4"/>
  <c r="K983" i="4"/>
  <c r="K982" i="4"/>
  <c r="K981" i="4"/>
  <c r="K980" i="4"/>
  <c r="K979" i="4"/>
  <c r="K978" i="4"/>
  <c r="K977" i="4"/>
  <c r="K976" i="4"/>
  <c r="K975" i="4"/>
  <c r="K974" i="4"/>
  <c r="K973" i="4"/>
  <c r="K972" i="4"/>
  <c r="K971" i="4"/>
  <c r="K970" i="4"/>
  <c r="K969" i="4"/>
  <c r="K968" i="4"/>
  <c r="K967" i="4"/>
  <c r="K966" i="4"/>
  <c r="K965" i="4"/>
  <c r="K964" i="4"/>
  <c r="K963" i="4"/>
  <c r="K962" i="4"/>
  <c r="K961" i="4"/>
  <c r="K960" i="4"/>
  <c r="K959" i="4"/>
  <c r="K958" i="4"/>
  <c r="K957" i="4"/>
  <c r="K956" i="4"/>
  <c r="K955" i="4"/>
  <c r="K954" i="4"/>
  <c r="K953" i="4"/>
  <c r="K952" i="4"/>
  <c r="K951" i="4"/>
  <c r="K950" i="4"/>
  <c r="K949" i="4"/>
  <c r="K948" i="4"/>
  <c r="K947" i="4"/>
  <c r="K946" i="4"/>
  <c r="K945" i="4"/>
  <c r="K944" i="4"/>
  <c r="K943" i="4"/>
  <c r="K942" i="4"/>
  <c r="K941" i="4"/>
  <c r="K940" i="4"/>
  <c r="K939" i="4"/>
  <c r="K938" i="4"/>
  <c r="K937" i="4"/>
  <c r="K936" i="4"/>
  <c r="K935" i="4"/>
  <c r="K934" i="4"/>
  <c r="K933" i="4"/>
  <c r="K932" i="4"/>
  <c r="K931" i="4"/>
  <c r="K930" i="4"/>
  <c r="K929" i="4"/>
  <c r="K928" i="4"/>
  <c r="K927" i="4"/>
  <c r="K926" i="4"/>
  <c r="K925" i="4"/>
  <c r="K924" i="4"/>
  <c r="K923" i="4"/>
  <c r="K922" i="4"/>
  <c r="K921" i="4"/>
  <c r="K920" i="4"/>
  <c r="K919" i="4"/>
  <c r="K918" i="4"/>
  <c r="K917" i="4"/>
  <c r="K916" i="4"/>
  <c r="K915" i="4"/>
  <c r="K914" i="4"/>
  <c r="K913" i="4"/>
  <c r="K912" i="4"/>
  <c r="K911" i="4"/>
  <c r="K910" i="4"/>
  <c r="K909" i="4"/>
  <c r="K908" i="4"/>
  <c r="K907" i="4"/>
  <c r="K906" i="4"/>
  <c r="K905" i="4"/>
  <c r="K904" i="4"/>
  <c r="K903" i="4"/>
  <c r="K902" i="4"/>
  <c r="K901" i="4"/>
  <c r="K900" i="4"/>
  <c r="K899" i="4"/>
  <c r="K898" i="4"/>
  <c r="K897" i="4"/>
  <c r="K896" i="4"/>
  <c r="K895" i="4"/>
  <c r="K894" i="4"/>
  <c r="K893" i="4"/>
  <c r="K892" i="4"/>
  <c r="K891" i="4"/>
  <c r="K890" i="4"/>
  <c r="K889" i="4"/>
  <c r="K888" i="4"/>
  <c r="K887" i="4"/>
  <c r="K886" i="4"/>
  <c r="K885" i="4"/>
  <c r="K884" i="4"/>
  <c r="K883" i="4"/>
  <c r="K882" i="4"/>
  <c r="K881" i="4"/>
  <c r="K880" i="4"/>
  <c r="K879" i="4"/>
  <c r="K878" i="4"/>
  <c r="K877" i="4"/>
  <c r="K876" i="4"/>
  <c r="K875" i="4"/>
  <c r="K874" i="4"/>
  <c r="K873" i="4"/>
  <c r="K872" i="4"/>
  <c r="K871" i="4"/>
  <c r="K870" i="4"/>
  <c r="K869" i="4"/>
  <c r="K868" i="4"/>
  <c r="K867" i="4"/>
  <c r="K866" i="4"/>
  <c r="K865" i="4"/>
  <c r="K864" i="4"/>
  <c r="K863" i="4"/>
  <c r="K862" i="4"/>
  <c r="K861" i="4"/>
  <c r="K860" i="4"/>
  <c r="K859" i="4"/>
  <c r="K858" i="4"/>
  <c r="K857" i="4"/>
  <c r="K856" i="4"/>
  <c r="K855" i="4"/>
  <c r="K854" i="4"/>
  <c r="K853" i="4"/>
  <c r="K852" i="4"/>
  <c r="K851" i="4"/>
  <c r="K850" i="4"/>
  <c r="K849" i="4"/>
  <c r="K848" i="4"/>
  <c r="K847" i="4"/>
  <c r="K846" i="4"/>
  <c r="K845" i="4"/>
  <c r="K844" i="4"/>
  <c r="K843" i="4"/>
  <c r="K842" i="4"/>
  <c r="K841" i="4"/>
  <c r="K840" i="4"/>
  <c r="K839" i="4"/>
  <c r="K838" i="4"/>
  <c r="K837" i="4"/>
  <c r="K836" i="4"/>
  <c r="K835" i="4"/>
  <c r="K834" i="4"/>
  <c r="K833" i="4"/>
  <c r="K832" i="4"/>
  <c r="K831" i="4"/>
  <c r="K830" i="4"/>
  <c r="K829" i="4"/>
  <c r="K828" i="4"/>
  <c r="K827" i="4"/>
  <c r="K826" i="4"/>
  <c r="K825" i="4"/>
  <c r="K824" i="4"/>
  <c r="K823" i="4"/>
  <c r="K822" i="4"/>
  <c r="K821" i="4"/>
  <c r="K820" i="4"/>
  <c r="K819" i="4"/>
  <c r="K818" i="4"/>
  <c r="K817" i="4"/>
  <c r="K816" i="4"/>
  <c r="K815" i="4"/>
  <c r="K814" i="4"/>
  <c r="K813" i="4"/>
  <c r="K812" i="4"/>
  <c r="K811" i="4"/>
  <c r="K810" i="4"/>
  <c r="K809" i="4"/>
  <c r="K808" i="4"/>
  <c r="K807" i="4"/>
  <c r="K806" i="4"/>
  <c r="K805" i="4"/>
  <c r="K804" i="4"/>
  <c r="K803" i="4"/>
  <c r="K802" i="4"/>
  <c r="K801" i="4"/>
  <c r="K800" i="4"/>
  <c r="K799" i="4"/>
  <c r="K798" i="4"/>
  <c r="K797" i="4"/>
  <c r="K796" i="4"/>
  <c r="K795" i="4"/>
  <c r="K794" i="4"/>
  <c r="K793" i="4"/>
  <c r="K792" i="4"/>
  <c r="K791" i="4"/>
  <c r="K790" i="4"/>
  <c r="K789" i="4"/>
  <c r="K788" i="4"/>
  <c r="K787" i="4"/>
  <c r="K786" i="4"/>
  <c r="K785" i="4"/>
  <c r="K784" i="4"/>
  <c r="K783" i="4"/>
  <c r="K782" i="4"/>
  <c r="K781" i="4"/>
  <c r="K780" i="4"/>
  <c r="K779" i="4"/>
  <c r="K778" i="4"/>
  <c r="K777" i="4"/>
  <c r="K776" i="4"/>
  <c r="K775" i="4"/>
  <c r="K774" i="4"/>
  <c r="K773" i="4"/>
  <c r="K772" i="4"/>
  <c r="K771" i="4"/>
  <c r="K770" i="4"/>
  <c r="K769" i="4"/>
  <c r="K768" i="4"/>
  <c r="K767" i="4"/>
  <c r="K766" i="4"/>
  <c r="K765" i="4"/>
  <c r="K764" i="4"/>
  <c r="K763" i="4"/>
  <c r="K762" i="4"/>
  <c r="K761" i="4"/>
  <c r="K760" i="4"/>
  <c r="K759" i="4"/>
  <c r="K758" i="4"/>
  <c r="K757" i="4"/>
  <c r="K756" i="4"/>
  <c r="K755" i="4"/>
  <c r="K754" i="4"/>
  <c r="K753" i="4"/>
  <c r="K752" i="4"/>
  <c r="K751" i="4"/>
  <c r="K750" i="4"/>
  <c r="K749" i="4"/>
  <c r="K748" i="4"/>
  <c r="K747" i="4"/>
  <c r="K746" i="4"/>
  <c r="K745" i="4"/>
  <c r="K744" i="4"/>
  <c r="K743" i="4"/>
  <c r="K742" i="4"/>
  <c r="K741" i="4"/>
  <c r="K740" i="4"/>
  <c r="K739" i="4"/>
  <c r="K738" i="4"/>
  <c r="K737" i="4"/>
  <c r="K736" i="4"/>
  <c r="K735" i="4"/>
  <c r="K734" i="4"/>
  <c r="K733" i="4"/>
  <c r="K732" i="4"/>
  <c r="K731" i="4"/>
  <c r="K730" i="4"/>
  <c r="K729" i="4"/>
  <c r="K728" i="4"/>
  <c r="K727" i="4"/>
  <c r="K726" i="4"/>
  <c r="K725" i="4"/>
  <c r="K724" i="4"/>
  <c r="K723" i="4"/>
  <c r="K722" i="4"/>
  <c r="K721" i="4"/>
  <c r="K720" i="4"/>
  <c r="K719" i="4"/>
  <c r="K718" i="4"/>
  <c r="K717" i="4"/>
  <c r="K716" i="4"/>
  <c r="K715" i="4"/>
  <c r="K714" i="4"/>
  <c r="K713" i="4"/>
  <c r="K712" i="4"/>
  <c r="K711" i="4"/>
  <c r="K710" i="4"/>
  <c r="K709" i="4"/>
  <c r="K708" i="4"/>
  <c r="K707" i="4"/>
  <c r="K706" i="4"/>
  <c r="K705" i="4"/>
  <c r="K704" i="4"/>
  <c r="K703" i="4"/>
  <c r="K702" i="4"/>
  <c r="K701" i="4"/>
  <c r="K700" i="4"/>
  <c r="K699" i="4"/>
  <c r="K698" i="4"/>
  <c r="K697" i="4"/>
  <c r="K696" i="4"/>
  <c r="K695" i="4"/>
  <c r="K694" i="4"/>
  <c r="K693" i="4"/>
  <c r="K692" i="4"/>
  <c r="K691" i="4"/>
  <c r="K690" i="4"/>
  <c r="K689" i="4"/>
  <c r="K688" i="4"/>
  <c r="K687" i="4"/>
  <c r="K686" i="4"/>
  <c r="K685" i="4"/>
  <c r="K684" i="4"/>
  <c r="K683" i="4"/>
  <c r="K682" i="4"/>
  <c r="K681" i="4"/>
  <c r="K680" i="4"/>
  <c r="K679" i="4"/>
  <c r="K678" i="4"/>
  <c r="K677" i="4"/>
  <c r="K676" i="4"/>
  <c r="K675" i="4"/>
  <c r="K674" i="4"/>
  <c r="K673" i="4"/>
  <c r="K672" i="4"/>
  <c r="K671" i="4"/>
  <c r="K670" i="4"/>
  <c r="K669" i="4"/>
  <c r="K668" i="4"/>
  <c r="K667" i="4"/>
  <c r="K666" i="4"/>
  <c r="K665" i="4"/>
  <c r="K664" i="4"/>
  <c r="K663" i="4"/>
  <c r="K662" i="4"/>
  <c r="K661" i="4"/>
  <c r="K660" i="4"/>
  <c r="K659" i="4"/>
  <c r="K658" i="4"/>
  <c r="K657" i="4"/>
  <c r="K656" i="4"/>
  <c r="K655" i="4"/>
  <c r="K654" i="4"/>
  <c r="K653" i="4"/>
  <c r="K652" i="4"/>
  <c r="K651" i="4"/>
  <c r="K650" i="4"/>
  <c r="K649" i="4"/>
  <c r="K648" i="4"/>
  <c r="K647" i="4"/>
  <c r="K646" i="4"/>
  <c r="K645" i="4"/>
  <c r="K644" i="4"/>
  <c r="K643" i="4"/>
  <c r="K642" i="4"/>
  <c r="K641" i="4"/>
  <c r="K640" i="4"/>
  <c r="K639" i="4"/>
  <c r="K638" i="4"/>
  <c r="K637" i="4"/>
  <c r="K636" i="4"/>
  <c r="K635" i="4"/>
  <c r="K634" i="4"/>
  <c r="K633" i="4"/>
  <c r="K632" i="4"/>
  <c r="K631" i="4"/>
  <c r="K630" i="4"/>
  <c r="K629" i="4"/>
  <c r="K628" i="4"/>
  <c r="K627" i="4"/>
  <c r="K626" i="4"/>
  <c r="K625" i="4"/>
  <c r="K624" i="4"/>
  <c r="K623" i="4"/>
  <c r="K622" i="4"/>
  <c r="K621" i="4"/>
  <c r="K620" i="4"/>
  <c r="K619" i="4"/>
  <c r="K618" i="4"/>
  <c r="K617" i="4"/>
  <c r="K616" i="4"/>
  <c r="K615" i="4"/>
  <c r="K614" i="4"/>
  <c r="K613" i="4"/>
  <c r="K612" i="4"/>
  <c r="K611" i="4"/>
  <c r="K610" i="4"/>
  <c r="K609" i="4"/>
  <c r="K608" i="4"/>
  <c r="K607" i="4"/>
  <c r="K606" i="4"/>
  <c r="K605" i="4"/>
  <c r="K604" i="4"/>
  <c r="K603" i="4"/>
  <c r="K602" i="4"/>
  <c r="K601" i="4"/>
  <c r="K600" i="4"/>
  <c r="K599" i="4"/>
  <c r="K598" i="4"/>
  <c r="K597" i="4"/>
  <c r="K596" i="4"/>
  <c r="K595" i="4"/>
  <c r="K594" i="4"/>
  <c r="K593" i="4"/>
  <c r="K592" i="4"/>
  <c r="K591" i="4"/>
  <c r="K590" i="4"/>
  <c r="K589" i="4"/>
  <c r="K588" i="4"/>
  <c r="K587" i="4"/>
  <c r="K586" i="4"/>
  <c r="K585" i="4"/>
  <c r="K584" i="4"/>
  <c r="K583" i="4"/>
  <c r="K582" i="4"/>
  <c r="K581" i="4"/>
  <c r="K580" i="4"/>
  <c r="K579" i="4"/>
  <c r="K578" i="4"/>
  <c r="K577" i="4"/>
  <c r="K576" i="4"/>
  <c r="K575" i="4"/>
  <c r="K574" i="4"/>
  <c r="K573" i="4"/>
  <c r="K572" i="4"/>
  <c r="K571" i="4"/>
  <c r="K570" i="4"/>
  <c r="K569" i="4"/>
  <c r="K568" i="4"/>
  <c r="K567" i="4"/>
  <c r="K566" i="4"/>
  <c r="K565" i="4"/>
  <c r="K564" i="4"/>
  <c r="K563" i="4"/>
  <c r="K562" i="4"/>
  <c r="K561" i="4"/>
  <c r="K560" i="4"/>
  <c r="K559" i="4"/>
  <c r="K558" i="4"/>
  <c r="K557" i="4"/>
  <c r="K556" i="4"/>
  <c r="K555" i="4"/>
  <c r="K554" i="4"/>
  <c r="K553" i="4"/>
  <c r="K552" i="4"/>
  <c r="K551" i="4"/>
  <c r="K550" i="4"/>
  <c r="K549" i="4"/>
  <c r="K548" i="4"/>
  <c r="K547" i="4"/>
  <c r="K546" i="4"/>
  <c r="K545" i="4"/>
  <c r="K544" i="4"/>
  <c r="K543" i="4"/>
  <c r="K542" i="4"/>
  <c r="K541" i="4"/>
  <c r="K540" i="4"/>
  <c r="K539" i="4"/>
  <c r="K538" i="4"/>
  <c r="K537" i="4"/>
  <c r="K536" i="4"/>
  <c r="K535" i="4"/>
  <c r="K534" i="4"/>
  <c r="K533" i="4"/>
  <c r="K532" i="4"/>
  <c r="K531" i="4"/>
  <c r="K530" i="4"/>
  <c r="K529" i="4"/>
  <c r="K528" i="4"/>
  <c r="K527" i="4"/>
  <c r="K526" i="4"/>
  <c r="K525" i="4"/>
  <c r="K524" i="4"/>
  <c r="K523" i="4"/>
  <c r="K522" i="4"/>
  <c r="K521" i="4"/>
  <c r="K520" i="4"/>
  <c r="K519" i="4"/>
  <c r="K518" i="4"/>
  <c r="K517"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2"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4" i="4"/>
  <c r="K443" i="4"/>
  <c r="K442" i="4"/>
  <c r="K441" i="4"/>
  <c r="K440" i="4"/>
  <c r="K439" i="4"/>
  <c r="K438" i="4"/>
  <c r="K437" i="4"/>
  <c r="K436" i="4"/>
  <c r="K435" i="4"/>
  <c r="K434" i="4"/>
  <c r="K433"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 i="1"/>
  <c r="L2099" i="1"/>
  <c r="N2099" i="1" s="1"/>
  <c r="L2098" i="1"/>
  <c r="N2098" i="1" s="1"/>
  <c r="L2097" i="1"/>
  <c r="N2097" i="1" s="1"/>
  <c r="L2096" i="1"/>
  <c r="N2096" i="1" s="1"/>
  <c r="L2095" i="1"/>
  <c r="N2095" i="1" s="1"/>
  <c r="L2094" i="1"/>
  <c r="N2094" i="1" s="1"/>
  <c r="L2093" i="1"/>
  <c r="N2093" i="1" s="1"/>
  <c r="L2092" i="1"/>
  <c r="N2092" i="1" s="1"/>
  <c r="L2091" i="1"/>
  <c r="N2091" i="1" s="1"/>
  <c r="L2090" i="1"/>
  <c r="N2090" i="1" s="1"/>
  <c r="L2089" i="1"/>
  <c r="N2089" i="1" s="1"/>
  <c r="L2088" i="1"/>
  <c r="N2088" i="1" s="1"/>
  <c r="L2087" i="1"/>
  <c r="N2087" i="1" s="1"/>
  <c r="L2086" i="1"/>
  <c r="N2086" i="1" s="1"/>
  <c r="L2085" i="1"/>
  <c r="N2085" i="1" s="1"/>
  <c r="L2084" i="1"/>
  <c r="N2084" i="1" s="1"/>
  <c r="L2083" i="1"/>
  <c r="N2083" i="1" s="1"/>
  <c r="L2082" i="1"/>
  <c r="N2082" i="1" s="1"/>
  <c r="L2081" i="1"/>
  <c r="N2081" i="1" s="1"/>
  <c r="L2080" i="1"/>
  <c r="N2080" i="1" s="1"/>
  <c r="L2079" i="1"/>
  <c r="N2079" i="1" s="1"/>
  <c r="L2078" i="1"/>
  <c r="N2078" i="1" s="1"/>
  <c r="L2077" i="1"/>
  <c r="N2077" i="1" s="1"/>
  <c r="L2076" i="1"/>
  <c r="N2076" i="1" s="1"/>
  <c r="L2075" i="1"/>
  <c r="N2075" i="1" s="1"/>
  <c r="L2074" i="1"/>
  <c r="N2074" i="1" s="1"/>
  <c r="L2073" i="1"/>
  <c r="N2073" i="1" s="1"/>
  <c r="L2072" i="1"/>
  <c r="N2072" i="1" s="1"/>
  <c r="L2071" i="1"/>
  <c r="N2071" i="1" s="1"/>
  <c r="L2070" i="1"/>
  <c r="N2070" i="1" s="1"/>
  <c r="L2069" i="1"/>
  <c r="N2069" i="1" s="1"/>
  <c r="L2068" i="1"/>
  <c r="N2068" i="1" s="1"/>
  <c r="L2067" i="1"/>
  <c r="N2067" i="1" s="1"/>
  <c r="L2066" i="1"/>
  <c r="N2066" i="1" s="1"/>
  <c r="L2065" i="1"/>
  <c r="N2065" i="1" s="1"/>
  <c r="L2064" i="1"/>
  <c r="N2064" i="1" s="1"/>
  <c r="L2063" i="1"/>
  <c r="N2063" i="1" s="1"/>
  <c r="L2062" i="1"/>
  <c r="N2062" i="1" s="1"/>
  <c r="L2061" i="1"/>
  <c r="N2061" i="1" s="1"/>
  <c r="L2060" i="1"/>
  <c r="N2060" i="1" s="1"/>
  <c r="L2059" i="1"/>
  <c r="N2059" i="1" s="1"/>
  <c r="L2058" i="1"/>
  <c r="N2058" i="1" s="1"/>
  <c r="L2057" i="1"/>
  <c r="N2057" i="1" s="1"/>
  <c r="L2056" i="1"/>
  <c r="N2056" i="1" s="1"/>
  <c r="L2055" i="1"/>
  <c r="N2055" i="1" s="1"/>
  <c r="L2054" i="1"/>
  <c r="N2054" i="1" s="1"/>
  <c r="L2053" i="1"/>
  <c r="N2053" i="1" s="1"/>
  <c r="L2052" i="1"/>
  <c r="N2052" i="1" s="1"/>
  <c r="L2051" i="1"/>
  <c r="N2051" i="1" s="1"/>
  <c r="L2050" i="1"/>
  <c r="N2050" i="1" s="1"/>
  <c r="L2049" i="1"/>
  <c r="N2049" i="1" s="1"/>
  <c r="L2048" i="1"/>
  <c r="N2048" i="1" s="1"/>
  <c r="L2047" i="1"/>
  <c r="N2047" i="1" s="1"/>
  <c r="L2046" i="1"/>
  <c r="N2046" i="1" s="1"/>
  <c r="L2045" i="1"/>
  <c r="N2045" i="1" s="1"/>
  <c r="L2044" i="1"/>
  <c r="N2044" i="1" s="1"/>
  <c r="L2043" i="1"/>
  <c r="N2043" i="1" s="1"/>
  <c r="L2042" i="1"/>
  <c r="N2042" i="1" s="1"/>
  <c r="L2041" i="1"/>
  <c r="N2041" i="1" s="1"/>
  <c r="L2040" i="1"/>
  <c r="N2040" i="1" s="1"/>
  <c r="L2039" i="1"/>
  <c r="N2039" i="1" s="1"/>
  <c r="L2038" i="1"/>
  <c r="N2038" i="1" s="1"/>
  <c r="L2037" i="1"/>
  <c r="N2037" i="1" s="1"/>
  <c r="L2036" i="1"/>
  <c r="N2036" i="1" s="1"/>
  <c r="L2035" i="1"/>
  <c r="N2035" i="1" s="1"/>
  <c r="L2034" i="1"/>
  <c r="N2034" i="1" s="1"/>
  <c r="L2033" i="1"/>
  <c r="N2033" i="1" s="1"/>
  <c r="L2032" i="1"/>
  <c r="N2032" i="1" s="1"/>
  <c r="L2031" i="1"/>
  <c r="N2031" i="1" s="1"/>
  <c r="L2030" i="1"/>
  <c r="N2030" i="1" s="1"/>
  <c r="L2029" i="1"/>
  <c r="N2029" i="1" s="1"/>
  <c r="L2028" i="1"/>
  <c r="N2028" i="1" s="1"/>
  <c r="L2027" i="1"/>
  <c r="N2027" i="1" s="1"/>
  <c r="L2026" i="1"/>
  <c r="N2026" i="1" s="1"/>
  <c r="L2025" i="1"/>
  <c r="N2025" i="1" s="1"/>
  <c r="L2024" i="1"/>
  <c r="N2024" i="1" s="1"/>
  <c r="L2023" i="1"/>
  <c r="N2023" i="1" s="1"/>
  <c r="L2022" i="1"/>
  <c r="N2022" i="1" s="1"/>
  <c r="L2021" i="1"/>
  <c r="N2021" i="1" s="1"/>
  <c r="L2020" i="1"/>
  <c r="N2020" i="1" s="1"/>
  <c r="L2019" i="1"/>
  <c r="N2019" i="1" s="1"/>
  <c r="L2018" i="1"/>
  <c r="N2018" i="1" s="1"/>
  <c r="L2017" i="1"/>
  <c r="N2017" i="1" s="1"/>
  <c r="L2016" i="1"/>
  <c r="N2016" i="1" s="1"/>
  <c r="L2015" i="1"/>
  <c r="N2015" i="1" s="1"/>
  <c r="L2014" i="1"/>
  <c r="N2014" i="1" s="1"/>
  <c r="L2013" i="1"/>
  <c r="N2013" i="1" s="1"/>
  <c r="L2012" i="1"/>
  <c r="N2012" i="1" s="1"/>
  <c r="L2011" i="1"/>
  <c r="N2011" i="1" s="1"/>
  <c r="L2010" i="1"/>
  <c r="N2010" i="1" s="1"/>
  <c r="L2009" i="1"/>
  <c r="N2009" i="1" s="1"/>
  <c r="L2008" i="1"/>
  <c r="N2008" i="1" s="1"/>
  <c r="L2007" i="1"/>
  <c r="N2007" i="1" s="1"/>
  <c r="L2006" i="1"/>
  <c r="N2006" i="1" s="1"/>
  <c r="L2005" i="1"/>
  <c r="N2005" i="1" s="1"/>
  <c r="L2004" i="1"/>
  <c r="N2004" i="1" s="1"/>
  <c r="L2003" i="1"/>
  <c r="N2003" i="1" s="1"/>
  <c r="L2002" i="1"/>
  <c r="N2002" i="1" s="1"/>
  <c r="L2001" i="1"/>
  <c r="N2001" i="1" s="1"/>
  <c r="L2000" i="1"/>
  <c r="N2000" i="1" s="1"/>
  <c r="L1999" i="1"/>
  <c r="N1999" i="1" s="1"/>
  <c r="L1998" i="1"/>
  <c r="N1998" i="1" s="1"/>
  <c r="L1997" i="1"/>
  <c r="N1997" i="1" s="1"/>
  <c r="L1996" i="1"/>
  <c r="N1996" i="1" s="1"/>
  <c r="L1995" i="1"/>
  <c r="N1995" i="1" s="1"/>
  <c r="L1994" i="1"/>
  <c r="N1994" i="1" s="1"/>
  <c r="L1993" i="1"/>
  <c r="N1993" i="1" s="1"/>
  <c r="L1992" i="1"/>
  <c r="N1992" i="1" s="1"/>
  <c r="L1991" i="1"/>
  <c r="N1991" i="1" s="1"/>
  <c r="L1990" i="1"/>
  <c r="N1990" i="1" s="1"/>
  <c r="L1989" i="1"/>
  <c r="N1989" i="1" s="1"/>
  <c r="L1988" i="1"/>
  <c r="N1988" i="1" s="1"/>
  <c r="L1987" i="1"/>
  <c r="N1987" i="1" s="1"/>
  <c r="L1986" i="1"/>
  <c r="N1986" i="1" s="1"/>
  <c r="L1985" i="1"/>
  <c r="N1985" i="1" s="1"/>
  <c r="L1984" i="1"/>
  <c r="N1984" i="1" s="1"/>
  <c r="L1983" i="1"/>
  <c r="N1983" i="1" s="1"/>
  <c r="L1982" i="1"/>
  <c r="N1982" i="1" s="1"/>
  <c r="L1981" i="1"/>
  <c r="N1981" i="1" s="1"/>
  <c r="L1980" i="1"/>
  <c r="N1980" i="1" s="1"/>
  <c r="L1979" i="1"/>
  <c r="N1979" i="1" s="1"/>
  <c r="L1978" i="1"/>
  <c r="N1978" i="1" s="1"/>
  <c r="L1977" i="1"/>
  <c r="N1977" i="1" s="1"/>
  <c r="L1976" i="1"/>
  <c r="N1976" i="1" s="1"/>
  <c r="L1975" i="1"/>
  <c r="N1975" i="1" s="1"/>
  <c r="L1974" i="1"/>
  <c r="N1974" i="1" s="1"/>
  <c r="L1973" i="1"/>
  <c r="N1973" i="1" s="1"/>
  <c r="L1972" i="1"/>
  <c r="N1972" i="1" s="1"/>
  <c r="L1971" i="1"/>
  <c r="N1971" i="1" s="1"/>
  <c r="L1970" i="1"/>
  <c r="N1970" i="1" s="1"/>
  <c r="L1969" i="1"/>
  <c r="N1969" i="1" s="1"/>
  <c r="L1968" i="1"/>
  <c r="N1968" i="1" s="1"/>
  <c r="L1967" i="1"/>
  <c r="N1967" i="1" s="1"/>
  <c r="L1966" i="1"/>
  <c r="N1966" i="1" s="1"/>
  <c r="L1965" i="1"/>
  <c r="N1965" i="1" s="1"/>
  <c r="L1964" i="1"/>
  <c r="N1964" i="1" s="1"/>
  <c r="L1963" i="1"/>
  <c r="N1963" i="1" s="1"/>
  <c r="L1962" i="1"/>
  <c r="N1962" i="1" s="1"/>
  <c r="L1961" i="1"/>
  <c r="N1961" i="1" s="1"/>
  <c r="L1960" i="1"/>
  <c r="N1960" i="1" s="1"/>
  <c r="L1959" i="1"/>
  <c r="N1959" i="1" s="1"/>
  <c r="L1958" i="1"/>
  <c r="N1958" i="1" s="1"/>
  <c r="L1957" i="1"/>
  <c r="N1957" i="1" s="1"/>
  <c r="L1956" i="1"/>
  <c r="N1956" i="1" s="1"/>
  <c r="L1955" i="1"/>
  <c r="N1955" i="1" s="1"/>
  <c r="L1954" i="1"/>
  <c r="N1954" i="1" s="1"/>
  <c r="L1953" i="1"/>
  <c r="N1953" i="1" s="1"/>
  <c r="L1952" i="1"/>
  <c r="N1952" i="1" s="1"/>
  <c r="L1951" i="1"/>
  <c r="N1951" i="1" s="1"/>
  <c r="L1950" i="1"/>
  <c r="N1950" i="1" s="1"/>
  <c r="L1949" i="1"/>
  <c r="N1949" i="1" s="1"/>
  <c r="L1948" i="1"/>
  <c r="N1948" i="1" s="1"/>
  <c r="L1947" i="1"/>
  <c r="N1947" i="1" s="1"/>
  <c r="L1946" i="1"/>
  <c r="N1946" i="1" s="1"/>
  <c r="L1945" i="1"/>
  <c r="N1945" i="1" s="1"/>
  <c r="L1944" i="1"/>
  <c r="N1944" i="1" s="1"/>
  <c r="L1943" i="1"/>
  <c r="N1943" i="1" s="1"/>
  <c r="L1942" i="1"/>
  <c r="N1942" i="1" s="1"/>
  <c r="L1941" i="1"/>
  <c r="N1941" i="1" s="1"/>
  <c r="L1940" i="1"/>
  <c r="N1940" i="1" s="1"/>
  <c r="L1939" i="1"/>
  <c r="N1939" i="1" s="1"/>
  <c r="L1938" i="1"/>
  <c r="N1938" i="1" s="1"/>
  <c r="L1937" i="1"/>
  <c r="N1937" i="1" s="1"/>
  <c r="L1936" i="1"/>
  <c r="N1936" i="1" s="1"/>
  <c r="L1935" i="1"/>
  <c r="N1935" i="1" s="1"/>
  <c r="L1934" i="1"/>
  <c r="N1934" i="1" s="1"/>
  <c r="L1933" i="1"/>
  <c r="N1933" i="1" s="1"/>
  <c r="L1932" i="1"/>
  <c r="N1932" i="1" s="1"/>
  <c r="L1931" i="1"/>
  <c r="N1931" i="1" s="1"/>
  <c r="L1930" i="1"/>
  <c r="N1930" i="1" s="1"/>
  <c r="L1929" i="1"/>
  <c r="N1929" i="1" s="1"/>
  <c r="L1928" i="1"/>
  <c r="N1928" i="1" s="1"/>
  <c r="L1927" i="1"/>
  <c r="N1927" i="1" s="1"/>
  <c r="L1926" i="1"/>
  <c r="N1926" i="1" s="1"/>
  <c r="L1925" i="1"/>
  <c r="N1925" i="1" s="1"/>
  <c r="L1924" i="1"/>
  <c r="N1924" i="1" s="1"/>
  <c r="L1923" i="1"/>
  <c r="N1923" i="1" s="1"/>
  <c r="L1922" i="1"/>
  <c r="N1922" i="1" s="1"/>
  <c r="L1921" i="1"/>
  <c r="N1921" i="1" s="1"/>
  <c r="L1920" i="1"/>
  <c r="N1920" i="1" s="1"/>
  <c r="L1919" i="1"/>
  <c r="N1919" i="1" s="1"/>
  <c r="L1918" i="1"/>
  <c r="N1918" i="1" s="1"/>
  <c r="L1917" i="1"/>
  <c r="N1917" i="1" s="1"/>
  <c r="L1916" i="1"/>
  <c r="N1916" i="1" s="1"/>
  <c r="L1915" i="1"/>
  <c r="N1915" i="1" s="1"/>
  <c r="L1914" i="1"/>
  <c r="N1914" i="1" s="1"/>
  <c r="L1913" i="1"/>
  <c r="N1913" i="1" s="1"/>
  <c r="L1912" i="1"/>
  <c r="N1912" i="1" s="1"/>
  <c r="L1911" i="1"/>
  <c r="N1911" i="1" s="1"/>
  <c r="L1910" i="1"/>
  <c r="N1910" i="1" s="1"/>
  <c r="L1909" i="1"/>
  <c r="N1909" i="1" s="1"/>
  <c r="L1908" i="1"/>
  <c r="N1908" i="1" s="1"/>
  <c r="L1907" i="1"/>
  <c r="N1907" i="1" s="1"/>
  <c r="L1906" i="1"/>
  <c r="N1906" i="1" s="1"/>
  <c r="L1905" i="1"/>
  <c r="N1905" i="1" s="1"/>
  <c r="L1904" i="1"/>
  <c r="N1904" i="1" s="1"/>
  <c r="L1903" i="1"/>
  <c r="N1903" i="1" s="1"/>
  <c r="L1902" i="1"/>
  <c r="N1902" i="1" s="1"/>
  <c r="L1901" i="1"/>
  <c r="N1901" i="1" s="1"/>
  <c r="L1900" i="1"/>
  <c r="N1900" i="1" s="1"/>
  <c r="L1899" i="1"/>
  <c r="N1899" i="1" s="1"/>
  <c r="L1898" i="1"/>
  <c r="N1898" i="1" s="1"/>
  <c r="L1897" i="1"/>
  <c r="N1897" i="1" s="1"/>
  <c r="L1896" i="1"/>
  <c r="N1896" i="1" s="1"/>
  <c r="L1895" i="1"/>
  <c r="N1895" i="1" s="1"/>
  <c r="L1894" i="1"/>
  <c r="N1894" i="1" s="1"/>
  <c r="L1893" i="1"/>
  <c r="N1893" i="1" s="1"/>
  <c r="L1892" i="1"/>
  <c r="N1892" i="1" s="1"/>
  <c r="L1891" i="1"/>
  <c r="N1891" i="1" s="1"/>
  <c r="L1890" i="1"/>
  <c r="N1890" i="1" s="1"/>
  <c r="L1889" i="1"/>
  <c r="N1889" i="1" s="1"/>
  <c r="L1888" i="1"/>
  <c r="N1888" i="1" s="1"/>
  <c r="L1887" i="1"/>
  <c r="N1887" i="1" s="1"/>
  <c r="L1886" i="1"/>
  <c r="N1886" i="1" s="1"/>
  <c r="L1885" i="1"/>
  <c r="N1885" i="1" s="1"/>
  <c r="L1884" i="1"/>
  <c r="N1884" i="1" s="1"/>
  <c r="L1883" i="1"/>
  <c r="N1883" i="1" s="1"/>
  <c r="L1882" i="1"/>
  <c r="N1882" i="1" s="1"/>
  <c r="L1881" i="1"/>
  <c r="N1881" i="1" s="1"/>
  <c r="L1880" i="1"/>
  <c r="N1880" i="1" s="1"/>
  <c r="L1879" i="1"/>
  <c r="N1879" i="1" s="1"/>
  <c r="L1878" i="1"/>
  <c r="N1878" i="1" s="1"/>
  <c r="L1877" i="1"/>
  <c r="N1877" i="1" s="1"/>
  <c r="L1876" i="1"/>
  <c r="N1876" i="1" s="1"/>
  <c r="L1875" i="1"/>
  <c r="N1875" i="1" s="1"/>
  <c r="L1874" i="1"/>
  <c r="N1874" i="1" s="1"/>
  <c r="L1873" i="1"/>
  <c r="N1873" i="1" s="1"/>
  <c r="L1872" i="1"/>
  <c r="N1872" i="1" s="1"/>
  <c r="L1871" i="1"/>
  <c r="N1871" i="1" s="1"/>
  <c r="L1870" i="1"/>
  <c r="N1870" i="1" s="1"/>
  <c r="L1869" i="1"/>
  <c r="N1869" i="1" s="1"/>
  <c r="L1868" i="1"/>
  <c r="N1868" i="1" s="1"/>
  <c r="L1867" i="1"/>
  <c r="N1867" i="1" s="1"/>
  <c r="L1866" i="1"/>
  <c r="N1866" i="1" s="1"/>
  <c r="L1865" i="1"/>
  <c r="N1865" i="1" s="1"/>
  <c r="L1864" i="1"/>
  <c r="N1864" i="1" s="1"/>
  <c r="L1863" i="1"/>
  <c r="N1863" i="1" s="1"/>
  <c r="L1862" i="1"/>
  <c r="N1862" i="1" s="1"/>
  <c r="L1861" i="1"/>
  <c r="N1861" i="1" s="1"/>
  <c r="L1860" i="1"/>
  <c r="N1860" i="1" s="1"/>
  <c r="L1859" i="1"/>
  <c r="N1859" i="1" s="1"/>
  <c r="L1858" i="1"/>
  <c r="N1858" i="1" s="1"/>
  <c r="L1857" i="1"/>
  <c r="N1857" i="1" s="1"/>
  <c r="L1856" i="1"/>
  <c r="N1856" i="1" s="1"/>
  <c r="L1855" i="1"/>
  <c r="N1855" i="1" s="1"/>
  <c r="L1854" i="1"/>
  <c r="N1854" i="1" s="1"/>
  <c r="L1853" i="1"/>
  <c r="N1853" i="1" s="1"/>
  <c r="L1852" i="1"/>
  <c r="N1852" i="1" s="1"/>
  <c r="L1851" i="1"/>
  <c r="N1851" i="1" s="1"/>
  <c r="L1850" i="1"/>
  <c r="N1850" i="1" s="1"/>
  <c r="L1849" i="1"/>
  <c r="N1849" i="1" s="1"/>
  <c r="L1848" i="1"/>
  <c r="N1848" i="1" s="1"/>
  <c r="L1847" i="1"/>
  <c r="N1847" i="1" s="1"/>
  <c r="L1846" i="1"/>
  <c r="N1846" i="1" s="1"/>
  <c r="L1845" i="1"/>
  <c r="N1845" i="1" s="1"/>
  <c r="L1844" i="1"/>
  <c r="N1844" i="1" s="1"/>
  <c r="L1843" i="1"/>
  <c r="N1843" i="1" s="1"/>
  <c r="L1842" i="1"/>
  <c r="N1842" i="1" s="1"/>
  <c r="L1841" i="1"/>
  <c r="N1841" i="1" s="1"/>
  <c r="L1840" i="1"/>
  <c r="N1840" i="1" s="1"/>
  <c r="L1839" i="1"/>
  <c r="N1839" i="1" s="1"/>
  <c r="L1838" i="1"/>
  <c r="N1838" i="1" s="1"/>
  <c r="L1837" i="1"/>
  <c r="N1837" i="1" s="1"/>
  <c r="L1836" i="1"/>
  <c r="N1836" i="1" s="1"/>
  <c r="L1835" i="1"/>
  <c r="N1835" i="1" s="1"/>
  <c r="L1834" i="1"/>
  <c r="N1834" i="1" s="1"/>
  <c r="L1833" i="1"/>
  <c r="N1833" i="1" s="1"/>
  <c r="L1832" i="1"/>
  <c r="N1832" i="1" s="1"/>
  <c r="L1831" i="1"/>
  <c r="N1831" i="1" s="1"/>
  <c r="L1830" i="1"/>
  <c r="N1830" i="1" s="1"/>
  <c r="L1829" i="1"/>
  <c r="N1829" i="1" s="1"/>
  <c r="L1828" i="1"/>
  <c r="N1828" i="1" s="1"/>
  <c r="L1827" i="1"/>
  <c r="N1827" i="1" s="1"/>
  <c r="L1826" i="1"/>
  <c r="N1826" i="1" s="1"/>
  <c r="L1825" i="1"/>
  <c r="N1825" i="1" s="1"/>
  <c r="L1824" i="1"/>
  <c r="N1824" i="1" s="1"/>
  <c r="L1823" i="1"/>
  <c r="N1823" i="1" s="1"/>
  <c r="L1822" i="1"/>
  <c r="N1822" i="1" s="1"/>
  <c r="L1821" i="1"/>
  <c r="N1821" i="1" s="1"/>
  <c r="L1820" i="1"/>
  <c r="N1820" i="1" s="1"/>
  <c r="L1819" i="1"/>
  <c r="N1819" i="1" s="1"/>
  <c r="L1818" i="1"/>
  <c r="N1818" i="1" s="1"/>
  <c r="L1817" i="1"/>
  <c r="N1817" i="1" s="1"/>
  <c r="L1816" i="1"/>
  <c r="N1816" i="1" s="1"/>
  <c r="L1815" i="1"/>
  <c r="N1815" i="1" s="1"/>
  <c r="L1814" i="1"/>
  <c r="N1814" i="1" s="1"/>
  <c r="L1813" i="1"/>
  <c r="N1813" i="1" s="1"/>
  <c r="L1812" i="1"/>
  <c r="N1812" i="1" s="1"/>
  <c r="L1811" i="1"/>
  <c r="N1811" i="1" s="1"/>
  <c r="L1810" i="1"/>
  <c r="N1810" i="1" s="1"/>
  <c r="L1809" i="1"/>
  <c r="N1809" i="1" s="1"/>
  <c r="L1808" i="1"/>
  <c r="N1808" i="1" s="1"/>
  <c r="L1807" i="1"/>
  <c r="N1807" i="1" s="1"/>
  <c r="L1806" i="1"/>
  <c r="N1806" i="1" s="1"/>
  <c r="L1805" i="1"/>
  <c r="N1805" i="1" s="1"/>
  <c r="L1804" i="1"/>
  <c r="N1804" i="1" s="1"/>
  <c r="L1803" i="1"/>
  <c r="N1803" i="1" s="1"/>
  <c r="L1802" i="1"/>
  <c r="N1802" i="1" s="1"/>
  <c r="L1801" i="1"/>
  <c r="N1801" i="1" s="1"/>
  <c r="L1800" i="1"/>
  <c r="N1800" i="1" s="1"/>
  <c r="L1799" i="1"/>
  <c r="N1799" i="1" s="1"/>
  <c r="L1798" i="1"/>
  <c r="N1798" i="1" s="1"/>
  <c r="L1797" i="1"/>
  <c r="N1797" i="1" s="1"/>
  <c r="L1796" i="1"/>
  <c r="N1796" i="1" s="1"/>
  <c r="L1795" i="1"/>
  <c r="N1795" i="1" s="1"/>
  <c r="L1794" i="1"/>
  <c r="N1794" i="1" s="1"/>
  <c r="L1793" i="1"/>
  <c r="N1793" i="1" s="1"/>
  <c r="L1792" i="1"/>
  <c r="N1792" i="1" s="1"/>
  <c r="L1791" i="1"/>
  <c r="N1791" i="1" s="1"/>
  <c r="L1790" i="1"/>
  <c r="N1790" i="1" s="1"/>
  <c r="L1789" i="1"/>
  <c r="N1789" i="1" s="1"/>
  <c r="L1788" i="1"/>
  <c r="N1788" i="1" s="1"/>
  <c r="L1787" i="1"/>
  <c r="N1787" i="1" s="1"/>
  <c r="L1786" i="1"/>
  <c r="N1786" i="1" s="1"/>
  <c r="L1785" i="1"/>
  <c r="N1785" i="1" s="1"/>
  <c r="L1784" i="1"/>
  <c r="N1784" i="1" s="1"/>
  <c r="L1783" i="1"/>
  <c r="N1783" i="1" s="1"/>
  <c r="L1782" i="1"/>
  <c r="N1782" i="1" s="1"/>
  <c r="L1781" i="1"/>
  <c r="N1781" i="1" s="1"/>
  <c r="L1780" i="1"/>
  <c r="N1780" i="1" s="1"/>
  <c r="L1779" i="1"/>
  <c r="N1779" i="1" s="1"/>
  <c r="L1778" i="1"/>
  <c r="N1778" i="1" s="1"/>
  <c r="L1777" i="1"/>
  <c r="N1777" i="1" s="1"/>
  <c r="L1776" i="1"/>
  <c r="N1776" i="1" s="1"/>
  <c r="L1775" i="1"/>
  <c r="N1775" i="1" s="1"/>
  <c r="L1774" i="1"/>
  <c r="N1774" i="1" s="1"/>
  <c r="L1773" i="1"/>
  <c r="N1773" i="1" s="1"/>
  <c r="L1772" i="1"/>
  <c r="N1772" i="1" s="1"/>
  <c r="L1771" i="1"/>
  <c r="N1771" i="1" s="1"/>
  <c r="L1770" i="1"/>
  <c r="N1770" i="1" s="1"/>
  <c r="L1769" i="1"/>
  <c r="N1769" i="1" s="1"/>
  <c r="L1768" i="1"/>
  <c r="N1768" i="1" s="1"/>
  <c r="L1767" i="1"/>
  <c r="N1767" i="1" s="1"/>
  <c r="L1766" i="1"/>
  <c r="N1766" i="1" s="1"/>
  <c r="L1765" i="1"/>
  <c r="N1765" i="1" s="1"/>
  <c r="L1764" i="1"/>
  <c r="N1764" i="1" s="1"/>
  <c r="L1763" i="1"/>
  <c r="N1763" i="1" s="1"/>
  <c r="L1762" i="1"/>
  <c r="N1762" i="1" s="1"/>
  <c r="L1761" i="1"/>
  <c r="N1761" i="1" s="1"/>
  <c r="L1760" i="1"/>
  <c r="N1760" i="1" s="1"/>
  <c r="L1759" i="1"/>
  <c r="N1759" i="1" s="1"/>
  <c r="L1758" i="1"/>
  <c r="N1758" i="1" s="1"/>
  <c r="L1757" i="1"/>
  <c r="N1757" i="1" s="1"/>
  <c r="L1756" i="1"/>
  <c r="N1756" i="1" s="1"/>
  <c r="L1755" i="1"/>
  <c r="N1755" i="1" s="1"/>
  <c r="L1754" i="1"/>
  <c r="N1754" i="1" s="1"/>
  <c r="L1753" i="1"/>
  <c r="N1753" i="1" s="1"/>
  <c r="L1752" i="1"/>
  <c r="N1752" i="1" s="1"/>
  <c r="L1751" i="1"/>
  <c r="N1751" i="1" s="1"/>
  <c r="L1750" i="1"/>
  <c r="N1750" i="1" s="1"/>
  <c r="L1749" i="1"/>
  <c r="N1749" i="1" s="1"/>
  <c r="L1748" i="1"/>
  <c r="N1748" i="1" s="1"/>
  <c r="L1747" i="1"/>
  <c r="N1747" i="1" s="1"/>
  <c r="L1746" i="1"/>
  <c r="N1746" i="1" s="1"/>
  <c r="L1745" i="1"/>
  <c r="N1745" i="1" s="1"/>
  <c r="L1744" i="1"/>
  <c r="N1744" i="1" s="1"/>
  <c r="L1743" i="1"/>
  <c r="N1743" i="1" s="1"/>
  <c r="L1742" i="1"/>
  <c r="N1742" i="1" s="1"/>
  <c r="L1741" i="1"/>
  <c r="N1741" i="1" s="1"/>
  <c r="L1740" i="1"/>
  <c r="N1740" i="1" s="1"/>
  <c r="L1739" i="1"/>
  <c r="N1739" i="1" s="1"/>
  <c r="L1738" i="1"/>
  <c r="N1738" i="1" s="1"/>
  <c r="L1737" i="1"/>
  <c r="N1737" i="1" s="1"/>
  <c r="L1736" i="1"/>
  <c r="N1736" i="1" s="1"/>
  <c r="L1735" i="1"/>
  <c r="N1735" i="1" s="1"/>
  <c r="L1734" i="1"/>
  <c r="N1734" i="1" s="1"/>
  <c r="L1733" i="1"/>
  <c r="N1733" i="1" s="1"/>
  <c r="L1732" i="1"/>
  <c r="N1732" i="1" s="1"/>
  <c r="L1731" i="1"/>
  <c r="N1731" i="1" s="1"/>
  <c r="L1730" i="1"/>
  <c r="N1730" i="1" s="1"/>
  <c r="L1729" i="1"/>
  <c r="N1729" i="1" s="1"/>
  <c r="L1728" i="1"/>
  <c r="N1728" i="1" s="1"/>
  <c r="L1727" i="1"/>
  <c r="N1727" i="1" s="1"/>
  <c r="L1726" i="1"/>
  <c r="N1726" i="1" s="1"/>
  <c r="L1725" i="1"/>
  <c r="N1725" i="1" s="1"/>
  <c r="L1724" i="1"/>
  <c r="N1724" i="1" s="1"/>
  <c r="L1723" i="1"/>
  <c r="N1723" i="1" s="1"/>
  <c r="L1722" i="1"/>
  <c r="N1722" i="1" s="1"/>
  <c r="L1721" i="1"/>
  <c r="N1721" i="1" s="1"/>
  <c r="L1720" i="1"/>
  <c r="N1720" i="1" s="1"/>
  <c r="L1719" i="1"/>
  <c r="N1719" i="1" s="1"/>
  <c r="L1718" i="1"/>
  <c r="N1718" i="1" s="1"/>
  <c r="L1717" i="1"/>
  <c r="N1717" i="1" s="1"/>
  <c r="L1716" i="1"/>
  <c r="N1716" i="1" s="1"/>
  <c r="L1715" i="1"/>
  <c r="N1715" i="1" s="1"/>
  <c r="L1714" i="1"/>
  <c r="N1714" i="1" s="1"/>
  <c r="L1713" i="1"/>
  <c r="N1713" i="1" s="1"/>
  <c r="L1712" i="1"/>
  <c r="N1712" i="1" s="1"/>
  <c r="L1711" i="1"/>
  <c r="N1711" i="1" s="1"/>
  <c r="L1710" i="1"/>
  <c r="N1710" i="1" s="1"/>
  <c r="L1709" i="1"/>
  <c r="N1709" i="1" s="1"/>
  <c r="L1708" i="1"/>
  <c r="N1708" i="1" s="1"/>
  <c r="L1707" i="1"/>
  <c r="N1707" i="1" s="1"/>
  <c r="L1706" i="1"/>
  <c r="N1706" i="1" s="1"/>
  <c r="L1705" i="1"/>
  <c r="N1705" i="1" s="1"/>
  <c r="L1704" i="1"/>
  <c r="N1704" i="1" s="1"/>
  <c r="L1703" i="1"/>
  <c r="N1703" i="1" s="1"/>
  <c r="L1702" i="1"/>
  <c r="N1702" i="1" s="1"/>
  <c r="L1701" i="1"/>
  <c r="N1701" i="1" s="1"/>
  <c r="L1700" i="1"/>
  <c r="N1700" i="1" s="1"/>
  <c r="L1699" i="1"/>
  <c r="N1699" i="1" s="1"/>
  <c r="L1698" i="1"/>
  <c r="N1698" i="1" s="1"/>
  <c r="L1697" i="1"/>
  <c r="N1697" i="1" s="1"/>
  <c r="L1696" i="1"/>
  <c r="N1696" i="1" s="1"/>
  <c r="L1695" i="1"/>
  <c r="N1695" i="1" s="1"/>
  <c r="L1694" i="1"/>
  <c r="N1694" i="1" s="1"/>
  <c r="L1693" i="1"/>
  <c r="N1693" i="1" s="1"/>
  <c r="L1692" i="1"/>
  <c r="N1692" i="1" s="1"/>
  <c r="L1691" i="1"/>
  <c r="N1691" i="1" s="1"/>
  <c r="L1690" i="1"/>
  <c r="N1690" i="1" s="1"/>
  <c r="L1689" i="1"/>
  <c r="N1689" i="1" s="1"/>
  <c r="L1688" i="1"/>
  <c r="N1688" i="1" s="1"/>
  <c r="L1687" i="1"/>
  <c r="N1687" i="1" s="1"/>
  <c r="L1686" i="1"/>
  <c r="N1686" i="1" s="1"/>
  <c r="L1685" i="1"/>
  <c r="N1685" i="1" s="1"/>
  <c r="L1684" i="1"/>
  <c r="N1684" i="1" s="1"/>
  <c r="L1683" i="1"/>
  <c r="N1683" i="1" s="1"/>
  <c r="L1682" i="1"/>
  <c r="N1682" i="1" s="1"/>
  <c r="L1681" i="1"/>
  <c r="N1681" i="1" s="1"/>
  <c r="L1680" i="1"/>
  <c r="N1680" i="1" s="1"/>
  <c r="L1679" i="1"/>
  <c r="N1679" i="1" s="1"/>
  <c r="L1678" i="1"/>
  <c r="N1678" i="1" s="1"/>
  <c r="L1677" i="1"/>
  <c r="N1677" i="1" s="1"/>
  <c r="L1676" i="1"/>
  <c r="N1676" i="1" s="1"/>
  <c r="L1675" i="1"/>
  <c r="N1675" i="1" s="1"/>
  <c r="L1674" i="1"/>
  <c r="N1674" i="1" s="1"/>
  <c r="L1673" i="1"/>
  <c r="N1673" i="1" s="1"/>
  <c r="L1672" i="1"/>
  <c r="N1672" i="1" s="1"/>
  <c r="L1671" i="1"/>
  <c r="N1671" i="1" s="1"/>
  <c r="L1670" i="1"/>
  <c r="N1670" i="1" s="1"/>
  <c r="L1669" i="1"/>
  <c r="N1669" i="1" s="1"/>
  <c r="L1668" i="1"/>
  <c r="N1668" i="1" s="1"/>
  <c r="L1667" i="1"/>
  <c r="N1667" i="1" s="1"/>
  <c r="L1666" i="1"/>
  <c r="N1666" i="1" s="1"/>
  <c r="L1665" i="1"/>
  <c r="N1665" i="1" s="1"/>
  <c r="L1664" i="1"/>
  <c r="N1664" i="1" s="1"/>
  <c r="L1663" i="1"/>
  <c r="N1663" i="1" s="1"/>
  <c r="L1662" i="1"/>
  <c r="N1662" i="1" s="1"/>
  <c r="L1661" i="1"/>
  <c r="N1661" i="1" s="1"/>
  <c r="L1660" i="1"/>
  <c r="N1660" i="1" s="1"/>
  <c r="L1659" i="1"/>
  <c r="N1659" i="1" s="1"/>
  <c r="L1658" i="1"/>
  <c r="N1658" i="1" s="1"/>
  <c r="L1657" i="1"/>
  <c r="N1657" i="1" s="1"/>
  <c r="L1656" i="1"/>
  <c r="N1656" i="1" s="1"/>
  <c r="L1655" i="1"/>
  <c r="N1655" i="1" s="1"/>
  <c r="L1654" i="1"/>
  <c r="N1654" i="1" s="1"/>
  <c r="L1653" i="1"/>
  <c r="N1653" i="1" s="1"/>
  <c r="L1652" i="1"/>
  <c r="N1652" i="1" s="1"/>
  <c r="L1651" i="1"/>
  <c r="N1651" i="1" s="1"/>
  <c r="L1650" i="1"/>
  <c r="N1650" i="1" s="1"/>
  <c r="L1649" i="1"/>
  <c r="N1649" i="1" s="1"/>
  <c r="L1648" i="1"/>
  <c r="N1648" i="1" s="1"/>
  <c r="L1647" i="1"/>
  <c r="N1647" i="1" s="1"/>
  <c r="L1646" i="1"/>
  <c r="N1646" i="1" s="1"/>
  <c r="L1645" i="1"/>
  <c r="N1645" i="1" s="1"/>
  <c r="L1644" i="1"/>
  <c r="N1644" i="1" s="1"/>
  <c r="L1643" i="1"/>
  <c r="N1643" i="1" s="1"/>
  <c r="L1642" i="1"/>
  <c r="N1642" i="1" s="1"/>
  <c r="L1641" i="1"/>
  <c r="N1641" i="1" s="1"/>
  <c r="L1640" i="1"/>
  <c r="N1640" i="1" s="1"/>
  <c r="L1639" i="1"/>
  <c r="N1639" i="1" s="1"/>
  <c r="L1638" i="1"/>
  <c r="N1638" i="1" s="1"/>
  <c r="L1637" i="1"/>
  <c r="N1637" i="1" s="1"/>
  <c r="L1636" i="1"/>
  <c r="N1636" i="1" s="1"/>
  <c r="L1635" i="1"/>
  <c r="N1635" i="1" s="1"/>
  <c r="L1634" i="1"/>
  <c r="N1634" i="1" s="1"/>
  <c r="L1633" i="1"/>
  <c r="N1633" i="1" s="1"/>
  <c r="L1632" i="1"/>
  <c r="N1632" i="1" s="1"/>
  <c r="L1631" i="1"/>
  <c r="N1631" i="1" s="1"/>
  <c r="L1630" i="1"/>
  <c r="N1630" i="1" s="1"/>
  <c r="L1629" i="1"/>
  <c r="N1629" i="1" s="1"/>
  <c r="L1628" i="1"/>
  <c r="N1628" i="1" s="1"/>
  <c r="L1627" i="1"/>
  <c r="N1627" i="1" s="1"/>
  <c r="L1626" i="1"/>
  <c r="N1626" i="1" s="1"/>
  <c r="L1625" i="1"/>
  <c r="N1625" i="1" s="1"/>
  <c r="L1624" i="1"/>
  <c r="N1624" i="1" s="1"/>
  <c r="L1623" i="1"/>
  <c r="N1623" i="1" s="1"/>
  <c r="L1622" i="1"/>
  <c r="N1622" i="1" s="1"/>
  <c r="L1621" i="1"/>
  <c r="N1621" i="1" s="1"/>
  <c r="L1620" i="1"/>
  <c r="N1620" i="1" s="1"/>
  <c r="L1619" i="1"/>
  <c r="N1619" i="1" s="1"/>
  <c r="L1618" i="1"/>
  <c r="N1618" i="1" s="1"/>
  <c r="L1617" i="1"/>
  <c r="N1617" i="1" s="1"/>
  <c r="L1616" i="1"/>
  <c r="N1616" i="1" s="1"/>
  <c r="L1615" i="1"/>
  <c r="N1615" i="1" s="1"/>
  <c r="L1614" i="1"/>
  <c r="N1614" i="1" s="1"/>
  <c r="L1613" i="1"/>
  <c r="N1613" i="1" s="1"/>
  <c r="L1612" i="1"/>
  <c r="N1612" i="1" s="1"/>
  <c r="L1611" i="1"/>
  <c r="N1611" i="1" s="1"/>
  <c r="L1610" i="1"/>
  <c r="N1610" i="1" s="1"/>
  <c r="L1609" i="1"/>
  <c r="N1609" i="1" s="1"/>
  <c r="L1608" i="1"/>
  <c r="N1608" i="1" s="1"/>
  <c r="L1607" i="1"/>
  <c r="N1607" i="1" s="1"/>
  <c r="L1606" i="1"/>
  <c r="N1606" i="1" s="1"/>
  <c r="L1605" i="1"/>
  <c r="N1605" i="1" s="1"/>
  <c r="L1604" i="1"/>
  <c r="N1604" i="1" s="1"/>
  <c r="L1603" i="1"/>
  <c r="N1603" i="1" s="1"/>
  <c r="L1602" i="1"/>
  <c r="N1602" i="1" s="1"/>
  <c r="L1601" i="1"/>
  <c r="N1601" i="1" s="1"/>
  <c r="L1600" i="1"/>
  <c r="N1600" i="1" s="1"/>
  <c r="L1599" i="1"/>
  <c r="N1599" i="1" s="1"/>
  <c r="L1598" i="1"/>
  <c r="N1598" i="1" s="1"/>
  <c r="L1597" i="1"/>
  <c r="N1597" i="1" s="1"/>
  <c r="L1596" i="1"/>
  <c r="N1596" i="1" s="1"/>
  <c r="L1595" i="1"/>
  <c r="N1595" i="1" s="1"/>
  <c r="L1594" i="1"/>
  <c r="N1594" i="1" s="1"/>
  <c r="L1593" i="1"/>
  <c r="N1593" i="1" s="1"/>
  <c r="L1592" i="1"/>
  <c r="N1592" i="1" s="1"/>
  <c r="L1591" i="1"/>
  <c r="N1591" i="1" s="1"/>
  <c r="L1590" i="1"/>
  <c r="N1590" i="1" s="1"/>
  <c r="L1589" i="1"/>
  <c r="N1589" i="1" s="1"/>
  <c r="L1588" i="1"/>
  <c r="N1588" i="1" s="1"/>
  <c r="L1587" i="1"/>
  <c r="N1587" i="1" s="1"/>
  <c r="L1586" i="1"/>
  <c r="N1586" i="1" s="1"/>
  <c r="L1585" i="1"/>
  <c r="N1585" i="1" s="1"/>
  <c r="L1584" i="1"/>
  <c r="N1584" i="1" s="1"/>
  <c r="L1583" i="1"/>
  <c r="N1583" i="1" s="1"/>
  <c r="L1582" i="1"/>
  <c r="N1582" i="1" s="1"/>
  <c r="L1581" i="1"/>
  <c r="N1581" i="1" s="1"/>
  <c r="L1580" i="1"/>
  <c r="N1580" i="1" s="1"/>
  <c r="L1579" i="1"/>
  <c r="N1579" i="1" s="1"/>
  <c r="L1578" i="1"/>
  <c r="N1578" i="1" s="1"/>
  <c r="L1577" i="1"/>
  <c r="N1577" i="1" s="1"/>
  <c r="L1576" i="1"/>
  <c r="N1576" i="1" s="1"/>
  <c r="L1575" i="1"/>
  <c r="N1575" i="1" s="1"/>
  <c r="L1574" i="1"/>
  <c r="N1574" i="1" s="1"/>
  <c r="L1573" i="1"/>
  <c r="N1573" i="1" s="1"/>
  <c r="L1572" i="1"/>
  <c r="N1572" i="1" s="1"/>
  <c r="L1571" i="1"/>
  <c r="N1571" i="1" s="1"/>
  <c r="L1570" i="1"/>
  <c r="N1570" i="1" s="1"/>
  <c r="L1569" i="1"/>
  <c r="N1569" i="1" s="1"/>
  <c r="L1568" i="1"/>
  <c r="N1568" i="1" s="1"/>
  <c r="L1567" i="1"/>
  <c r="N1567" i="1" s="1"/>
  <c r="L1566" i="1"/>
  <c r="N1566" i="1" s="1"/>
  <c r="L1565" i="1"/>
  <c r="N1565" i="1" s="1"/>
  <c r="L1564" i="1"/>
  <c r="N1564" i="1" s="1"/>
  <c r="L1563" i="1"/>
  <c r="N1563" i="1" s="1"/>
  <c r="L1562" i="1"/>
  <c r="N1562" i="1" s="1"/>
  <c r="L1561" i="1"/>
  <c r="N1561" i="1" s="1"/>
  <c r="L1560" i="1"/>
  <c r="N1560" i="1" s="1"/>
  <c r="L1559" i="1"/>
  <c r="N1559" i="1" s="1"/>
  <c r="L1558" i="1"/>
  <c r="N1558" i="1" s="1"/>
  <c r="L1557" i="1"/>
  <c r="N1557" i="1" s="1"/>
  <c r="L1556" i="1"/>
  <c r="N1556" i="1" s="1"/>
  <c r="L1555" i="1"/>
  <c r="N1555" i="1" s="1"/>
  <c r="L1554" i="1"/>
  <c r="N1554" i="1" s="1"/>
  <c r="L1553" i="1"/>
  <c r="N1553" i="1" s="1"/>
  <c r="L1552" i="1"/>
  <c r="N1552" i="1" s="1"/>
  <c r="L1551" i="1"/>
  <c r="N1551" i="1" s="1"/>
  <c r="L1550" i="1"/>
  <c r="N1550" i="1" s="1"/>
  <c r="L1549" i="1"/>
  <c r="N1549" i="1" s="1"/>
  <c r="L1548" i="1"/>
  <c r="N1548" i="1" s="1"/>
  <c r="L1547" i="1"/>
  <c r="N1547" i="1" s="1"/>
  <c r="L1546" i="1"/>
  <c r="N1546" i="1" s="1"/>
  <c r="L1545" i="1"/>
  <c r="N1545" i="1" s="1"/>
  <c r="L1544" i="1"/>
  <c r="N1544" i="1" s="1"/>
  <c r="L1543" i="1"/>
  <c r="N1543" i="1" s="1"/>
  <c r="L1542" i="1"/>
  <c r="N1542" i="1" s="1"/>
  <c r="L1541" i="1"/>
  <c r="N1541" i="1" s="1"/>
  <c r="L1540" i="1"/>
  <c r="N1540" i="1" s="1"/>
  <c r="L1539" i="1"/>
  <c r="N1539" i="1" s="1"/>
  <c r="L1538" i="1"/>
  <c r="N1538" i="1" s="1"/>
  <c r="L1537" i="1"/>
  <c r="N1537" i="1" s="1"/>
  <c r="L1536" i="1"/>
  <c r="N1536" i="1" s="1"/>
  <c r="L1535" i="1"/>
  <c r="N1535" i="1" s="1"/>
  <c r="L1534" i="1"/>
  <c r="N1534" i="1" s="1"/>
  <c r="L1533" i="1"/>
  <c r="N1533" i="1" s="1"/>
  <c r="L1532" i="1"/>
  <c r="N1532" i="1" s="1"/>
  <c r="L1531" i="1"/>
  <c r="N1531" i="1" s="1"/>
  <c r="L1530" i="1"/>
  <c r="N1530" i="1" s="1"/>
  <c r="L1529" i="1"/>
  <c r="N1529" i="1" s="1"/>
  <c r="L1528" i="1"/>
  <c r="N1528" i="1" s="1"/>
  <c r="L1527" i="1"/>
  <c r="N1527" i="1" s="1"/>
  <c r="L1526" i="1"/>
  <c r="N1526" i="1" s="1"/>
  <c r="L1525" i="1"/>
  <c r="N1525" i="1" s="1"/>
  <c r="L1524" i="1"/>
  <c r="N1524" i="1" s="1"/>
  <c r="L1523" i="1"/>
  <c r="N1523" i="1" s="1"/>
  <c r="L1522" i="1"/>
  <c r="N1522" i="1" s="1"/>
  <c r="L1521" i="1"/>
  <c r="N1521" i="1" s="1"/>
  <c r="L1520" i="1"/>
  <c r="N1520" i="1" s="1"/>
  <c r="L1519" i="1"/>
  <c r="N1519" i="1" s="1"/>
  <c r="L1518" i="1"/>
  <c r="N1518" i="1" s="1"/>
  <c r="L1517" i="1"/>
  <c r="N1517" i="1" s="1"/>
  <c r="L1516" i="1"/>
  <c r="N1516" i="1" s="1"/>
  <c r="L1515" i="1"/>
  <c r="N1515" i="1" s="1"/>
  <c r="L1514" i="1"/>
  <c r="N1514" i="1" s="1"/>
  <c r="L1513" i="1"/>
  <c r="N1513" i="1" s="1"/>
  <c r="L1512" i="1"/>
  <c r="N1512" i="1" s="1"/>
  <c r="L1511" i="1"/>
  <c r="N1511" i="1" s="1"/>
  <c r="L1510" i="1"/>
  <c r="N1510" i="1" s="1"/>
  <c r="L1509" i="1"/>
  <c r="N1509" i="1" s="1"/>
  <c r="L1508" i="1"/>
  <c r="N1508" i="1" s="1"/>
  <c r="L1507" i="1"/>
  <c r="N1507" i="1" s="1"/>
  <c r="L1506" i="1"/>
  <c r="N1506" i="1" s="1"/>
  <c r="L1505" i="1"/>
  <c r="N1505" i="1" s="1"/>
  <c r="L1504" i="1"/>
  <c r="N1504" i="1" s="1"/>
  <c r="L1503" i="1"/>
  <c r="N1503" i="1" s="1"/>
  <c r="L1502" i="1"/>
  <c r="N1502" i="1" s="1"/>
  <c r="L1501" i="1"/>
  <c r="N1501" i="1" s="1"/>
  <c r="L1500" i="1"/>
  <c r="N1500" i="1" s="1"/>
  <c r="L1499" i="1"/>
  <c r="N1499" i="1" s="1"/>
  <c r="L1498" i="1"/>
  <c r="N1498" i="1" s="1"/>
  <c r="L1497" i="1"/>
  <c r="N1497" i="1" s="1"/>
  <c r="L1496" i="1"/>
  <c r="N1496" i="1" s="1"/>
  <c r="L1495" i="1"/>
  <c r="N1495" i="1" s="1"/>
  <c r="L1494" i="1"/>
  <c r="N1494" i="1" s="1"/>
  <c r="L1493" i="1"/>
  <c r="N1493" i="1" s="1"/>
  <c r="L1492" i="1"/>
  <c r="N1492" i="1" s="1"/>
  <c r="L1491" i="1"/>
  <c r="N1491" i="1" s="1"/>
  <c r="L1490" i="1"/>
  <c r="N1490" i="1" s="1"/>
  <c r="L1489" i="1"/>
  <c r="N1489" i="1" s="1"/>
  <c r="L1488" i="1"/>
  <c r="N1488" i="1" s="1"/>
  <c r="L1487" i="1"/>
  <c r="N1487" i="1" s="1"/>
  <c r="L1486" i="1"/>
  <c r="N1486" i="1" s="1"/>
  <c r="L1485" i="1"/>
  <c r="N1485" i="1" s="1"/>
  <c r="L1484" i="1"/>
  <c r="N1484" i="1" s="1"/>
  <c r="L1483" i="1"/>
  <c r="N1483" i="1" s="1"/>
  <c r="L1482" i="1"/>
  <c r="N1482" i="1" s="1"/>
  <c r="L1481" i="1"/>
  <c r="N1481" i="1" s="1"/>
  <c r="L1480" i="1"/>
  <c r="N1480" i="1" s="1"/>
  <c r="L1479" i="1"/>
  <c r="N1479" i="1" s="1"/>
  <c r="L1478" i="1"/>
  <c r="N1478" i="1" s="1"/>
  <c r="L1477" i="1"/>
  <c r="N1477" i="1" s="1"/>
  <c r="L1476" i="1"/>
  <c r="N1476" i="1" s="1"/>
  <c r="L1475" i="1"/>
  <c r="N1475" i="1" s="1"/>
  <c r="L1474" i="1"/>
  <c r="N1474" i="1" s="1"/>
  <c r="L1473" i="1"/>
  <c r="N1473" i="1" s="1"/>
  <c r="L1472" i="1"/>
  <c r="N1472" i="1" s="1"/>
  <c r="L1471" i="1"/>
  <c r="N1471" i="1" s="1"/>
  <c r="L1470" i="1"/>
  <c r="N1470" i="1" s="1"/>
  <c r="L1469" i="1"/>
  <c r="N1469" i="1" s="1"/>
  <c r="L1468" i="1"/>
  <c r="N1468" i="1" s="1"/>
  <c r="L1467" i="1"/>
  <c r="N1467" i="1" s="1"/>
  <c r="L1466" i="1"/>
  <c r="N1466" i="1" s="1"/>
  <c r="L1465" i="1"/>
  <c r="N1465" i="1" s="1"/>
  <c r="L1464" i="1"/>
  <c r="N1464" i="1" s="1"/>
  <c r="L1463" i="1"/>
  <c r="N1463" i="1" s="1"/>
  <c r="L1462" i="1"/>
  <c r="N1462" i="1" s="1"/>
  <c r="L1461" i="1"/>
  <c r="N1461" i="1" s="1"/>
  <c r="L1460" i="1"/>
  <c r="N1460" i="1" s="1"/>
  <c r="L1459" i="1"/>
  <c r="N1459" i="1" s="1"/>
  <c r="L1458" i="1"/>
  <c r="N1458" i="1" s="1"/>
  <c r="L1457" i="1"/>
  <c r="N1457" i="1" s="1"/>
  <c r="L1456" i="1"/>
  <c r="N1456" i="1" s="1"/>
  <c r="L1455" i="1"/>
  <c r="N1455" i="1" s="1"/>
  <c r="L1454" i="1"/>
  <c r="N1454" i="1" s="1"/>
  <c r="L1453" i="1"/>
  <c r="N1453" i="1" s="1"/>
  <c r="L1452" i="1"/>
  <c r="N1452" i="1" s="1"/>
  <c r="L1451" i="1"/>
  <c r="N1451" i="1" s="1"/>
  <c r="L1450" i="1"/>
  <c r="N1450" i="1" s="1"/>
  <c r="L1449" i="1"/>
  <c r="N1449" i="1" s="1"/>
  <c r="L1448" i="1"/>
  <c r="N1448" i="1" s="1"/>
  <c r="L1447" i="1"/>
  <c r="N1447" i="1" s="1"/>
  <c r="L1446" i="1"/>
  <c r="N1446" i="1" s="1"/>
  <c r="L1445" i="1"/>
  <c r="N1445" i="1" s="1"/>
  <c r="L1444" i="1"/>
  <c r="N1444" i="1" s="1"/>
  <c r="L1443" i="1"/>
  <c r="N1443" i="1" s="1"/>
  <c r="L1442" i="1"/>
  <c r="N1442" i="1" s="1"/>
  <c r="L1441" i="1"/>
  <c r="N1441" i="1" s="1"/>
  <c r="L1440" i="1"/>
  <c r="N1440" i="1" s="1"/>
  <c r="O1440" i="1" s="1"/>
  <c r="L1439" i="1"/>
  <c r="N1439" i="1" s="1"/>
  <c r="L1438" i="1"/>
  <c r="N1438" i="1" s="1"/>
  <c r="L1437" i="1"/>
  <c r="N1437" i="1" s="1"/>
  <c r="L1436" i="1"/>
  <c r="N1436" i="1" s="1"/>
  <c r="L1435" i="1"/>
  <c r="N1435" i="1" s="1"/>
  <c r="L1434" i="1"/>
  <c r="N1434" i="1" s="1"/>
  <c r="L1433" i="1"/>
  <c r="N1433" i="1" s="1"/>
  <c r="L1432" i="1"/>
  <c r="N1432" i="1" s="1"/>
  <c r="L1431" i="1"/>
  <c r="N1431" i="1" s="1"/>
  <c r="L1430" i="1"/>
  <c r="N1430" i="1" s="1"/>
  <c r="L1429" i="1"/>
  <c r="N1429" i="1" s="1"/>
  <c r="L1428" i="1"/>
  <c r="N1428" i="1" s="1"/>
  <c r="L1427" i="1"/>
  <c r="N1427" i="1" s="1"/>
  <c r="L1426" i="1"/>
  <c r="N1426" i="1" s="1"/>
  <c r="L1425" i="1"/>
  <c r="N1425" i="1" s="1"/>
  <c r="L1424" i="1"/>
  <c r="N1424" i="1" s="1"/>
  <c r="L1423" i="1"/>
  <c r="N1423" i="1" s="1"/>
  <c r="L1422" i="1"/>
  <c r="N1422" i="1" s="1"/>
  <c r="L1421" i="1"/>
  <c r="N1421" i="1" s="1"/>
  <c r="L1420" i="1"/>
  <c r="N1420" i="1" s="1"/>
  <c r="L1419" i="1"/>
  <c r="N1419" i="1" s="1"/>
  <c r="L1418" i="1"/>
  <c r="N1418" i="1" s="1"/>
  <c r="L1417" i="1"/>
  <c r="N1417" i="1" s="1"/>
  <c r="L1416" i="1"/>
  <c r="N1416" i="1" s="1"/>
  <c r="L1415" i="1"/>
  <c r="N1415" i="1" s="1"/>
  <c r="L1414" i="1"/>
  <c r="N1414" i="1" s="1"/>
  <c r="L1413" i="1"/>
  <c r="N1413" i="1" s="1"/>
  <c r="L1412" i="1"/>
  <c r="N1412" i="1" s="1"/>
  <c r="L1411" i="1"/>
  <c r="N1411" i="1" s="1"/>
  <c r="L1410" i="1"/>
  <c r="N1410" i="1" s="1"/>
  <c r="L1409" i="1"/>
  <c r="N1409" i="1" s="1"/>
  <c r="L1408" i="1"/>
  <c r="N1408" i="1" s="1"/>
  <c r="L1407" i="1"/>
  <c r="N1407" i="1" s="1"/>
  <c r="L1406" i="1"/>
  <c r="N1406" i="1" s="1"/>
  <c r="L1405" i="1"/>
  <c r="N1405" i="1" s="1"/>
  <c r="L1404" i="1"/>
  <c r="N1404" i="1" s="1"/>
  <c r="L1403" i="1"/>
  <c r="N1403" i="1" s="1"/>
  <c r="L1402" i="1"/>
  <c r="N1402" i="1" s="1"/>
  <c r="L1401" i="1"/>
  <c r="N1401" i="1" s="1"/>
  <c r="L1400" i="1"/>
  <c r="N1400" i="1" s="1"/>
  <c r="L1399" i="1"/>
  <c r="N1399" i="1" s="1"/>
  <c r="L1398" i="1"/>
  <c r="N1398" i="1" s="1"/>
  <c r="L1397" i="1"/>
  <c r="N1397" i="1" s="1"/>
  <c r="L1396" i="1"/>
  <c r="N1396" i="1" s="1"/>
  <c r="O1396" i="1" s="1"/>
  <c r="L1395" i="1"/>
  <c r="N1395" i="1" s="1"/>
  <c r="L1394" i="1"/>
  <c r="N1394" i="1" s="1"/>
  <c r="L1393" i="1"/>
  <c r="N1393" i="1" s="1"/>
  <c r="L1392" i="1"/>
  <c r="N1392" i="1" s="1"/>
  <c r="L1391" i="1"/>
  <c r="N1391" i="1" s="1"/>
  <c r="L1390" i="1"/>
  <c r="N1390" i="1" s="1"/>
  <c r="L1389" i="1"/>
  <c r="N1389" i="1" s="1"/>
  <c r="L1388" i="1"/>
  <c r="N1388" i="1" s="1"/>
  <c r="L1387" i="1"/>
  <c r="N1387" i="1" s="1"/>
  <c r="L1386" i="1"/>
  <c r="N1386" i="1" s="1"/>
  <c r="L1385" i="1"/>
  <c r="N1385" i="1" s="1"/>
  <c r="L1384" i="1"/>
  <c r="N1384" i="1" s="1"/>
  <c r="L1383" i="1"/>
  <c r="N1383" i="1" s="1"/>
  <c r="L1382" i="1"/>
  <c r="N1382" i="1" s="1"/>
  <c r="L1381" i="1"/>
  <c r="N1381" i="1" s="1"/>
  <c r="L1380" i="1"/>
  <c r="N1380" i="1" s="1"/>
  <c r="L1379" i="1"/>
  <c r="N1379" i="1" s="1"/>
  <c r="L1378" i="1"/>
  <c r="N1378" i="1" s="1"/>
  <c r="L1377" i="1"/>
  <c r="N1377" i="1" s="1"/>
  <c r="L1376" i="1"/>
  <c r="N1376" i="1" s="1"/>
  <c r="O1376" i="1" s="1"/>
  <c r="L1375" i="1"/>
  <c r="N1375" i="1" s="1"/>
  <c r="L1374" i="1"/>
  <c r="N1374" i="1" s="1"/>
  <c r="L1373" i="1"/>
  <c r="N1373" i="1" s="1"/>
  <c r="L1372" i="1"/>
  <c r="N1372" i="1" s="1"/>
  <c r="L1371" i="1"/>
  <c r="N1371" i="1" s="1"/>
  <c r="L1370" i="1"/>
  <c r="N1370" i="1" s="1"/>
  <c r="L1369" i="1"/>
  <c r="N1369" i="1" s="1"/>
  <c r="L1368" i="1"/>
  <c r="N1368" i="1" s="1"/>
  <c r="L1367" i="1"/>
  <c r="N1367" i="1" s="1"/>
  <c r="L1366" i="1"/>
  <c r="N1366" i="1" s="1"/>
  <c r="L1365" i="1"/>
  <c r="N1365" i="1" s="1"/>
  <c r="L1364" i="1"/>
  <c r="N1364" i="1" s="1"/>
  <c r="L1363" i="1"/>
  <c r="N1363" i="1" s="1"/>
  <c r="L1362" i="1"/>
  <c r="N1362" i="1" s="1"/>
  <c r="L1361" i="1"/>
  <c r="N1361" i="1" s="1"/>
  <c r="L1360" i="1"/>
  <c r="N1360" i="1" s="1"/>
  <c r="L1359" i="1"/>
  <c r="N1359" i="1" s="1"/>
  <c r="L1358" i="1"/>
  <c r="N1358" i="1" s="1"/>
  <c r="L1357" i="1"/>
  <c r="N1357" i="1" s="1"/>
  <c r="L1356" i="1"/>
  <c r="N1356" i="1" s="1"/>
  <c r="L1355" i="1"/>
  <c r="N1355" i="1" s="1"/>
  <c r="L1354" i="1"/>
  <c r="N1354" i="1" s="1"/>
  <c r="L1353" i="1"/>
  <c r="N1353" i="1" s="1"/>
  <c r="L1352" i="1"/>
  <c r="N1352" i="1" s="1"/>
  <c r="L1351" i="1"/>
  <c r="N1351" i="1" s="1"/>
  <c r="L1350" i="1"/>
  <c r="N1350" i="1" s="1"/>
  <c r="L1349" i="1"/>
  <c r="N1349" i="1" s="1"/>
  <c r="L1348" i="1"/>
  <c r="N1348" i="1" s="1"/>
  <c r="L1347" i="1"/>
  <c r="N1347" i="1" s="1"/>
  <c r="L1346" i="1"/>
  <c r="N1346" i="1" s="1"/>
  <c r="L1345" i="1"/>
  <c r="N1345" i="1" s="1"/>
  <c r="L1344" i="1"/>
  <c r="N1344" i="1" s="1"/>
  <c r="L1343" i="1"/>
  <c r="N1343" i="1" s="1"/>
  <c r="L1342" i="1"/>
  <c r="N1342" i="1" s="1"/>
  <c r="L1341" i="1"/>
  <c r="N1341" i="1" s="1"/>
  <c r="L1340" i="1"/>
  <c r="N1340" i="1" s="1"/>
  <c r="L1339" i="1"/>
  <c r="N1339" i="1" s="1"/>
  <c r="L1338" i="1"/>
  <c r="N1338" i="1" s="1"/>
  <c r="L1337" i="1"/>
  <c r="N1337" i="1" s="1"/>
  <c r="L1336" i="1"/>
  <c r="N1336" i="1" s="1"/>
  <c r="L1335" i="1"/>
  <c r="N1335" i="1" s="1"/>
  <c r="L1334" i="1"/>
  <c r="N1334" i="1" s="1"/>
  <c r="L1333" i="1"/>
  <c r="N1333" i="1" s="1"/>
  <c r="L1332" i="1"/>
  <c r="N1332" i="1" s="1"/>
  <c r="O1332" i="1" s="1"/>
  <c r="L1331" i="1"/>
  <c r="N1331" i="1" s="1"/>
  <c r="L1330" i="1"/>
  <c r="N1330" i="1" s="1"/>
  <c r="L1329" i="1"/>
  <c r="N1329" i="1" s="1"/>
  <c r="L1328" i="1"/>
  <c r="N1328" i="1" s="1"/>
  <c r="L1327" i="1"/>
  <c r="N1327" i="1" s="1"/>
  <c r="L1326" i="1"/>
  <c r="N1326" i="1" s="1"/>
  <c r="L1325" i="1"/>
  <c r="N1325" i="1" s="1"/>
  <c r="L1324" i="1"/>
  <c r="N1324" i="1" s="1"/>
  <c r="L1323" i="1"/>
  <c r="N1323" i="1" s="1"/>
  <c r="L1322" i="1"/>
  <c r="N1322" i="1" s="1"/>
  <c r="L1321" i="1"/>
  <c r="N1321" i="1" s="1"/>
  <c r="L1320" i="1"/>
  <c r="N1320" i="1" s="1"/>
  <c r="L1319" i="1"/>
  <c r="N1319" i="1" s="1"/>
  <c r="L1318" i="1"/>
  <c r="N1318" i="1" s="1"/>
  <c r="L1317" i="1"/>
  <c r="N1317" i="1" s="1"/>
  <c r="L1316" i="1"/>
  <c r="N1316" i="1" s="1"/>
  <c r="L1315" i="1"/>
  <c r="N1315" i="1" s="1"/>
  <c r="L1314" i="1"/>
  <c r="N1314" i="1" s="1"/>
  <c r="L1313" i="1"/>
  <c r="N1313" i="1" s="1"/>
  <c r="L1312" i="1"/>
  <c r="N1312" i="1" s="1"/>
  <c r="O1312" i="1" s="1"/>
  <c r="L1311" i="1"/>
  <c r="N1311" i="1" s="1"/>
  <c r="L1310" i="1"/>
  <c r="N1310" i="1" s="1"/>
  <c r="L1309" i="1"/>
  <c r="N1309" i="1" s="1"/>
  <c r="L1308" i="1"/>
  <c r="N1308" i="1" s="1"/>
  <c r="L1307" i="1"/>
  <c r="N1307" i="1" s="1"/>
  <c r="L1306" i="1"/>
  <c r="N1306" i="1" s="1"/>
  <c r="L1305" i="1"/>
  <c r="N1305" i="1" s="1"/>
  <c r="L1304" i="1"/>
  <c r="N1304" i="1" s="1"/>
  <c r="L1303" i="1"/>
  <c r="N1303" i="1" s="1"/>
  <c r="L1302" i="1"/>
  <c r="N1302" i="1" s="1"/>
  <c r="L1301" i="1"/>
  <c r="N1301" i="1" s="1"/>
  <c r="L1300" i="1"/>
  <c r="N1300" i="1" s="1"/>
  <c r="L1299" i="1"/>
  <c r="N1299" i="1" s="1"/>
  <c r="L1298" i="1"/>
  <c r="N1298" i="1" s="1"/>
  <c r="L1297" i="1"/>
  <c r="N1297" i="1" s="1"/>
  <c r="L1296" i="1"/>
  <c r="N1296" i="1" s="1"/>
  <c r="L1295" i="1"/>
  <c r="N1295" i="1" s="1"/>
  <c r="L1294" i="1"/>
  <c r="N1294" i="1" s="1"/>
  <c r="L1293" i="1"/>
  <c r="N1293" i="1" s="1"/>
  <c r="L1292" i="1"/>
  <c r="N1292" i="1" s="1"/>
  <c r="L1291" i="1"/>
  <c r="N1291" i="1" s="1"/>
  <c r="L1290" i="1"/>
  <c r="N1290" i="1" s="1"/>
  <c r="L1289" i="1"/>
  <c r="N1289" i="1" s="1"/>
  <c r="L1288" i="1"/>
  <c r="N1288" i="1" s="1"/>
  <c r="L1287" i="1"/>
  <c r="N1287" i="1" s="1"/>
  <c r="L1286" i="1"/>
  <c r="N1286" i="1" s="1"/>
  <c r="L1285" i="1"/>
  <c r="N1285" i="1" s="1"/>
  <c r="L1284" i="1"/>
  <c r="N1284" i="1" s="1"/>
  <c r="L1283" i="1"/>
  <c r="N1283" i="1" s="1"/>
  <c r="L1282" i="1"/>
  <c r="N1282" i="1" s="1"/>
  <c r="L1281" i="1"/>
  <c r="N1281" i="1" s="1"/>
  <c r="L1280" i="1"/>
  <c r="N1280" i="1" s="1"/>
  <c r="L1279" i="1"/>
  <c r="N1279" i="1" s="1"/>
  <c r="L1278" i="1"/>
  <c r="N1278" i="1" s="1"/>
  <c r="L1277" i="1"/>
  <c r="N1277" i="1" s="1"/>
  <c r="L1276" i="1"/>
  <c r="N1276" i="1" s="1"/>
  <c r="L1275" i="1"/>
  <c r="N1275" i="1" s="1"/>
  <c r="L1274" i="1"/>
  <c r="N1274" i="1" s="1"/>
  <c r="L1273" i="1"/>
  <c r="N1273" i="1" s="1"/>
  <c r="L1272" i="1"/>
  <c r="N1272" i="1" s="1"/>
  <c r="L1271" i="1"/>
  <c r="N1271" i="1" s="1"/>
  <c r="L1270" i="1"/>
  <c r="N1270" i="1" s="1"/>
  <c r="L1269" i="1"/>
  <c r="N1269" i="1" s="1"/>
  <c r="L1268" i="1"/>
  <c r="N1268" i="1" s="1"/>
  <c r="O1268" i="1" s="1"/>
  <c r="L1267" i="1"/>
  <c r="N1267" i="1" s="1"/>
  <c r="L1266" i="1"/>
  <c r="N1266" i="1" s="1"/>
  <c r="L1265" i="1"/>
  <c r="N1265" i="1" s="1"/>
  <c r="L1264" i="1"/>
  <c r="N1264" i="1" s="1"/>
  <c r="L1263" i="1"/>
  <c r="N1263" i="1" s="1"/>
  <c r="L1262" i="1"/>
  <c r="N1262" i="1" s="1"/>
  <c r="L1261" i="1"/>
  <c r="N1261" i="1" s="1"/>
  <c r="L1260" i="1"/>
  <c r="N1260" i="1" s="1"/>
  <c r="L1259" i="1"/>
  <c r="N1259" i="1" s="1"/>
  <c r="L1258" i="1"/>
  <c r="N1258" i="1" s="1"/>
  <c r="L1257" i="1"/>
  <c r="N1257" i="1" s="1"/>
  <c r="L1256" i="1"/>
  <c r="N1256" i="1" s="1"/>
  <c r="L1255" i="1"/>
  <c r="N1255" i="1" s="1"/>
  <c r="L1254" i="1"/>
  <c r="N1254" i="1" s="1"/>
  <c r="L1253" i="1"/>
  <c r="N1253" i="1" s="1"/>
  <c r="L1252" i="1"/>
  <c r="N1252" i="1" s="1"/>
  <c r="L1251" i="1"/>
  <c r="N1251" i="1" s="1"/>
  <c r="L1250" i="1"/>
  <c r="N1250" i="1" s="1"/>
  <c r="L1249" i="1"/>
  <c r="N1249" i="1" s="1"/>
  <c r="L1248" i="1"/>
  <c r="N1248" i="1" s="1"/>
  <c r="O1248" i="1" s="1"/>
  <c r="L1247" i="1"/>
  <c r="N1247" i="1" s="1"/>
  <c r="L1246" i="1"/>
  <c r="N1246" i="1" s="1"/>
  <c r="L1245" i="1"/>
  <c r="N1245" i="1" s="1"/>
  <c r="L1244" i="1"/>
  <c r="N1244" i="1" s="1"/>
  <c r="L1243" i="1"/>
  <c r="N1243" i="1" s="1"/>
  <c r="L1242" i="1"/>
  <c r="N1242" i="1" s="1"/>
  <c r="L1241" i="1"/>
  <c r="N1241" i="1" s="1"/>
  <c r="L1240" i="1"/>
  <c r="N1240" i="1" s="1"/>
  <c r="L1239" i="1"/>
  <c r="N1239" i="1" s="1"/>
  <c r="L1238" i="1"/>
  <c r="N1238" i="1" s="1"/>
  <c r="L1237" i="1"/>
  <c r="N1237" i="1" s="1"/>
  <c r="L1236" i="1"/>
  <c r="N1236" i="1" s="1"/>
  <c r="L1235" i="1"/>
  <c r="N1235" i="1" s="1"/>
  <c r="L1234" i="1"/>
  <c r="N1234" i="1" s="1"/>
  <c r="L1233" i="1"/>
  <c r="N1233" i="1" s="1"/>
  <c r="L1232" i="1"/>
  <c r="N1232" i="1" s="1"/>
  <c r="L1231" i="1"/>
  <c r="N1231" i="1" s="1"/>
  <c r="L1230" i="1"/>
  <c r="N1230" i="1" s="1"/>
  <c r="L1229" i="1"/>
  <c r="N1229" i="1" s="1"/>
  <c r="L1228" i="1"/>
  <c r="N1228" i="1" s="1"/>
  <c r="L1227" i="1"/>
  <c r="N1227" i="1" s="1"/>
  <c r="L1226" i="1"/>
  <c r="N1226" i="1" s="1"/>
  <c r="L1225" i="1"/>
  <c r="N1225" i="1" s="1"/>
  <c r="L1224" i="1"/>
  <c r="N1224" i="1" s="1"/>
  <c r="L1223" i="1"/>
  <c r="N1223" i="1" s="1"/>
  <c r="L1222" i="1"/>
  <c r="N1222" i="1" s="1"/>
  <c r="L1221" i="1"/>
  <c r="N1221" i="1" s="1"/>
  <c r="L1220" i="1"/>
  <c r="N1220" i="1" s="1"/>
  <c r="L1219" i="1"/>
  <c r="N1219" i="1" s="1"/>
  <c r="L1218" i="1"/>
  <c r="N1218" i="1" s="1"/>
  <c r="L1217" i="1"/>
  <c r="N1217" i="1" s="1"/>
  <c r="L1216" i="1"/>
  <c r="N1216" i="1" s="1"/>
  <c r="L1215" i="1"/>
  <c r="N1215" i="1" s="1"/>
  <c r="L1214" i="1"/>
  <c r="N1214" i="1" s="1"/>
  <c r="L1213" i="1"/>
  <c r="N1213" i="1" s="1"/>
  <c r="L1212" i="1"/>
  <c r="N1212" i="1" s="1"/>
  <c r="L1211" i="1"/>
  <c r="N1211" i="1" s="1"/>
  <c r="L1210" i="1"/>
  <c r="N1210" i="1" s="1"/>
  <c r="L1209" i="1"/>
  <c r="N1209" i="1" s="1"/>
  <c r="L1208" i="1"/>
  <c r="N1208" i="1" s="1"/>
  <c r="L1207" i="1"/>
  <c r="N1207" i="1" s="1"/>
  <c r="L1206" i="1"/>
  <c r="N1206" i="1" s="1"/>
  <c r="L1205" i="1"/>
  <c r="N1205" i="1" s="1"/>
  <c r="L1204" i="1"/>
  <c r="N1204" i="1" s="1"/>
  <c r="O1204" i="1" s="1"/>
  <c r="L1203" i="1"/>
  <c r="N1203" i="1" s="1"/>
  <c r="L1202" i="1"/>
  <c r="N1202" i="1" s="1"/>
  <c r="L1201" i="1"/>
  <c r="N1201" i="1" s="1"/>
  <c r="L1200" i="1"/>
  <c r="N1200" i="1" s="1"/>
  <c r="L1199" i="1"/>
  <c r="N1199" i="1" s="1"/>
  <c r="L1198" i="1"/>
  <c r="N1198" i="1" s="1"/>
  <c r="L1197" i="1"/>
  <c r="N1197" i="1" s="1"/>
  <c r="L1196" i="1"/>
  <c r="N1196" i="1" s="1"/>
  <c r="L1195" i="1"/>
  <c r="N1195" i="1" s="1"/>
  <c r="L1194" i="1"/>
  <c r="N1194" i="1" s="1"/>
  <c r="L1193" i="1"/>
  <c r="N1193" i="1" s="1"/>
  <c r="L1192" i="1"/>
  <c r="N1192" i="1" s="1"/>
  <c r="L1191" i="1"/>
  <c r="N1191" i="1" s="1"/>
  <c r="L1190" i="1"/>
  <c r="N1190" i="1" s="1"/>
  <c r="L1189" i="1"/>
  <c r="N1189" i="1" s="1"/>
  <c r="L1188" i="1"/>
  <c r="N1188" i="1" s="1"/>
  <c r="L1187" i="1"/>
  <c r="N1187" i="1" s="1"/>
  <c r="L1186" i="1"/>
  <c r="N1186" i="1" s="1"/>
  <c r="L1185" i="1"/>
  <c r="N1185" i="1" s="1"/>
  <c r="L1184" i="1"/>
  <c r="N1184" i="1" s="1"/>
  <c r="O1184" i="1" s="1"/>
  <c r="L1183" i="1"/>
  <c r="N1183" i="1" s="1"/>
  <c r="L1182" i="1"/>
  <c r="N1182" i="1" s="1"/>
  <c r="L1181" i="1"/>
  <c r="N1181" i="1" s="1"/>
  <c r="L1180" i="1"/>
  <c r="N1180" i="1" s="1"/>
  <c r="L1179" i="1"/>
  <c r="N1179" i="1" s="1"/>
  <c r="L1178" i="1"/>
  <c r="N1178" i="1" s="1"/>
  <c r="L1177" i="1"/>
  <c r="N1177" i="1" s="1"/>
  <c r="L1176" i="1"/>
  <c r="N1176" i="1" s="1"/>
  <c r="L1175" i="1"/>
  <c r="N1175" i="1" s="1"/>
  <c r="L1174" i="1"/>
  <c r="N1174" i="1" s="1"/>
  <c r="L1173" i="1"/>
  <c r="N1173" i="1" s="1"/>
  <c r="L1172" i="1"/>
  <c r="N1172" i="1" s="1"/>
  <c r="L1171" i="1"/>
  <c r="N1171" i="1" s="1"/>
  <c r="L1170" i="1"/>
  <c r="N1170" i="1" s="1"/>
  <c r="L1169" i="1"/>
  <c r="N1169" i="1" s="1"/>
  <c r="L1168" i="1"/>
  <c r="N1168" i="1" s="1"/>
  <c r="L1167" i="1"/>
  <c r="N1167" i="1" s="1"/>
  <c r="L1166" i="1"/>
  <c r="N1166" i="1" s="1"/>
  <c r="L1165" i="1"/>
  <c r="N1165" i="1" s="1"/>
  <c r="L1164" i="1"/>
  <c r="N1164" i="1" s="1"/>
  <c r="L1163" i="1"/>
  <c r="N1163" i="1" s="1"/>
  <c r="L1162" i="1"/>
  <c r="N1162" i="1" s="1"/>
  <c r="L1161" i="1"/>
  <c r="N1161" i="1" s="1"/>
  <c r="L1160" i="1"/>
  <c r="N1160" i="1" s="1"/>
  <c r="L1159" i="1"/>
  <c r="N1159" i="1" s="1"/>
  <c r="L1158" i="1"/>
  <c r="N1158" i="1" s="1"/>
  <c r="L1157" i="1"/>
  <c r="N1157" i="1" s="1"/>
  <c r="L1156" i="1"/>
  <c r="N1156" i="1" s="1"/>
  <c r="L1155" i="1"/>
  <c r="N1155" i="1" s="1"/>
  <c r="L1154" i="1"/>
  <c r="N1154" i="1" s="1"/>
  <c r="L1153" i="1"/>
  <c r="N1153" i="1" s="1"/>
  <c r="L1152" i="1"/>
  <c r="N1152" i="1" s="1"/>
  <c r="L1151" i="1"/>
  <c r="N1151" i="1" s="1"/>
  <c r="L1150" i="1"/>
  <c r="N1150" i="1" s="1"/>
  <c r="L1149" i="1"/>
  <c r="N1149" i="1" s="1"/>
  <c r="L1148" i="1"/>
  <c r="N1148" i="1" s="1"/>
  <c r="L1147" i="1"/>
  <c r="N1147" i="1" s="1"/>
  <c r="L1146" i="1"/>
  <c r="N1146" i="1" s="1"/>
  <c r="L1145" i="1"/>
  <c r="N1145" i="1" s="1"/>
  <c r="L1144" i="1"/>
  <c r="N1144" i="1" s="1"/>
  <c r="L1143" i="1"/>
  <c r="N1143" i="1" s="1"/>
  <c r="L1142" i="1"/>
  <c r="N1142" i="1" s="1"/>
  <c r="L1141" i="1"/>
  <c r="N1141" i="1" s="1"/>
  <c r="L1140" i="1"/>
  <c r="N1140" i="1" s="1"/>
  <c r="O1140" i="1" s="1"/>
  <c r="L1139" i="1"/>
  <c r="N1139" i="1" s="1"/>
  <c r="L1138" i="1"/>
  <c r="N1138" i="1" s="1"/>
  <c r="L1137" i="1"/>
  <c r="N1137" i="1" s="1"/>
  <c r="L1136" i="1"/>
  <c r="N1136" i="1" s="1"/>
  <c r="L1135" i="1"/>
  <c r="N1135" i="1" s="1"/>
  <c r="L1134" i="1"/>
  <c r="N1134" i="1" s="1"/>
  <c r="L1133" i="1"/>
  <c r="N1133" i="1" s="1"/>
  <c r="L1132" i="1"/>
  <c r="N1132" i="1" s="1"/>
  <c r="L1131" i="1"/>
  <c r="N1131" i="1" s="1"/>
  <c r="L1130" i="1"/>
  <c r="N1130" i="1" s="1"/>
  <c r="L1129" i="1"/>
  <c r="N1129" i="1" s="1"/>
  <c r="L1128" i="1"/>
  <c r="N1128" i="1" s="1"/>
  <c r="L1127" i="1"/>
  <c r="N1127" i="1" s="1"/>
  <c r="L1126" i="1"/>
  <c r="N1126" i="1" s="1"/>
  <c r="L1125" i="1"/>
  <c r="N1125" i="1" s="1"/>
  <c r="L1124" i="1"/>
  <c r="N1124" i="1" s="1"/>
  <c r="L1123" i="1"/>
  <c r="N1123" i="1" s="1"/>
  <c r="L1122" i="1"/>
  <c r="N1122" i="1" s="1"/>
  <c r="L1121" i="1"/>
  <c r="N1121" i="1" s="1"/>
  <c r="L1120" i="1"/>
  <c r="N1120" i="1" s="1"/>
  <c r="O1120" i="1" s="1"/>
  <c r="L1119" i="1"/>
  <c r="N1119" i="1" s="1"/>
  <c r="L1118" i="1"/>
  <c r="N1118" i="1" s="1"/>
  <c r="L1117" i="1"/>
  <c r="N1117" i="1" s="1"/>
  <c r="L1116" i="1"/>
  <c r="N1116" i="1" s="1"/>
  <c r="L1115" i="1"/>
  <c r="N1115" i="1" s="1"/>
  <c r="L1114" i="1"/>
  <c r="N1114" i="1" s="1"/>
  <c r="L1113" i="1"/>
  <c r="N1113" i="1" s="1"/>
  <c r="L1112" i="1"/>
  <c r="N1112" i="1" s="1"/>
  <c r="L1111" i="1"/>
  <c r="N1111" i="1" s="1"/>
  <c r="L1110" i="1"/>
  <c r="N1110" i="1" s="1"/>
  <c r="L1109" i="1"/>
  <c r="N1109" i="1" s="1"/>
  <c r="L1108" i="1"/>
  <c r="N1108" i="1" s="1"/>
  <c r="L1107" i="1"/>
  <c r="N1107" i="1" s="1"/>
  <c r="L1106" i="1"/>
  <c r="N1106" i="1" s="1"/>
  <c r="L1105" i="1"/>
  <c r="N1105" i="1" s="1"/>
  <c r="L1104" i="1"/>
  <c r="N1104" i="1" s="1"/>
  <c r="L1103" i="1"/>
  <c r="N1103" i="1" s="1"/>
  <c r="L1102" i="1"/>
  <c r="N1102" i="1" s="1"/>
  <c r="L1101" i="1"/>
  <c r="N1101" i="1" s="1"/>
  <c r="L1100" i="1"/>
  <c r="N1100" i="1" s="1"/>
  <c r="L1099" i="1"/>
  <c r="N1099" i="1" s="1"/>
  <c r="L1098" i="1"/>
  <c r="N1098" i="1" s="1"/>
  <c r="L1097" i="1"/>
  <c r="N1097" i="1" s="1"/>
  <c r="L1096" i="1"/>
  <c r="N1096" i="1" s="1"/>
  <c r="O1096" i="1" s="1"/>
  <c r="L1095" i="1"/>
  <c r="N1095" i="1" s="1"/>
  <c r="L1094" i="1"/>
  <c r="N1094" i="1" s="1"/>
  <c r="L1093" i="1"/>
  <c r="N1093" i="1" s="1"/>
  <c r="L1092" i="1"/>
  <c r="N1092" i="1" s="1"/>
  <c r="L1091" i="1"/>
  <c r="N1091" i="1" s="1"/>
  <c r="L1090" i="1"/>
  <c r="N1090" i="1" s="1"/>
  <c r="L1089" i="1"/>
  <c r="N1089" i="1" s="1"/>
  <c r="L1088" i="1"/>
  <c r="N1088" i="1" s="1"/>
  <c r="L1087" i="1"/>
  <c r="N1087" i="1" s="1"/>
  <c r="L1086" i="1"/>
  <c r="N1086" i="1" s="1"/>
  <c r="L1085" i="1"/>
  <c r="N1085" i="1" s="1"/>
  <c r="L1084" i="1"/>
  <c r="N1084" i="1" s="1"/>
  <c r="L1083" i="1"/>
  <c r="N1083" i="1" s="1"/>
  <c r="L1082" i="1"/>
  <c r="N1082" i="1" s="1"/>
  <c r="L1081" i="1"/>
  <c r="N1081" i="1" s="1"/>
  <c r="L1080" i="1"/>
  <c r="N1080" i="1" s="1"/>
  <c r="L1079" i="1"/>
  <c r="N1079" i="1" s="1"/>
  <c r="L1078" i="1"/>
  <c r="N1078" i="1" s="1"/>
  <c r="L1077" i="1"/>
  <c r="N1077" i="1" s="1"/>
  <c r="L1076" i="1"/>
  <c r="N1076" i="1" s="1"/>
  <c r="L1075" i="1"/>
  <c r="N1075" i="1" s="1"/>
  <c r="L1074" i="1"/>
  <c r="N1074" i="1" s="1"/>
  <c r="L1073" i="1"/>
  <c r="N1073" i="1" s="1"/>
  <c r="L1072" i="1"/>
  <c r="N1072" i="1" s="1"/>
  <c r="L1071" i="1"/>
  <c r="N1071" i="1" s="1"/>
  <c r="L1070" i="1"/>
  <c r="N1070" i="1" s="1"/>
  <c r="L1069" i="1"/>
  <c r="N1069" i="1" s="1"/>
  <c r="L1068" i="1"/>
  <c r="N1068" i="1" s="1"/>
  <c r="L1067" i="1"/>
  <c r="N1067" i="1" s="1"/>
  <c r="L1066" i="1"/>
  <c r="N1066" i="1" s="1"/>
  <c r="L1065" i="1"/>
  <c r="N1065" i="1" s="1"/>
  <c r="L1064" i="1"/>
  <c r="N1064" i="1" s="1"/>
  <c r="O1064" i="1" s="1"/>
  <c r="L1063" i="1"/>
  <c r="N1063" i="1" s="1"/>
  <c r="L1062" i="1"/>
  <c r="N1062" i="1" s="1"/>
  <c r="L1061" i="1"/>
  <c r="N1061" i="1" s="1"/>
  <c r="L1060" i="1"/>
  <c r="N1060" i="1" s="1"/>
  <c r="L1059" i="1"/>
  <c r="N1059" i="1" s="1"/>
  <c r="L1058" i="1"/>
  <c r="N1058" i="1" s="1"/>
  <c r="L1057" i="1"/>
  <c r="N1057" i="1" s="1"/>
  <c r="L1056" i="1"/>
  <c r="N1056" i="1" s="1"/>
  <c r="L1055" i="1"/>
  <c r="N1055" i="1" s="1"/>
  <c r="L1054" i="1"/>
  <c r="N1054" i="1" s="1"/>
  <c r="L1053" i="1"/>
  <c r="N1053" i="1" s="1"/>
  <c r="L1052" i="1"/>
  <c r="N1052" i="1" s="1"/>
  <c r="L1051" i="1"/>
  <c r="N1051" i="1" s="1"/>
  <c r="L1050" i="1"/>
  <c r="N1050" i="1" s="1"/>
  <c r="L1049" i="1"/>
  <c r="N1049" i="1" s="1"/>
  <c r="L1048" i="1"/>
  <c r="N1048" i="1" s="1"/>
  <c r="L1047" i="1"/>
  <c r="N1047" i="1" s="1"/>
  <c r="L1046" i="1"/>
  <c r="N1046" i="1" s="1"/>
  <c r="L1045" i="1"/>
  <c r="N1045" i="1" s="1"/>
  <c r="L1044" i="1"/>
  <c r="N1044" i="1" s="1"/>
  <c r="L1043" i="1"/>
  <c r="N1043" i="1" s="1"/>
  <c r="L1042" i="1"/>
  <c r="N1042" i="1" s="1"/>
  <c r="L1041" i="1"/>
  <c r="N1041" i="1" s="1"/>
  <c r="L1040" i="1"/>
  <c r="N1040" i="1" s="1"/>
  <c r="L1039" i="1"/>
  <c r="N1039" i="1" s="1"/>
  <c r="L1038" i="1"/>
  <c r="N1038" i="1" s="1"/>
  <c r="L1037" i="1"/>
  <c r="N1037" i="1" s="1"/>
  <c r="L1036" i="1"/>
  <c r="N1036" i="1" s="1"/>
  <c r="L1035" i="1"/>
  <c r="N1035" i="1" s="1"/>
  <c r="L1034" i="1"/>
  <c r="N1034" i="1" s="1"/>
  <c r="L1033" i="1"/>
  <c r="N1033" i="1" s="1"/>
  <c r="L1032" i="1"/>
  <c r="N1032" i="1" s="1"/>
  <c r="O1032" i="1" s="1"/>
  <c r="L1031" i="1"/>
  <c r="N1031" i="1" s="1"/>
  <c r="L1030" i="1"/>
  <c r="N1030" i="1" s="1"/>
  <c r="L1029" i="1"/>
  <c r="N1029" i="1" s="1"/>
  <c r="L1028" i="1"/>
  <c r="N1028" i="1" s="1"/>
  <c r="L1027" i="1"/>
  <c r="N1027" i="1" s="1"/>
  <c r="L1026" i="1"/>
  <c r="N1026" i="1" s="1"/>
  <c r="L1025" i="1"/>
  <c r="N1025" i="1" s="1"/>
  <c r="L1024" i="1"/>
  <c r="N1024" i="1" s="1"/>
  <c r="L1023" i="1"/>
  <c r="N1023" i="1" s="1"/>
  <c r="L1022" i="1"/>
  <c r="N1022" i="1" s="1"/>
  <c r="L1021" i="1"/>
  <c r="N1021" i="1" s="1"/>
  <c r="L1020" i="1"/>
  <c r="N1020" i="1" s="1"/>
  <c r="L1019" i="1"/>
  <c r="N1019" i="1" s="1"/>
  <c r="L1018" i="1"/>
  <c r="N1018" i="1" s="1"/>
  <c r="L1017" i="1"/>
  <c r="N1017" i="1" s="1"/>
  <c r="L1016" i="1"/>
  <c r="N1016" i="1" s="1"/>
  <c r="L1015" i="1"/>
  <c r="N1015" i="1" s="1"/>
  <c r="L1014" i="1"/>
  <c r="N1014" i="1" s="1"/>
  <c r="L1013" i="1"/>
  <c r="N1013" i="1" s="1"/>
  <c r="L1012" i="1"/>
  <c r="N1012" i="1" s="1"/>
  <c r="L1011" i="1"/>
  <c r="N1011" i="1" s="1"/>
  <c r="L1010" i="1"/>
  <c r="N1010" i="1" s="1"/>
  <c r="L1009" i="1"/>
  <c r="N1009" i="1" s="1"/>
  <c r="L1008" i="1"/>
  <c r="N1008" i="1" s="1"/>
  <c r="L1007" i="1"/>
  <c r="N1007" i="1" s="1"/>
  <c r="L1006" i="1"/>
  <c r="N1006" i="1" s="1"/>
  <c r="L1005" i="1"/>
  <c r="N1005" i="1" s="1"/>
  <c r="L1004" i="1"/>
  <c r="N1004" i="1" s="1"/>
  <c r="L1003" i="1"/>
  <c r="N1003" i="1" s="1"/>
  <c r="L1002" i="1"/>
  <c r="N1002" i="1" s="1"/>
  <c r="L1001" i="1"/>
  <c r="N1001" i="1" s="1"/>
  <c r="L1000" i="1"/>
  <c r="N1000" i="1" s="1"/>
  <c r="O1000" i="1" s="1"/>
  <c r="L999" i="1"/>
  <c r="N999" i="1" s="1"/>
  <c r="L998" i="1"/>
  <c r="N998" i="1" s="1"/>
  <c r="L997" i="1"/>
  <c r="N997" i="1" s="1"/>
  <c r="L996" i="1"/>
  <c r="N996" i="1" s="1"/>
  <c r="L995" i="1"/>
  <c r="N995" i="1" s="1"/>
  <c r="L994" i="1"/>
  <c r="N994" i="1" s="1"/>
  <c r="L993" i="1"/>
  <c r="N993" i="1" s="1"/>
  <c r="L992" i="1"/>
  <c r="N992" i="1" s="1"/>
  <c r="L991" i="1"/>
  <c r="N991" i="1" s="1"/>
  <c r="L990" i="1"/>
  <c r="N990" i="1" s="1"/>
  <c r="L989" i="1"/>
  <c r="N989" i="1" s="1"/>
  <c r="L988" i="1"/>
  <c r="N988" i="1" s="1"/>
  <c r="L987" i="1"/>
  <c r="N987" i="1" s="1"/>
  <c r="L986" i="1"/>
  <c r="N986" i="1" s="1"/>
  <c r="L985" i="1"/>
  <c r="N985" i="1" s="1"/>
  <c r="L984" i="1"/>
  <c r="N984" i="1" s="1"/>
  <c r="L983" i="1"/>
  <c r="N983" i="1" s="1"/>
  <c r="L982" i="1"/>
  <c r="N982" i="1" s="1"/>
  <c r="L981" i="1"/>
  <c r="N981" i="1" s="1"/>
  <c r="L980" i="1"/>
  <c r="N980" i="1" s="1"/>
  <c r="L979" i="1"/>
  <c r="N979" i="1" s="1"/>
  <c r="L978" i="1"/>
  <c r="N978" i="1" s="1"/>
  <c r="L977" i="1"/>
  <c r="N977" i="1" s="1"/>
  <c r="L976" i="1"/>
  <c r="N976" i="1" s="1"/>
  <c r="L975" i="1"/>
  <c r="N975" i="1" s="1"/>
  <c r="L974" i="1"/>
  <c r="N974" i="1" s="1"/>
  <c r="L973" i="1"/>
  <c r="N973" i="1" s="1"/>
  <c r="L972" i="1"/>
  <c r="N972" i="1" s="1"/>
  <c r="L971" i="1"/>
  <c r="N971" i="1" s="1"/>
  <c r="L970" i="1"/>
  <c r="N970" i="1" s="1"/>
  <c r="L969" i="1"/>
  <c r="N969" i="1" s="1"/>
  <c r="L968" i="1"/>
  <c r="N968" i="1" s="1"/>
  <c r="O968" i="1" s="1"/>
  <c r="L967" i="1"/>
  <c r="N967" i="1" s="1"/>
  <c r="L966" i="1"/>
  <c r="N966" i="1" s="1"/>
  <c r="L965" i="1"/>
  <c r="N965" i="1" s="1"/>
  <c r="L964" i="1"/>
  <c r="N964" i="1" s="1"/>
  <c r="L963" i="1"/>
  <c r="N963" i="1" s="1"/>
  <c r="L962" i="1"/>
  <c r="N962" i="1" s="1"/>
  <c r="L961" i="1"/>
  <c r="N961" i="1" s="1"/>
  <c r="L960" i="1"/>
  <c r="N960" i="1" s="1"/>
  <c r="L959" i="1"/>
  <c r="N959" i="1" s="1"/>
  <c r="L958" i="1"/>
  <c r="N958" i="1" s="1"/>
  <c r="L957" i="1"/>
  <c r="N957" i="1" s="1"/>
  <c r="L956" i="1"/>
  <c r="N956" i="1" s="1"/>
  <c r="L955" i="1"/>
  <c r="N955" i="1" s="1"/>
  <c r="L954" i="1"/>
  <c r="N954" i="1" s="1"/>
  <c r="L953" i="1"/>
  <c r="N953" i="1" s="1"/>
  <c r="L952" i="1"/>
  <c r="N952" i="1" s="1"/>
  <c r="L951" i="1"/>
  <c r="N951" i="1" s="1"/>
  <c r="L950" i="1"/>
  <c r="N950" i="1" s="1"/>
  <c r="L949" i="1"/>
  <c r="N949" i="1" s="1"/>
  <c r="L948" i="1"/>
  <c r="N948" i="1" s="1"/>
  <c r="L947" i="1"/>
  <c r="N947" i="1" s="1"/>
  <c r="L946" i="1"/>
  <c r="N946" i="1" s="1"/>
  <c r="L945" i="1"/>
  <c r="N945" i="1" s="1"/>
  <c r="L944" i="1"/>
  <c r="N944" i="1" s="1"/>
  <c r="L943" i="1"/>
  <c r="N943" i="1" s="1"/>
  <c r="L942" i="1"/>
  <c r="N942" i="1" s="1"/>
  <c r="L941" i="1"/>
  <c r="N941" i="1" s="1"/>
  <c r="L940" i="1"/>
  <c r="N940" i="1" s="1"/>
  <c r="L939" i="1"/>
  <c r="N939" i="1" s="1"/>
  <c r="L938" i="1"/>
  <c r="N938" i="1" s="1"/>
  <c r="L937" i="1"/>
  <c r="N937" i="1" s="1"/>
  <c r="L936" i="1"/>
  <c r="N936" i="1" s="1"/>
  <c r="O936" i="1" s="1"/>
  <c r="L935" i="1"/>
  <c r="N935" i="1" s="1"/>
  <c r="L934" i="1"/>
  <c r="N934" i="1" s="1"/>
  <c r="L933" i="1"/>
  <c r="N933" i="1" s="1"/>
  <c r="L932" i="1"/>
  <c r="N932" i="1" s="1"/>
  <c r="L931" i="1"/>
  <c r="N931" i="1" s="1"/>
  <c r="L930" i="1"/>
  <c r="N930" i="1" s="1"/>
  <c r="L929" i="1"/>
  <c r="N929" i="1" s="1"/>
  <c r="L928" i="1"/>
  <c r="N928" i="1" s="1"/>
  <c r="L927" i="1"/>
  <c r="N927" i="1" s="1"/>
  <c r="L926" i="1"/>
  <c r="N926" i="1" s="1"/>
  <c r="L925" i="1"/>
  <c r="N925" i="1" s="1"/>
  <c r="L924" i="1"/>
  <c r="N924" i="1" s="1"/>
  <c r="L923" i="1"/>
  <c r="N923" i="1" s="1"/>
  <c r="L922" i="1"/>
  <c r="N922" i="1" s="1"/>
  <c r="L921" i="1"/>
  <c r="N921" i="1" s="1"/>
  <c r="L920" i="1"/>
  <c r="N920" i="1" s="1"/>
  <c r="L919" i="1"/>
  <c r="N919" i="1" s="1"/>
  <c r="L918" i="1"/>
  <c r="N918" i="1" s="1"/>
  <c r="L917" i="1"/>
  <c r="N917" i="1" s="1"/>
  <c r="L916" i="1"/>
  <c r="N916" i="1" s="1"/>
  <c r="L915" i="1"/>
  <c r="N915" i="1" s="1"/>
  <c r="L914" i="1"/>
  <c r="N914" i="1" s="1"/>
  <c r="L913" i="1"/>
  <c r="N913" i="1" s="1"/>
  <c r="L912" i="1"/>
  <c r="N912" i="1" s="1"/>
  <c r="L911" i="1"/>
  <c r="N911" i="1" s="1"/>
  <c r="L910" i="1"/>
  <c r="N910" i="1" s="1"/>
  <c r="L909" i="1"/>
  <c r="N909" i="1" s="1"/>
  <c r="L908" i="1"/>
  <c r="N908" i="1" s="1"/>
  <c r="L907" i="1"/>
  <c r="N907" i="1" s="1"/>
  <c r="L906" i="1"/>
  <c r="N906" i="1" s="1"/>
  <c r="L905" i="1"/>
  <c r="N905" i="1" s="1"/>
  <c r="L904" i="1"/>
  <c r="N904" i="1" s="1"/>
  <c r="O904" i="1" s="1"/>
  <c r="L903" i="1"/>
  <c r="N903" i="1" s="1"/>
  <c r="L902" i="1"/>
  <c r="N902" i="1" s="1"/>
  <c r="L901" i="1"/>
  <c r="N901" i="1" s="1"/>
  <c r="L900" i="1"/>
  <c r="N900" i="1" s="1"/>
  <c r="L899" i="1"/>
  <c r="N899" i="1" s="1"/>
  <c r="L898" i="1"/>
  <c r="N898" i="1" s="1"/>
  <c r="L897" i="1"/>
  <c r="N897" i="1" s="1"/>
  <c r="L896" i="1"/>
  <c r="N896" i="1" s="1"/>
  <c r="L895" i="1"/>
  <c r="N895" i="1" s="1"/>
  <c r="L894" i="1"/>
  <c r="N894" i="1" s="1"/>
  <c r="L893" i="1"/>
  <c r="N893" i="1" s="1"/>
  <c r="L892" i="1"/>
  <c r="N892" i="1" s="1"/>
  <c r="L891" i="1"/>
  <c r="N891" i="1" s="1"/>
  <c r="L890" i="1"/>
  <c r="N890" i="1" s="1"/>
  <c r="L889" i="1"/>
  <c r="N889" i="1" s="1"/>
  <c r="L888" i="1"/>
  <c r="N888" i="1" s="1"/>
  <c r="L887" i="1"/>
  <c r="N887" i="1" s="1"/>
  <c r="L886" i="1"/>
  <c r="N886" i="1" s="1"/>
  <c r="L885" i="1"/>
  <c r="N885" i="1" s="1"/>
  <c r="L884" i="1"/>
  <c r="N884" i="1" s="1"/>
  <c r="L883" i="1"/>
  <c r="N883" i="1" s="1"/>
  <c r="L882" i="1"/>
  <c r="N882" i="1" s="1"/>
  <c r="L881" i="1"/>
  <c r="N881" i="1" s="1"/>
  <c r="L880" i="1"/>
  <c r="N880" i="1" s="1"/>
  <c r="L879" i="1"/>
  <c r="N879" i="1" s="1"/>
  <c r="L878" i="1"/>
  <c r="N878" i="1" s="1"/>
  <c r="L877" i="1"/>
  <c r="N877" i="1" s="1"/>
  <c r="L876" i="1"/>
  <c r="N876" i="1" s="1"/>
  <c r="L875" i="1"/>
  <c r="N875" i="1" s="1"/>
  <c r="L874" i="1"/>
  <c r="N874" i="1" s="1"/>
  <c r="L873" i="1"/>
  <c r="N873" i="1" s="1"/>
  <c r="L872" i="1"/>
  <c r="N872" i="1" s="1"/>
  <c r="O872" i="1" s="1"/>
  <c r="L871" i="1"/>
  <c r="N871" i="1" s="1"/>
  <c r="L870" i="1"/>
  <c r="N870" i="1" s="1"/>
  <c r="L869" i="1"/>
  <c r="N869" i="1" s="1"/>
  <c r="L868" i="1"/>
  <c r="N868" i="1" s="1"/>
  <c r="L867" i="1"/>
  <c r="N867" i="1" s="1"/>
  <c r="L866" i="1"/>
  <c r="N866" i="1" s="1"/>
  <c r="L865" i="1"/>
  <c r="N865" i="1" s="1"/>
  <c r="L864" i="1"/>
  <c r="N864" i="1" s="1"/>
  <c r="L863" i="1"/>
  <c r="N863" i="1" s="1"/>
  <c r="L862" i="1"/>
  <c r="N862" i="1" s="1"/>
  <c r="L861" i="1"/>
  <c r="N861" i="1" s="1"/>
  <c r="L860" i="1"/>
  <c r="N860" i="1" s="1"/>
  <c r="L859" i="1"/>
  <c r="N859" i="1" s="1"/>
  <c r="L858" i="1"/>
  <c r="N858" i="1" s="1"/>
  <c r="L857" i="1"/>
  <c r="N857" i="1" s="1"/>
  <c r="L856" i="1"/>
  <c r="N856" i="1" s="1"/>
  <c r="L855" i="1"/>
  <c r="N855" i="1" s="1"/>
  <c r="L854" i="1"/>
  <c r="N854" i="1" s="1"/>
  <c r="L853" i="1"/>
  <c r="N853" i="1" s="1"/>
  <c r="L852" i="1"/>
  <c r="N852" i="1" s="1"/>
  <c r="L851" i="1"/>
  <c r="N851" i="1" s="1"/>
  <c r="L850" i="1"/>
  <c r="N850" i="1" s="1"/>
  <c r="L849" i="1"/>
  <c r="N849" i="1" s="1"/>
  <c r="L848" i="1"/>
  <c r="N848" i="1" s="1"/>
  <c r="L847" i="1"/>
  <c r="N847" i="1" s="1"/>
  <c r="L846" i="1"/>
  <c r="N846" i="1" s="1"/>
  <c r="L845" i="1"/>
  <c r="N845" i="1" s="1"/>
  <c r="L844" i="1"/>
  <c r="N844" i="1" s="1"/>
  <c r="L843" i="1"/>
  <c r="N843" i="1" s="1"/>
  <c r="L842" i="1"/>
  <c r="N842" i="1" s="1"/>
  <c r="L841" i="1"/>
  <c r="N841" i="1" s="1"/>
  <c r="L840" i="1"/>
  <c r="N840" i="1" s="1"/>
  <c r="L839" i="1"/>
  <c r="N839" i="1" s="1"/>
  <c r="L838" i="1"/>
  <c r="N838" i="1" s="1"/>
  <c r="L837" i="1"/>
  <c r="N837" i="1" s="1"/>
  <c r="L836" i="1"/>
  <c r="N836" i="1" s="1"/>
  <c r="O836" i="1" s="1"/>
  <c r="L835" i="1"/>
  <c r="N835" i="1" s="1"/>
  <c r="L834" i="1"/>
  <c r="N834" i="1" s="1"/>
  <c r="L833" i="1"/>
  <c r="N833" i="1" s="1"/>
  <c r="L832" i="1"/>
  <c r="N832" i="1" s="1"/>
  <c r="L831" i="1"/>
  <c r="N831" i="1" s="1"/>
  <c r="L830" i="1"/>
  <c r="N830" i="1" s="1"/>
  <c r="L829" i="1"/>
  <c r="N829" i="1" s="1"/>
  <c r="L828" i="1"/>
  <c r="N828" i="1" s="1"/>
  <c r="L827" i="1"/>
  <c r="N827" i="1" s="1"/>
  <c r="L826" i="1"/>
  <c r="N826" i="1" s="1"/>
  <c r="L825" i="1"/>
  <c r="N825" i="1" s="1"/>
  <c r="L824" i="1"/>
  <c r="N824" i="1" s="1"/>
  <c r="L823" i="1"/>
  <c r="N823" i="1" s="1"/>
  <c r="L822" i="1"/>
  <c r="N822" i="1" s="1"/>
  <c r="L821" i="1"/>
  <c r="N821" i="1" s="1"/>
  <c r="L820" i="1"/>
  <c r="N820" i="1" s="1"/>
  <c r="L819" i="1"/>
  <c r="N819" i="1" s="1"/>
  <c r="L818" i="1"/>
  <c r="N818" i="1" s="1"/>
  <c r="L817" i="1"/>
  <c r="N817" i="1" s="1"/>
  <c r="L816" i="1"/>
  <c r="N816" i="1" s="1"/>
  <c r="L815" i="1"/>
  <c r="N815" i="1" s="1"/>
  <c r="L814" i="1"/>
  <c r="N814" i="1" s="1"/>
  <c r="L813" i="1"/>
  <c r="N813" i="1" s="1"/>
  <c r="L812" i="1"/>
  <c r="N812" i="1" s="1"/>
  <c r="L811" i="1"/>
  <c r="N811" i="1" s="1"/>
  <c r="L810" i="1"/>
  <c r="N810" i="1" s="1"/>
  <c r="L809" i="1"/>
  <c r="N809" i="1" s="1"/>
  <c r="L808" i="1"/>
  <c r="N808" i="1" s="1"/>
  <c r="L807" i="1"/>
  <c r="N807" i="1" s="1"/>
  <c r="L806" i="1"/>
  <c r="N806" i="1" s="1"/>
  <c r="L805" i="1"/>
  <c r="N805" i="1" s="1"/>
  <c r="L804" i="1"/>
  <c r="N804" i="1" s="1"/>
  <c r="L803" i="1"/>
  <c r="N803" i="1" s="1"/>
  <c r="L802" i="1"/>
  <c r="N802" i="1" s="1"/>
  <c r="L801" i="1"/>
  <c r="N801" i="1" s="1"/>
  <c r="L800" i="1"/>
  <c r="N800" i="1" s="1"/>
  <c r="L799" i="1"/>
  <c r="N799" i="1" s="1"/>
  <c r="L798" i="1"/>
  <c r="N798" i="1" s="1"/>
  <c r="L797" i="1"/>
  <c r="N797" i="1" s="1"/>
  <c r="L796" i="1"/>
  <c r="N796" i="1" s="1"/>
  <c r="L795" i="1"/>
  <c r="N795" i="1" s="1"/>
  <c r="L794" i="1"/>
  <c r="N794" i="1" s="1"/>
  <c r="L793" i="1"/>
  <c r="N793" i="1" s="1"/>
  <c r="L792" i="1"/>
  <c r="N792" i="1" s="1"/>
  <c r="O792" i="1" s="1"/>
  <c r="L791" i="1"/>
  <c r="N791" i="1" s="1"/>
  <c r="L790" i="1"/>
  <c r="N790" i="1" s="1"/>
  <c r="L789" i="1"/>
  <c r="N789" i="1" s="1"/>
  <c r="L788" i="1"/>
  <c r="N788" i="1" s="1"/>
  <c r="L787" i="1"/>
  <c r="N787" i="1" s="1"/>
  <c r="L786" i="1"/>
  <c r="N786" i="1" s="1"/>
  <c r="L785" i="1"/>
  <c r="N785" i="1" s="1"/>
  <c r="L784" i="1"/>
  <c r="N784" i="1" s="1"/>
  <c r="L783" i="1"/>
  <c r="N783" i="1" s="1"/>
  <c r="L782" i="1"/>
  <c r="N782" i="1" s="1"/>
  <c r="L781" i="1"/>
  <c r="N781" i="1" s="1"/>
  <c r="L780" i="1"/>
  <c r="N780" i="1" s="1"/>
  <c r="L779" i="1"/>
  <c r="N779" i="1" s="1"/>
  <c r="L778" i="1"/>
  <c r="N778" i="1" s="1"/>
  <c r="L777" i="1"/>
  <c r="N777" i="1" s="1"/>
  <c r="L776" i="1"/>
  <c r="N776" i="1" s="1"/>
  <c r="L775" i="1"/>
  <c r="N775" i="1" s="1"/>
  <c r="L774" i="1"/>
  <c r="N774" i="1" s="1"/>
  <c r="L773" i="1"/>
  <c r="N773" i="1" s="1"/>
  <c r="L772" i="1"/>
  <c r="N772" i="1" s="1"/>
  <c r="L771" i="1"/>
  <c r="N771" i="1" s="1"/>
  <c r="L770" i="1"/>
  <c r="N770" i="1" s="1"/>
  <c r="L769" i="1"/>
  <c r="N769" i="1" s="1"/>
  <c r="L768" i="1"/>
  <c r="N768" i="1" s="1"/>
  <c r="L767" i="1"/>
  <c r="N767" i="1" s="1"/>
  <c r="L766" i="1"/>
  <c r="N766" i="1" s="1"/>
  <c r="L765" i="1"/>
  <c r="N765" i="1" s="1"/>
  <c r="L764" i="1"/>
  <c r="N764" i="1" s="1"/>
  <c r="L763" i="1"/>
  <c r="N763" i="1" s="1"/>
  <c r="L762" i="1"/>
  <c r="N762" i="1" s="1"/>
  <c r="L761" i="1"/>
  <c r="N761" i="1" s="1"/>
  <c r="L760" i="1"/>
  <c r="N760" i="1" s="1"/>
  <c r="L759" i="1"/>
  <c r="N759" i="1" s="1"/>
  <c r="L758" i="1"/>
  <c r="N758" i="1" s="1"/>
  <c r="L757" i="1"/>
  <c r="N757" i="1" s="1"/>
  <c r="L756" i="1"/>
  <c r="N756" i="1" s="1"/>
  <c r="L755" i="1"/>
  <c r="N755" i="1" s="1"/>
  <c r="L754" i="1"/>
  <c r="N754" i="1" s="1"/>
  <c r="L753" i="1"/>
  <c r="N753" i="1" s="1"/>
  <c r="L752" i="1"/>
  <c r="N752" i="1" s="1"/>
  <c r="L751" i="1"/>
  <c r="N751" i="1" s="1"/>
  <c r="L750" i="1"/>
  <c r="N750" i="1" s="1"/>
  <c r="L749" i="1"/>
  <c r="N749" i="1" s="1"/>
  <c r="L748" i="1"/>
  <c r="N748" i="1" s="1"/>
  <c r="L747" i="1"/>
  <c r="N747" i="1" s="1"/>
  <c r="L746" i="1"/>
  <c r="N746" i="1" s="1"/>
  <c r="L745" i="1"/>
  <c r="N745" i="1" s="1"/>
  <c r="L744" i="1"/>
  <c r="N744" i="1" s="1"/>
  <c r="L743" i="1"/>
  <c r="N743" i="1" s="1"/>
  <c r="L742" i="1"/>
  <c r="N742" i="1" s="1"/>
  <c r="L741" i="1"/>
  <c r="N741" i="1" s="1"/>
  <c r="L740" i="1"/>
  <c r="N740" i="1" s="1"/>
  <c r="L739" i="1"/>
  <c r="N739" i="1" s="1"/>
  <c r="L738" i="1"/>
  <c r="N738" i="1" s="1"/>
  <c r="L737" i="1"/>
  <c r="N737" i="1" s="1"/>
  <c r="L736" i="1"/>
  <c r="N736" i="1" s="1"/>
  <c r="L735" i="1"/>
  <c r="N735" i="1" s="1"/>
  <c r="L734" i="1"/>
  <c r="N734" i="1" s="1"/>
  <c r="L733" i="1"/>
  <c r="N733" i="1" s="1"/>
  <c r="L732" i="1"/>
  <c r="N732" i="1" s="1"/>
  <c r="L731" i="1"/>
  <c r="N731" i="1" s="1"/>
  <c r="L730" i="1"/>
  <c r="N730" i="1" s="1"/>
  <c r="L729" i="1"/>
  <c r="N729" i="1" s="1"/>
  <c r="L728" i="1"/>
  <c r="N728" i="1" s="1"/>
  <c r="L727" i="1"/>
  <c r="N727" i="1" s="1"/>
  <c r="L726" i="1"/>
  <c r="N726" i="1" s="1"/>
  <c r="L725" i="1"/>
  <c r="N725" i="1" s="1"/>
  <c r="L724" i="1"/>
  <c r="N724" i="1" s="1"/>
  <c r="L723" i="1"/>
  <c r="N723" i="1" s="1"/>
  <c r="L722" i="1"/>
  <c r="N722" i="1" s="1"/>
  <c r="L721" i="1"/>
  <c r="N721" i="1" s="1"/>
  <c r="L720" i="1"/>
  <c r="N720" i="1" s="1"/>
  <c r="L719" i="1"/>
  <c r="N719" i="1" s="1"/>
  <c r="L718" i="1"/>
  <c r="N718" i="1" s="1"/>
  <c r="L717" i="1"/>
  <c r="N717" i="1" s="1"/>
  <c r="L716" i="1"/>
  <c r="N716" i="1" s="1"/>
  <c r="L715" i="1"/>
  <c r="N715" i="1" s="1"/>
  <c r="L714" i="1"/>
  <c r="N714" i="1" s="1"/>
  <c r="L713" i="1"/>
  <c r="N713" i="1" s="1"/>
  <c r="L712" i="1"/>
  <c r="N712" i="1" s="1"/>
  <c r="L711" i="1"/>
  <c r="N711" i="1" s="1"/>
  <c r="L710" i="1"/>
  <c r="N710" i="1" s="1"/>
  <c r="L709" i="1"/>
  <c r="N709" i="1" s="1"/>
  <c r="L708" i="1"/>
  <c r="N708" i="1" s="1"/>
  <c r="O708" i="1" s="1"/>
  <c r="L707" i="1"/>
  <c r="N707" i="1" s="1"/>
  <c r="L706" i="1"/>
  <c r="N706" i="1" s="1"/>
  <c r="L705" i="1"/>
  <c r="N705" i="1" s="1"/>
  <c r="L704" i="1"/>
  <c r="N704" i="1" s="1"/>
  <c r="L703" i="1"/>
  <c r="N703" i="1" s="1"/>
  <c r="L702" i="1"/>
  <c r="N702" i="1" s="1"/>
  <c r="L701" i="1"/>
  <c r="N701" i="1" s="1"/>
  <c r="L700" i="1"/>
  <c r="N700" i="1" s="1"/>
  <c r="L699" i="1"/>
  <c r="N699" i="1" s="1"/>
  <c r="L698" i="1"/>
  <c r="N698" i="1" s="1"/>
  <c r="L697" i="1"/>
  <c r="N697" i="1" s="1"/>
  <c r="L696" i="1"/>
  <c r="N696" i="1" s="1"/>
  <c r="L695" i="1"/>
  <c r="N695" i="1" s="1"/>
  <c r="L694" i="1"/>
  <c r="N694" i="1" s="1"/>
  <c r="L693" i="1"/>
  <c r="N693" i="1" s="1"/>
  <c r="L692" i="1"/>
  <c r="N692" i="1" s="1"/>
  <c r="L691" i="1"/>
  <c r="N691" i="1" s="1"/>
  <c r="L690" i="1"/>
  <c r="N690" i="1" s="1"/>
  <c r="L689" i="1"/>
  <c r="N689" i="1" s="1"/>
  <c r="L688" i="1"/>
  <c r="N688" i="1" s="1"/>
  <c r="L687" i="1"/>
  <c r="N687" i="1" s="1"/>
  <c r="L686" i="1"/>
  <c r="N686" i="1" s="1"/>
  <c r="L685" i="1"/>
  <c r="N685" i="1" s="1"/>
  <c r="L684" i="1"/>
  <c r="N684" i="1" s="1"/>
  <c r="L683" i="1"/>
  <c r="N683" i="1" s="1"/>
  <c r="L682" i="1"/>
  <c r="N682" i="1" s="1"/>
  <c r="L681" i="1"/>
  <c r="N681" i="1" s="1"/>
  <c r="L680" i="1"/>
  <c r="N680" i="1" s="1"/>
  <c r="L679" i="1"/>
  <c r="N679" i="1" s="1"/>
  <c r="L678" i="1"/>
  <c r="N678" i="1" s="1"/>
  <c r="L677" i="1"/>
  <c r="N677" i="1" s="1"/>
  <c r="L676" i="1"/>
  <c r="N676" i="1" s="1"/>
  <c r="L675" i="1"/>
  <c r="N675" i="1" s="1"/>
  <c r="L674" i="1"/>
  <c r="N674" i="1" s="1"/>
  <c r="L673" i="1"/>
  <c r="N673" i="1" s="1"/>
  <c r="L672" i="1"/>
  <c r="N672" i="1" s="1"/>
  <c r="L671" i="1"/>
  <c r="N671" i="1" s="1"/>
  <c r="L670" i="1"/>
  <c r="N670" i="1" s="1"/>
  <c r="L669" i="1"/>
  <c r="N669" i="1" s="1"/>
  <c r="L668" i="1"/>
  <c r="N668" i="1" s="1"/>
  <c r="L667" i="1"/>
  <c r="N667" i="1" s="1"/>
  <c r="L666" i="1"/>
  <c r="N666" i="1" s="1"/>
  <c r="L665" i="1"/>
  <c r="N665" i="1" s="1"/>
  <c r="L664" i="1"/>
  <c r="N664" i="1" s="1"/>
  <c r="O664" i="1" s="1"/>
  <c r="L663" i="1"/>
  <c r="N663" i="1" s="1"/>
  <c r="L662" i="1"/>
  <c r="N662" i="1" s="1"/>
  <c r="L661" i="1"/>
  <c r="N661" i="1" s="1"/>
  <c r="L660" i="1"/>
  <c r="N660" i="1" s="1"/>
  <c r="L659" i="1"/>
  <c r="N659" i="1" s="1"/>
  <c r="L658" i="1"/>
  <c r="N658" i="1" s="1"/>
  <c r="L657" i="1"/>
  <c r="N657" i="1" s="1"/>
  <c r="L656" i="1"/>
  <c r="N656" i="1" s="1"/>
  <c r="L655" i="1"/>
  <c r="N655" i="1" s="1"/>
  <c r="L654" i="1"/>
  <c r="N654" i="1" s="1"/>
  <c r="L653" i="1"/>
  <c r="N653" i="1" s="1"/>
  <c r="L652" i="1"/>
  <c r="N652" i="1" s="1"/>
  <c r="L651" i="1"/>
  <c r="N651" i="1" s="1"/>
  <c r="L650" i="1"/>
  <c r="N650" i="1" s="1"/>
  <c r="L649" i="1"/>
  <c r="N649" i="1" s="1"/>
  <c r="L648" i="1"/>
  <c r="N648" i="1" s="1"/>
  <c r="L647" i="1"/>
  <c r="N647" i="1" s="1"/>
  <c r="L646" i="1"/>
  <c r="N646" i="1" s="1"/>
  <c r="L645" i="1"/>
  <c r="N645" i="1" s="1"/>
  <c r="L644" i="1"/>
  <c r="N644" i="1" s="1"/>
  <c r="L643" i="1"/>
  <c r="N643" i="1" s="1"/>
  <c r="L642" i="1"/>
  <c r="N642" i="1" s="1"/>
  <c r="L641" i="1"/>
  <c r="N641" i="1" s="1"/>
  <c r="L640" i="1"/>
  <c r="N640" i="1" s="1"/>
  <c r="L639" i="1"/>
  <c r="N639" i="1" s="1"/>
  <c r="L638" i="1"/>
  <c r="N638" i="1" s="1"/>
  <c r="L637" i="1"/>
  <c r="N637" i="1" s="1"/>
  <c r="L636" i="1"/>
  <c r="N636" i="1" s="1"/>
  <c r="L635" i="1"/>
  <c r="N635" i="1" s="1"/>
  <c r="L634" i="1"/>
  <c r="N634" i="1" s="1"/>
  <c r="L633" i="1"/>
  <c r="N633" i="1" s="1"/>
  <c r="L632" i="1"/>
  <c r="N632" i="1" s="1"/>
  <c r="L631" i="1"/>
  <c r="N631" i="1" s="1"/>
  <c r="L630" i="1"/>
  <c r="N630" i="1" s="1"/>
  <c r="L629" i="1"/>
  <c r="N629" i="1" s="1"/>
  <c r="L628" i="1"/>
  <c r="N628" i="1" s="1"/>
  <c r="L627" i="1"/>
  <c r="N627" i="1" s="1"/>
  <c r="L626" i="1"/>
  <c r="N626" i="1" s="1"/>
  <c r="L625" i="1"/>
  <c r="N625" i="1" s="1"/>
  <c r="L624" i="1"/>
  <c r="N624" i="1" s="1"/>
  <c r="L623" i="1"/>
  <c r="N623" i="1" s="1"/>
  <c r="L622" i="1"/>
  <c r="N622" i="1" s="1"/>
  <c r="L621" i="1"/>
  <c r="N621" i="1" s="1"/>
  <c r="L620" i="1"/>
  <c r="N620" i="1" s="1"/>
  <c r="L619" i="1"/>
  <c r="N619" i="1" s="1"/>
  <c r="L618" i="1"/>
  <c r="N618" i="1" s="1"/>
  <c r="L617" i="1"/>
  <c r="N617" i="1" s="1"/>
  <c r="L616" i="1"/>
  <c r="N616" i="1" s="1"/>
  <c r="L615" i="1"/>
  <c r="N615" i="1" s="1"/>
  <c r="L614" i="1"/>
  <c r="N614" i="1" s="1"/>
  <c r="L613" i="1"/>
  <c r="N613" i="1" s="1"/>
  <c r="L612" i="1"/>
  <c r="N612" i="1" s="1"/>
  <c r="L611" i="1"/>
  <c r="N611" i="1" s="1"/>
  <c r="L610" i="1"/>
  <c r="N610" i="1" s="1"/>
  <c r="L609" i="1"/>
  <c r="N609" i="1" s="1"/>
  <c r="L608" i="1"/>
  <c r="N608" i="1" s="1"/>
  <c r="L607" i="1"/>
  <c r="N607" i="1" s="1"/>
  <c r="L606" i="1"/>
  <c r="N606" i="1" s="1"/>
  <c r="L605" i="1"/>
  <c r="N605" i="1" s="1"/>
  <c r="L604" i="1"/>
  <c r="N604" i="1" s="1"/>
  <c r="L603" i="1"/>
  <c r="N603" i="1" s="1"/>
  <c r="L602" i="1"/>
  <c r="N602" i="1" s="1"/>
  <c r="L601" i="1"/>
  <c r="N601" i="1" s="1"/>
  <c r="L600" i="1"/>
  <c r="N600" i="1" s="1"/>
  <c r="L599" i="1"/>
  <c r="N599" i="1" s="1"/>
  <c r="L598" i="1"/>
  <c r="N598" i="1" s="1"/>
  <c r="L597" i="1"/>
  <c r="N597" i="1" s="1"/>
  <c r="L596" i="1"/>
  <c r="N596" i="1" s="1"/>
  <c r="L595" i="1"/>
  <c r="N595" i="1" s="1"/>
  <c r="L594" i="1"/>
  <c r="N594" i="1" s="1"/>
  <c r="L593" i="1"/>
  <c r="N593" i="1" s="1"/>
  <c r="L592" i="1"/>
  <c r="N592" i="1" s="1"/>
  <c r="L591" i="1"/>
  <c r="N591" i="1" s="1"/>
  <c r="L590" i="1"/>
  <c r="N590" i="1" s="1"/>
  <c r="L589" i="1"/>
  <c r="N589" i="1" s="1"/>
  <c r="L588" i="1"/>
  <c r="N588" i="1" s="1"/>
  <c r="L587" i="1"/>
  <c r="N587" i="1" s="1"/>
  <c r="L586" i="1"/>
  <c r="N586" i="1" s="1"/>
  <c r="L585" i="1"/>
  <c r="N585" i="1" s="1"/>
  <c r="L584" i="1"/>
  <c r="N584" i="1" s="1"/>
  <c r="L583" i="1"/>
  <c r="N583" i="1" s="1"/>
  <c r="L582" i="1"/>
  <c r="N582" i="1" s="1"/>
  <c r="L581" i="1"/>
  <c r="N581" i="1" s="1"/>
  <c r="L580" i="1"/>
  <c r="N580" i="1" s="1"/>
  <c r="O580" i="1" s="1"/>
  <c r="L579" i="1"/>
  <c r="N579" i="1" s="1"/>
  <c r="L578" i="1"/>
  <c r="N578" i="1" s="1"/>
  <c r="L577" i="1"/>
  <c r="N577" i="1" s="1"/>
  <c r="L576" i="1"/>
  <c r="N576" i="1" s="1"/>
  <c r="L575" i="1"/>
  <c r="N575" i="1" s="1"/>
  <c r="L574" i="1"/>
  <c r="N574" i="1" s="1"/>
  <c r="L573" i="1"/>
  <c r="N573" i="1" s="1"/>
  <c r="L572" i="1"/>
  <c r="N572" i="1" s="1"/>
  <c r="L571" i="1"/>
  <c r="N571" i="1" s="1"/>
  <c r="L570" i="1"/>
  <c r="N570" i="1" s="1"/>
  <c r="L569" i="1"/>
  <c r="N569" i="1" s="1"/>
  <c r="L568" i="1"/>
  <c r="N568" i="1" s="1"/>
  <c r="L567" i="1"/>
  <c r="N567" i="1" s="1"/>
  <c r="L566" i="1"/>
  <c r="N566" i="1" s="1"/>
  <c r="L565" i="1"/>
  <c r="N565" i="1" s="1"/>
  <c r="L564" i="1"/>
  <c r="N564" i="1" s="1"/>
  <c r="L563" i="1"/>
  <c r="N563" i="1" s="1"/>
  <c r="L562" i="1"/>
  <c r="N562" i="1" s="1"/>
  <c r="L561" i="1"/>
  <c r="N561" i="1" s="1"/>
  <c r="L560" i="1"/>
  <c r="N560" i="1" s="1"/>
  <c r="L559" i="1"/>
  <c r="N559" i="1" s="1"/>
  <c r="L558" i="1"/>
  <c r="N558" i="1" s="1"/>
  <c r="L557" i="1"/>
  <c r="N557" i="1" s="1"/>
  <c r="L556" i="1"/>
  <c r="N556" i="1" s="1"/>
  <c r="L555" i="1"/>
  <c r="N555" i="1" s="1"/>
  <c r="L554" i="1"/>
  <c r="N554" i="1" s="1"/>
  <c r="L553" i="1"/>
  <c r="N553" i="1" s="1"/>
  <c r="L552" i="1"/>
  <c r="N552" i="1" s="1"/>
  <c r="L551" i="1"/>
  <c r="N551" i="1" s="1"/>
  <c r="L550" i="1"/>
  <c r="N550" i="1" s="1"/>
  <c r="L549" i="1"/>
  <c r="N549" i="1" s="1"/>
  <c r="L548" i="1"/>
  <c r="N548" i="1" s="1"/>
  <c r="L547" i="1"/>
  <c r="N547" i="1" s="1"/>
  <c r="L546" i="1"/>
  <c r="N546" i="1" s="1"/>
  <c r="L545" i="1"/>
  <c r="N545" i="1" s="1"/>
  <c r="L544" i="1"/>
  <c r="N544" i="1" s="1"/>
  <c r="L543" i="1"/>
  <c r="N543" i="1" s="1"/>
  <c r="L542" i="1"/>
  <c r="N542" i="1" s="1"/>
  <c r="L541" i="1"/>
  <c r="N541" i="1" s="1"/>
  <c r="L540" i="1"/>
  <c r="N540" i="1" s="1"/>
  <c r="L539" i="1"/>
  <c r="N539" i="1" s="1"/>
  <c r="L538" i="1"/>
  <c r="N538" i="1" s="1"/>
  <c r="L537" i="1"/>
  <c r="N537" i="1" s="1"/>
  <c r="L536" i="1"/>
  <c r="N536" i="1" s="1"/>
  <c r="O536" i="1" s="1"/>
  <c r="L535" i="1"/>
  <c r="N535" i="1" s="1"/>
  <c r="L534" i="1"/>
  <c r="N534" i="1" s="1"/>
  <c r="L533" i="1"/>
  <c r="N533" i="1" s="1"/>
  <c r="L532" i="1"/>
  <c r="N532" i="1" s="1"/>
  <c r="L531" i="1"/>
  <c r="N531" i="1" s="1"/>
  <c r="L530" i="1"/>
  <c r="N530" i="1" s="1"/>
  <c r="L529" i="1"/>
  <c r="N529" i="1" s="1"/>
  <c r="L528" i="1"/>
  <c r="N528" i="1" s="1"/>
  <c r="L527" i="1"/>
  <c r="N527" i="1" s="1"/>
  <c r="L526" i="1"/>
  <c r="N526" i="1" s="1"/>
  <c r="L525" i="1"/>
  <c r="N525" i="1" s="1"/>
  <c r="L524" i="1"/>
  <c r="N524" i="1" s="1"/>
  <c r="L523" i="1"/>
  <c r="N523" i="1" s="1"/>
  <c r="L522" i="1"/>
  <c r="N522" i="1" s="1"/>
  <c r="L521" i="1"/>
  <c r="N521" i="1" s="1"/>
  <c r="L520" i="1"/>
  <c r="N520" i="1" s="1"/>
  <c r="L519" i="1"/>
  <c r="N519" i="1" s="1"/>
  <c r="L518" i="1"/>
  <c r="N518" i="1" s="1"/>
  <c r="L517" i="1"/>
  <c r="N517" i="1" s="1"/>
  <c r="L516" i="1"/>
  <c r="N516" i="1" s="1"/>
  <c r="L515" i="1"/>
  <c r="N515" i="1" s="1"/>
  <c r="L514" i="1"/>
  <c r="N514" i="1" s="1"/>
  <c r="L513" i="1"/>
  <c r="N513" i="1" s="1"/>
  <c r="L512" i="1"/>
  <c r="N512" i="1" s="1"/>
  <c r="L511" i="1"/>
  <c r="N511" i="1" s="1"/>
  <c r="L510" i="1"/>
  <c r="N510" i="1" s="1"/>
  <c r="L509" i="1"/>
  <c r="N509" i="1" s="1"/>
  <c r="L508" i="1"/>
  <c r="N508" i="1" s="1"/>
  <c r="L507" i="1"/>
  <c r="N507" i="1" s="1"/>
  <c r="L506" i="1"/>
  <c r="N506" i="1" s="1"/>
  <c r="L505" i="1"/>
  <c r="N505" i="1" s="1"/>
  <c r="L504" i="1"/>
  <c r="N504" i="1" s="1"/>
  <c r="L503" i="1"/>
  <c r="N503" i="1" s="1"/>
  <c r="L502" i="1"/>
  <c r="N502" i="1" s="1"/>
  <c r="L501" i="1"/>
  <c r="N501" i="1" s="1"/>
  <c r="L500" i="1"/>
  <c r="N500" i="1" s="1"/>
  <c r="L499" i="1"/>
  <c r="N499" i="1" s="1"/>
  <c r="L498" i="1"/>
  <c r="N498" i="1" s="1"/>
  <c r="L497" i="1"/>
  <c r="N497" i="1" s="1"/>
  <c r="L496" i="1"/>
  <c r="N496" i="1" s="1"/>
  <c r="L495" i="1"/>
  <c r="N495" i="1" s="1"/>
  <c r="L494" i="1"/>
  <c r="N494" i="1" s="1"/>
  <c r="L493" i="1"/>
  <c r="N493" i="1" s="1"/>
  <c r="L492" i="1"/>
  <c r="N492" i="1" s="1"/>
  <c r="O492" i="1" s="1"/>
  <c r="L491" i="1"/>
  <c r="N491" i="1" s="1"/>
  <c r="L490" i="1"/>
  <c r="N490" i="1" s="1"/>
  <c r="L489" i="1"/>
  <c r="N489" i="1" s="1"/>
  <c r="L488" i="1"/>
  <c r="N488" i="1" s="1"/>
  <c r="L487" i="1"/>
  <c r="N487" i="1" s="1"/>
  <c r="L486" i="1"/>
  <c r="N486" i="1" s="1"/>
  <c r="L485" i="1"/>
  <c r="N485" i="1" s="1"/>
  <c r="L484" i="1"/>
  <c r="N484" i="1" s="1"/>
  <c r="L483" i="1"/>
  <c r="N483" i="1" s="1"/>
  <c r="L482" i="1"/>
  <c r="N482" i="1" s="1"/>
  <c r="L481" i="1"/>
  <c r="N481" i="1" s="1"/>
  <c r="L480" i="1"/>
  <c r="N480" i="1" s="1"/>
  <c r="L479" i="1"/>
  <c r="N479" i="1" s="1"/>
  <c r="L478" i="1"/>
  <c r="N478" i="1" s="1"/>
  <c r="L477" i="1"/>
  <c r="N477" i="1" s="1"/>
  <c r="L476" i="1"/>
  <c r="N476" i="1" s="1"/>
  <c r="L475" i="1"/>
  <c r="N475" i="1" s="1"/>
  <c r="L474" i="1"/>
  <c r="N474" i="1" s="1"/>
  <c r="L473" i="1"/>
  <c r="N473" i="1" s="1"/>
  <c r="L472" i="1"/>
  <c r="N472" i="1" s="1"/>
  <c r="L471" i="1"/>
  <c r="N471" i="1" s="1"/>
  <c r="L470" i="1"/>
  <c r="N470" i="1" s="1"/>
  <c r="L469" i="1"/>
  <c r="N469" i="1" s="1"/>
  <c r="L468" i="1"/>
  <c r="N468" i="1" s="1"/>
  <c r="L467" i="1"/>
  <c r="N467" i="1" s="1"/>
  <c r="L466" i="1"/>
  <c r="N466" i="1" s="1"/>
  <c r="L465" i="1"/>
  <c r="N465" i="1" s="1"/>
  <c r="L464" i="1"/>
  <c r="N464" i="1" s="1"/>
  <c r="L463" i="1"/>
  <c r="N463" i="1" s="1"/>
  <c r="L462" i="1"/>
  <c r="N462" i="1" s="1"/>
  <c r="L461" i="1"/>
  <c r="N461" i="1" s="1"/>
  <c r="L460" i="1"/>
  <c r="N460" i="1" s="1"/>
  <c r="O460" i="1" s="1"/>
  <c r="L459" i="1"/>
  <c r="N459" i="1" s="1"/>
  <c r="L458" i="1"/>
  <c r="N458" i="1" s="1"/>
  <c r="L457" i="1"/>
  <c r="N457" i="1" s="1"/>
  <c r="L456" i="1"/>
  <c r="N456" i="1" s="1"/>
  <c r="L455" i="1"/>
  <c r="N455" i="1" s="1"/>
  <c r="L454" i="1"/>
  <c r="N454" i="1" s="1"/>
  <c r="L453" i="1"/>
  <c r="N453" i="1" s="1"/>
  <c r="L452" i="1"/>
  <c r="N452" i="1" s="1"/>
  <c r="L451" i="1"/>
  <c r="N451" i="1" s="1"/>
  <c r="L450" i="1"/>
  <c r="N450" i="1" s="1"/>
  <c r="L449" i="1"/>
  <c r="N449" i="1" s="1"/>
  <c r="L448" i="1"/>
  <c r="N448" i="1" s="1"/>
  <c r="L447" i="1"/>
  <c r="N447" i="1" s="1"/>
  <c r="L446" i="1"/>
  <c r="N446" i="1" s="1"/>
  <c r="L445" i="1"/>
  <c r="N445" i="1" s="1"/>
  <c r="L444" i="1"/>
  <c r="N444" i="1" s="1"/>
  <c r="L443" i="1"/>
  <c r="N443" i="1" s="1"/>
  <c r="L442" i="1"/>
  <c r="N442" i="1" s="1"/>
  <c r="L441" i="1"/>
  <c r="N441" i="1" s="1"/>
  <c r="L440" i="1"/>
  <c r="N440" i="1" s="1"/>
  <c r="L439" i="1"/>
  <c r="N439" i="1" s="1"/>
  <c r="L438" i="1"/>
  <c r="N438" i="1" s="1"/>
  <c r="L437" i="1"/>
  <c r="N437" i="1" s="1"/>
  <c r="L436" i="1"/>
  <c r="N436" i="1" s="1"/>
  <c r="L435" i="1"/>
  <c r="N435" i="1" s="1"/>
  <c r="L434" i="1"/>
  <c r="N434" i="1" s="1"/>
  <c r="L433" i="1"/>
  <c r="N433" i="1" s="1"/>
  <c r="L432" i="1"/>
  <c r="N432" i="1" s="1"/>
  <c r="L431" i="1"/>
  <c r="N431" i="1" s="1"/>
  <c r="L430" i="1"/>
  <c r="N430" i="1" s="1"/>
  <c r="L429" i="1"/>
  <c r="N429" i="1" s="1"/>
  <c r="L428" i="1"/>
  <c r="N428" i="1" s="1"/>
  <c r="O428" i="1" s="1"/>
  <c r="L427" i="1"/>
  <c r="N427" i="1" s="1"/>
  <c r="L426" i="1"/>
  <c r="N426" i="1" s="1"/>
  <c r="L425" i="1"/>
  <c r="N425" i="1" s="1"/>
  <c r="L424" i="1"/>
  <c r="N424" i="1" s="1"/>
  <c r="L423" i="1"/>
  <c r="N423" i="1" s="1"/>
  <c r="L422" i="1"/>
  <c r="N422" i="1" s="1"/>
  <c r="L421" i="1"/>
  <c r="N421" i="1" s="1"/>
  <c r="L420" i="1"/>
  <c r="N420" i="1" s="1"/>
  <c r="L419" i="1"/>
  <c r="N419" i="1" s="1"/>
  <c r="L418" i="1"/>
  <c r="N418" i="1" s="1"/>
  <c r="L417" i="1"/>
  <c r="N417" i="1" s="1"/>
  <c r="L416" i="1"/>
  <c r="N416" i="1" s="1"/>
  <c r="L415" i="1"/>
  <c r="N415" i="1" s="1"/>
  <c r="L414" i="1"/>
  <c r="N414" i="1" s="1"/>
  <c r="L413" i="1"/>
  <c r="N413" i="1" s="1"/>
  <c r="L412" i="1"/>
  <c r="N412" i="1" s="1"/>
  <c r="L411" i="1"/>
  <c r="N411" i="1" s="1"/>
  <c r="L410" i="1"/>
  <c r="N410" i="1" s="1"/>
  <c r="L409" i="1"/>
  <c r="N409" i="1" s="1"/>
  <c r="L408" i="1"/>
  <c r="N408" i="1" s="1"/>
  <c r="L407" i="1"/>
  <c r="N407" i="1" s="1"/>
  <c r="L406" i="1"/>
  <c r="N406" i="1" s="1"/>
  <c r="L405" i="1"/>
  <c r="N405" i="1" s="1"/>
  <c r="L404" i="1"/>
  <c r="N404" i="1" s="1"/>
  <c r="L403" i="1"/>
  <c r="N403" i="1" s="1"/>
  <c r="L402" i="1"/>
  <c r="N402" i="1" s="1"/>
  <c r="L401" i="1"/>
  <c r="N401" i="1" s="1"/>
  <c r="L400" i="1"/>
  <c r="N400" i="1" s="1"/>
  <c r="L399" i="1"/>
  <c r="N399" i="1" s="1"/>
  <c r="L398" i="1"/>
  <c r="N398" i="1" s="1"/>
  <c r="L397" i="1"/>
  <c r="N397" i="1" s="1"/>
  <c r="L396" i="1"/>
  <c r="N396" i="1" s="1"/>
  <c r="O396" i="1" s="1"/>
  <c r="L395" i="1"/>
  <c r="N395" i="1" s="1"/>
  <c r="L394" i="1"/>
  <c r="N394" i="1" s="1"/>
  <c r="L393" i="1"/>
  <c r="N393" i="1" s="1"/>
  <c r="L392" i="1"/>
  <c r="N392" i="1" s="1"/>
  <c r="L391" i="1"/>
  <c r="N391" i="1" s="1"/>
  <c r="L390" i="1"/>
  <c r="N390" i="1" s="1"/>
  <c r="L389" i="1"/>
  <c r="N389" i="1" s="1"/>
  <c r="L388" i="1"/>
  <c r="N388" i="1" s="1"/>
  <c r="L387" i="1"/>
  <c r="N387" i="1" s="1"/>
  <c r="L386" i="1"/>
  <c r="N386" i="1" s="1"/>
  <c r="L385" i="1"/>
  <c r="N385" i="1" s="1"/>
  <c r="L384" i="1"/>
  <c r="N384" i="1" s="1"/>
  <c r="L383" i="1"/>
  <c r="N383" i="1" s="1"/>
  <c r="L382" i="1"/>
  <c r="N382" i="1" s="1"/>
  <c r="L381" i="1"/>
  <c r="N381" i="1" s="1"/>
  <c r="L380" i="1"/>
  <c r="N380" i="1" s="1"/>
  <c r="L379" i="1"/>
  <c r="N379" i="1" s="1"/>
  <c r="L378" i="1"/>
  <c r="N378" i="1" s="1"/>
  <c r="L377" i="1"/>
  <c r="N377" i="1" s="1"/>
  <c r="L376" i="1"/>
  <c r="N376" i="1" s="1"/>
  <c r="L375" i="1"/>
  <c r="N375" i="1" s="1"/>
  <c r="L374" i="1"/>
  <c r="N374" i="1" s="1"/>
  <c r="L373" i="1"/>
  <c r="N373" i="1" s="1"/>
  <c r="L372" i="1"/>
  <c r="N372" i="1" s="1"/>
  <c r="L371" i="1"/>
  <c r="N371" i="1" s="1"/>
  <c r="L370" i="1"/>
  <c r="N370" i="1" s="1"/>
  <c r="L369" i="1"/>
  <c r="N369" i="1" s="1"/>
  <c r="L368" i="1"/>
  <c r="N368" i="1" s="1"/>
  <c r="L367" i="1"/>
  <c r="N367" i="1" s="1"/>
  <c r="L366" i="1"/>
  <c r="N366" i="1" s="1"/>
  <c r="L365" i="1"/>
  <c r="N365" i="1" s="1"/>
  <c r="L364" i="1"/>
  <c r="N364" i="1" s="1"/>
  <c r="O364" i="1" s="1"/>
  <c r="L363" i="1"/>
  <c r="N363" i="1" s="1"/>
  <c r="L362" i="1"/>
  <c r="N362" i="1" s="1"/>
  <c r="L361" i="1"/>
  <c r="N361" i="1" s="1"/>
  <c r="L360" i="1"/>
  <c r="N360" i="1" s="1"/>
  <c r="L359" i="1"/>
  <c r="N359" i="1" s="1"/>
  <c r="L358" i="1"/>
  <c r="N358" i="1" s="1"/>
  <c r="L357" i="1"/>
  <c r="N357" i="1" s="1"/>
  <c r="L356" i="1"/>
  <c r="N356" i="1" s="1"/>
  <c r="L355" i="1"/>
  <c r="N355" i="1" s="1"/>
  <c r="L354" i="1"/>
  <c r="N354" i="1" s="1"/>
  <c r="L353" i="1"/>
  <c r="N353" i="1" s="1"/>
  <c r="L352" i="1"/>
  <c r="N352" i="1" s="1"/>
  <c r="L351" i="1"/>
  <c r="N351" i="1" s="1"/>
  <c r="L350" i="1"/>
  <c r="N350" i="1" s="1"/>
  <c r="L349" i="1"/>
  <c r="N349" i="1" s="1"/>
  <c r="L348" i="1"/>
  <c r="N348" i="1" s="1"/>
  <c r="L347" i="1"/>
  <c r="N347" i="1" s="1"/>
  <c r="L346" i="1"/>
  <c r="N346" i="1" s="1"/>
  <c r="L345" i="1"/>
  <c r="N345" i="1" s="1"/>
  <c r="L344" i="1"/>
  <c r="N344" i="1" s="1"/>
  <c r="L343" i="1"/>
  <c r="N343" i="1" s="1"/>
  <c r="L342" i="1"/>
  <c r="N342" i="1" s="1"/>
  <c r="L341" i="1"/>
  <c r="N341" i="1" s="1"/>
  <c r="L340" i="1"/>
  <c r="N340" i="1" s="1"/>
  <c r="L339" i="1"/>
  <c r="N339" i="1" s="1"/>
  <c r="L338" i="1"/>
  <c r="N338" i="1" s="1"/>
  <c r="L337" i="1"/>
  <c r="N337" i="1" s="1"/>
  <c r="L336" i="1"/>
  <c r="N336" i="1" s="1"/>
  <c r="L335" i="1"/>
  <c r="N335" i="1" s="1"/>
  <c r="L334" i="1"/>
  <c r="N334" i="1" s="1"/>
  <c r="L333" i="1"/>
  <c r="N333" i="1" s="1"/>
  <c r="L332" i="1"/>
  <c r="N332" i="1" s="1"/>
  <c r="L331" i="1"/>
  <c r="N331" i="1" s="1"/>
  <c r="L330" i="1"/>
  <c r="N330" i="1" s="1"/>
  <c r="L329" i="1"/>
  <c r="N329" i="1" s="1"/>
  <c r="L328" i="1"/>
  <c r="N328" i="1" s="1"/>
  <c r="L327" i="1"/>
  <c r="N327" i="1" s="1"/>
  <c r="L326" i="1"/>
  <c r="N326" i="1" s="1"/>
  <c r="L325" i="1"/>
  <c r="N325" i="1" s="1"/>
  <c r="L324" i="1"/>
  <c r="N324" i="1" s="1"/>
  <c r="L323" i="1"/>
  <c r="N323" i="1" s="1"/>
  <c r="L322" i="1"/>
  <c r="N322" i="1" s="1"/>
  <c r="L321" i="1"/>
  <c r="N321" i="1" s="1"/>
  <c r="L320" i="1"/>
  <c r="N320" i="1" s="1"/>
  <c r="L319" i="1"/>
  <c r="N319" i="1" s="1"/>
  <c r="L318" i="1"/>
  <c r="N318" i="1" s="1"/>
  <c r="L317" i="1"/>
  <c r="N317" i="1" s="1"/>
  <c r="L316" i="1"/>
  <c r="N316" i="1" s="1"/>
  <c r="L315" i="1"/>
  <c r="N315" i="1" s="1"/>
  <c r="L314" i="1"/>
  <c r="N314" i="1" s="1"/>
  <c r="L313" i="1"/>
  <c r="N313" i="1" s="1"/>
  <c r="L312" i="1"/>
  <c r="N312" i="1" s="1"/>
  <c r="L311" i="1"/>
  <c r="N311" i="1" s="1"/>
  <c r="L310" i="1"/>
  <c r="N310" i="1" s="1"/>
  <c r="L309" i="1"/>
  <c r="N309" i="1" s="1"/>
  <c r="L308" i="1"/>
  <c r="N308" i="1" s="1"/>
  <c r="L307" i="1"/>
  <c r="N307" i="1" s="1"/>
  <c r="L306" i="1"/>
  <c r="N306" i="1" s="1"/>
  <c r="L305" i="1"/>
  <c r="N305" i="1" s="1"/>
  <c r="L304" i="1"/>
  <c r="N304" i="1" s="1"/>
  <c r="L303" i="1"/>
  <c r="N303" i="1" s="1"/>
  <c r="L302" i="1"/>
  <c r="N302" i="1" s="1"/>
  <c r="L301" i="1"/>
  <c r="N301" i="1" s="1"/>
  <c r="L300" i="1"/>
  <c r="N300" i="1" s="1"/>
  <c r="L299" i="1"/>
  <c r="N299" i="1" s="1"/>
  <c r="L298" i="1"/>
  <c r="N298" i="1" s="1"/>
  <c r="L297" i="1"/>
  <c r="N297" i="1" s="1"/>
  <c r="L296" i="1"/>
  <c r="N296" i="1" s="1"/>
  <c r="L295" i="1"/>
  <c r="N295" i="1" s="1"/>
  <c r="L294" i="1"/>
  <c r="N294" i="1" s="1"/>
  <c r="L293" i="1"/>
  <c r="N293" i="1" s="1"/>
  <c r="L292" i="1"/>
  <c r="N292" i="1" s="1"/>
  <c r="L291" i="1"/>
  <c r="N291" i="1" s="1"/>
  <c r="L290" i="1"/>
  <c r="N290" i="1" s="1"/>
  <c r="L289" i="1"/>
  <c r="N289" i="1" s="1"/>
  <c r="L288" i="1"/>
  <c r="N288" i="1" s="1"/>
  <c r="L287" i="1"/>
  <c r="N287" i="1" s="1"/>
  <c r="L286" i="1"/>
  <c r="N286" i="1" s="1"/>
  <c r="L285" i="1"/>
  <c r="N285" i="1" s="1"/>
  <c r="L284" i="1"/>
  <c r="N284" i="1" s="1"/>
  <c r="L283" i="1"/>
  <c r="N283" i="1" s="1"/>
  <c r="L282" i="1"/>
  <c r="N282" i="1" s="1"/>
  <c r="L281" i="1"/>
  <c r="N281" i="1" s="1"/>
  <c r="L280" i="1"/>
  <c r="N280" i="1" s="1"/>
  <c r="L279" i="1"/>
  <c r="N279" i="1" s="1"/>
  <c r="L278" i="1"/>
  <c r="N278" i="1" s="1"/>
  <c r="L277" i="1"/>
  <c r="N277" i="1" s="1"/>
  <c r="L276" i="1"/>
  <c r="N276" i="1" s="1"/>
  <c r="L275" i="1"/>
  <c r="N275" i="1" s="1"/>
  <c r="L274" i="1"/>
  <c r="N274" i="1" s="1"/>
  <c r="L273" i="1"/>
  <c r="N273" i="1" s="1"/>
  <c r="L272" i="1"/>
  <c r="N272" i="1" s="1"/>
  <c r="L271" i="1"/>
  <c r="N271" i="1" s="1"/>
  <c r="L270" i="1"/>
  <c r="N270" i="1" s="1"/>
  <c r="L269" i="1"/>
  <c r="N269" i="1" s="1"/>
  <c r="L268" i="1"/>
  <c r="N268" i="1" s="1"/>
  <c r="L267" i="1"/>
  <c r="N267" i="1" s="1"/>
  <c r="L266" i="1"/>
  <c r="N266" i="1" s="1"/>
  <c r="L265" i="1"/>
  <c r="N265" i="1" s="1"/>
  <c r="L264" i="1"/>
  <c r="N264" i="1" s="1"/>
  <c r="L263" i="1"/>
  <c r="N263" i="1" s="1"/>
  <c r="L262" i="1"/>
  <c r="N262" i="1" s="1"/>
  <c r="L261" i="1"/>
  <c r="N261" i="1" s="1"/>
  <c r="L260" i="1"/>
  <c r="N260" i="1" s="1"/>
  <c r="L259" i="1"/>
  <c r="N259" i="1" s="1"/>
  <c r="L258" i="1"/>
  <c r="N258" i="1" s="1"/>
  <c r="L257" i="1"/>
  <c r="N257" i="1" s="1"/>
  <c r="L256" i="1"/>
  <c r="N256" i="1" s="1"/>
  <c r="L255" i="1"/>
  <c r="N255" i="1" s="1"/>
  <c r="L254" i="1"/>
  <c r="N254" i="1" s="1"/>
  <c r="L253" i="1"/>
  <c r="N253" i="1" s="1"/>
  <c r="L252" i="1"/>
  <c r="N252" i="1" s="1"/>
  <c r="L251" i="1"/>
  <c r="N251" i="1" s="1"/>
  <c r="L250" i="1"/>
  <c r="N250" i="1" s="1"/>
  <c r="L249" i="1"/>
  <c r="N249" i="1" s="1"/>
  <c r="L248" i="1"/>
  <c r="N248" i="1" s="1"/>
  <c r="L247" i="1"/>
  <c r="N247" i="1" s="1"/>
  <c r="L246" i="1"/>
  <c r="N246" i="1" s="1"/>
  <c r="L245" i="1"/>
  <c r="N245" i="1" s="1"/>
  <c r="L244" i="1"/>
  <c r="N244" i="1" s="1"/>
  <c r="L243" i="1"/>
  <c r="N243" i="1" s="1"/>
  <c r="L242" i="1"/>
  <c r="N242" i="1" s="1"/>
  <c r="L241" i="1"/>
  <c r="N241" i="1" s="1"/>
  <c r="L240" i="1"/>
  <c r="N240" i="1" s="1"/>
  <c r="L239" i="1"/>
  <c r="N239" i="1" s="1"/>
  <c r="L238" i="1"/>
  <c r="N238" i="1" s="1"/>
  <c r="L237" i="1"/>
  <c r="N237" i="1" s="1"/>
  <c r="L236" i="1"/>
  <c r="N236" i="1" s="1"/>
  <c r="L235" i="1"/>
  <c r="N235" i="1" s="1"/>
  <c r="L234" i="1"/>
  <c r="N234" i="1" s="1"/>
  <c r="L233" i="1"/>
  <c r="N233" i="1" s="1"/>
  <c r="L232" i="1"/>
  <c r="N232" i="1" s="1"/>
  <c r="L231" i="1"/>
  <c r="N231" i="1" s="1"/>
  <c r="L230" i="1"/>
  <c r="N230" i="1" s="1"/>
  <c r="L229" i="1"/>
  <c r="N229" i="1" s="1"/>
  <c r="L228" i="1"/>
  <c r="N228" i="1" s="1"/>
  <c r="L227" i="1"/>
  <c r="N227" i="1" s="1"/>
  <c r="L226" i="1"/>
  <c r="N226" i="1" s="1"/>
  <c r="L225" i="1"/>
  <c r="N225" i="1" s="1"/>
  <c r="L224" i="1"/>
  <c r="N224" i="1" s="1"/>
  <c r="L223" i="1"/>
  <c r="N223" i="1" s="1"/>
  <c r="L222" i="1"/>
  <c r="N222" i="1" s="1"/>
  <c r="L221" i="1"/>
  <c r="N221" i="1" s="1"/>
  <c r="L220" i="1"/>
  <c r="N220" i="1" s="1"/>
  <c r="L219" i="1"/>
  <c r="N219" i="1" s="1"/>
  <c r="L218" i="1"/>
  <c r="N218" i="1" s="1"/>
  <c r="L217" i="1"/>
  <c r="N217" i="1" s="1"/>
  <c r="L216" i="1"/>
  <c r="N216" i="1" s="1"/>
  <c r="L215" i="1"/>
  <c r="N215" i="1" s="1"/>
  <c r="L214" i="1"/>
  <c r="N214" i="1" s="1"/>
  <c r="L213" i="1"/>
  <c r="N213" i="1" s="1"/>
  <c r="L212" i="1"/>
  <c r="N212" i="1" s="1"/>
  <c r="L211" i="1"/>
  <c r="N211" i="1" s="1"/>
  <c r="L210" i="1"/>
  <c r="N210" i="1" s="1"/>
  <c r="L209" i="1"/>
  <c r="N209" i="1" s="1"/>
  <c r="L208" i="1"/>
  <c r="N208" i="1" s="1"/>
  <c r="L207" i="1"/>
  <c r="N207" i="1" s="1"/>
  <c r="L206" i="1"/>
  <c r="N206" i="1" s="1"/>
  <c r="L205" i="1"/>
  <c r="N205" i="1" s="1"/>
  <c r="L204" i="1"/>
  <c r="N204" i="1" s="1"/>
  <c r="L203" i="1"/>
  <c r="N203" i="1" s="1"/>
  <c r="L202" i="1"/>
  <c r="N202" i="1" s="1"/>
  <c r="L201" i="1"/>
  <c r="N201" i="1" s="1"/>
  <c r="L200" i="1"/>
  <c r="N200" i="1" s="1"/>
  <c r="L199" i="1"/>
  <c r="N199" i="1" s="1"/>
  <c r="L198" i="1"/>
  <c r="N198" i="1" s="1"/>
  <c r="L197" i="1"/>
  <c r="N197" i="1" s="1"/>
  <c r="L196" i="1"/>
  <c r="N196" i="1" s="1"/>
  <c r="L195" i="1"/>
  <c r="N195" i="1" s="1"/>
  <c r="L194" i="1"/>
  <c r="N194" i="1" s="1"/>
  <c r="L193" i="1"/>
  <c r="N193" i="1" s="1"/>
  <c r="L192" i="1"/>
  <c r="N192" i="1" s="1"/>
  <c r="L191" i="1"/>
  <c r="N191" i="1" s="1"/>
  <c r="L190" i="1"/>
  <c r="N190" i="1" s="1"/>
  <c r="L189" i="1"/>
  <c r="N189" i="1" s="1"/>
  <c r="L188" i="1"/>
  <c r="N188" i="1" s="1"/>
  <c r="L187" i="1"/>
  <c r="N187" i="1" s="1"/>
  <c r="L186" i="1"/>
  <c r="N186" i="1" s="1"/>
  <c r="L185" i="1"/>
  <c r="N185" i="1" s="1"/>
  <c r="L184" i="1"/>
  <c r="N184" i="1" s="1"/>
  <c r="L183" i="1"/>
  <c r="N183" i="1" s="1"/>
  <c r="L182" i="1"/>
  <c r="N182" i="1" s="1"/>
  <c r="L181" i="1"/>
  <c r="N181" i="1" s="1"/>
  <c r="L180" i="1"/>
  <c r="N180" i="1" s="1"/>
  <c r="L179" i="1"/>
  <c r="N179" i="1" s="1"/>
  <c r="L178" i="1"/>
  <c r="N178" i="1" s="1"/>
  <c r="L177" i="1"/>
  <c r="N177" i="1" s="1"/>
  <c r="L176" i="1"/>
  <c r="N176" i="1" s="1"/>
  <c r="L175" i="1"/>
  <c r="N175" i="1" s="1"/>
  <c r="L174" i="1"/>
  <c r="N174" i="1" s="1"/>
  <c r="L173" i="1"/>
  <c r="N173" i="1" s="1"/>
  <c r="L172" i="1"/>
  <c r="N172" i="1" s="1"/>
  <c r="L171" i="1"/>
  <c r="N171" i="1" s="1"/>
  <c r="L170" i="1"/>
  <c r="N170" i="1" s="1"/>
  <c r="L169" i="1"/>
  <c r="N169" i="1" s="1"/>
  <c r="L168" i="1"/>
  <c r="N168" i="1" s="1"/>
  <c r="L167" i="1"/>
  <c r="N167" i="1" s="1"/>
  <c r="L166" i="1"/>
  <c r="N166" i="1" s="1"/>
  <c r="L165" i="1"/>
  <c r="N165" i="1" s="1"/>
  <c r="L164" i="1"/>
  <c r="N164" i="1" s="1"/>
  <c r="L163" i="1"/>
  <c r="N163" i="1" s="1"/>
  <c r="L162" i="1"/>
  <c r="N162" i="1" s="1"/>
  <c r="L161" i="1"/>
  <c r="N161" i="1" s="1"/>
  <c r="L160" i="1"/>
  <c r="N160" i="1" s="1"/>
  <c r="L159" i="1"/>
  <c r="N159" i="1" s="1"/>
  <c r="L158" i="1"/>
  <c r="N158" i="1" s="1"/>
  <c r="L157" i="1"/>
  <c r="N157" i="1" s="1"/>
  <c r="L156" i="1"/>
  <c r="N156" i="1" s="1"/>
  <c r="L155" i="1"/>
  <c r="N155" i="1" s="1"/>
  <c r="L154" i="1"/>
  <c r="N154" i="1" s="1"/>
  <c r="L153" i="1"/>
  <c r="N153" i="1" s="1"/>
  <c r="L152" i="1"/>
  <c r="N152" i="1" s="1"/>
  <c r="L151" i="1"/>
  <c r="N151" i="1" s="1"/>
  <c r="L150" i="1"/>
  <c r="N150" i="1" s="1"/>
  <c r="L149" i="1"/>
  <c r="N149" i="1" s="1"/>
  <c r="L148" i="1"/>
  <c r="N148" i="1" s="1"/>
  <c r="L147" i="1"/>
  <c r="N147" i="1" s="1"/>
  <c r="L146" i="1"/>
  <c r="N146" i="1" s="1"/>
  <c r="L145" i="1"/>
  <c r="N145" i="1" s="1"/>
  <c r="L144" i="1"/>
  <c r="N144" i="1" s="1"/>
  <c r="L143" i="1"/>
  <c r="N143" i="1" s="1"/>
  <c r="L142" i="1"/>
  <c r="N142" i="1" s="1"/>
  <c r="L141" i="1"/>
  <c r="N141" i="1" s="1"/>
  <c r="L140" i="1"/>
  <c r="N140" i="1" s="1"/>
  <c r="L139" i="1"/>
  <c r="N139" i="1" s="1"/>
  <c r="L138" i="1"/>
  <c r="N138" i="1" s="1"/>
  <c r="L137" i="1"/>
  <c r="N137" i="1" s="1"/>
  <c r="L136" i="1"/>
  <c r="N136" i="1" s="1"/>
  <c r="L135" i="1"/>
  <c r="N135" i="1" s="1"/>
  <c r="L134" i="1"/>
  <c r="N134" i="1" s="1"/>
  <c r="L133" i="1"/>
  <c r="N133" i="1" s="1"/>
  <c r="L132" i="1"/>
  <c r="N132" i="1" s="1"/>
  <c r="L131" i="1"/>
  <c r="N131" i="1" s="1"/>
  <c r="L130" i="1"/>
  <c r="N130" i="1" s="1"/>
  <c r="L129" i="1"/>
  <c r="N129" i="1" s="1"/>
  <c r="L128" i="1"/>
  <c r="N128" i="1" s="1"/>
  <c r="L127" i="1"/>
  <c r="N127" i="1" s="1"/>
  <c r="L126" i="1"/>
  <c r="N126" i="1" s="1"/>
  <c r="L125" i="1"/>
  <c r="N125" i="1" s="1"/>
  <c r="L124" i="1"/>
  <c r="N124" i="1" s="1"/>
  <c r="L123" i="1"/>
  <c r="N123" i="1" s="1"/>
  <c r="L122" i="1"/>
  <c r="N122" i="1" s="1"/>
  <c r="L121" i="1"/>
  <c r="N121" i="1" s="1"/>
  <c r="L120" i="1"/>
  <c r="N120" i="1" s="1"/>
  <c r="L119" i="1"/>
  <c r="N119" i="1" s="1"/>
  <c r="L118" i="1"/>
  <c r="N118" i="1" s="1"/>
  <c r="L117" i="1"/>
  <c r="N117" i="1" s="1"/>
  <c r="L116" i="1"/>
  <c r="N116" i="1" s="1"/>
  <c r="L115" i="1"/>
  <c r="N115" i="1" s="1"/>
  <c r="L114" i="1"/>
  <c r="N114" i="1" s="1"/>
  <c r="L113" i="1"/>
  <c r="N113" i="1" s="1"/>
  <c r="L112" i="1"/>
  <c r="N112" i="1" s="1"/>
  <c r="L111" i="1"/>
  <c r="N111" i="1" s="1"/>
  <c r="L110" i="1"/>
  <c r="N110" i="1" s="1"/>
  <c r="L109" i="1"/>
  <c r="N109" i="1" s="1"/>
  <c r="L108" i="1"/>
  <c r="N108" i="1" s="1"/>
  <c r="L107" i="1"/>
  <c r="N107" i="1" s="1"/>
  <c r="L106" i="1"/>
  <c r="N106" i="1" s="1"/>
  <c r="L105" i="1"/>
  <c r="N105" i="1" s="1"/>
  <c r="L104" i="1"/>
  <c r="N104" i="1" s="1"/>
  <c r="L103" i="1"/>
  <c r="N103" i="1" s="1"/>
  <c r="L102" i="1"/>
  <c r="N102" i="1" s="1"/>
  <c r="L101" i="1"/>
  <c r="N101" i="1" s="1"/>
  <c r="L100" i="1"/>
  <c r="N100" i="1" s="1"/>
  <c r="L99" i="1"/>
  <c r="N99" i="1" s="1"/>
  <c r="L98" i="1"/>
  <c r="N98" i="1" s="1"/>
  <c r="L97" i="1"/>
  <c r="N97" i="1" s="1"/>
  <c r="L96" i="1"/>
  <c r="N96" i="1" s="1"/>
  <c r="L95" i="1"/>
  <c r="N95" i="1" s="1"/>
  <c r="L94" i="1"/>
  <c r="N94" i="1" s="1"/>
  <c r="L93" i="1"/>
  <c r="N93" i="1" s="1"/>
  <c r="L92" i="1"/>
  <c r="N92" i="1" s="1"/>
  <c r="L91" i="1"/>
  <c r="N91" i="1" s="1"/>
  <c r="L90" i="1"/>
  <c r="N90" i="1" s="1"/>
  <c r="L89" i="1"/>
  <c r="N89" i="1" s="1"/>
  <c r="L88" i="1"/>
  <c r="N88" i="1" s="1"/>
  <c r="L87" i="1"/>
  <c r="N87" i="1" s="1"/>
  <c r="L86" i="1"/>
  <c r="N86" i="1" s="1"/>
  <c r="L85" i="1"/>
  <c r="N85" i="1" s="1"/>
  <c r="L84" i="1"/>
  <c r="N84" i="1" s="1"/>
  <c r="L83" i="1"/>
  <c r="N83" i="1" s="1"/>
  <c r="L82" i="1"/>
  <c r="N82" i="1" s="1"/>
  <c r="L81" i="1"/>
  <c r="N81" i="1" s="1"/>
  <c r="L80" i="1"/>
  <c r="N80" i="1" s="1"/>
  <c r="L79" i="1"/>
  <c r="N79" i="1" s="1"/>
  <c r="L78" i="1"/>
  <c r="N78" i="1" s="1"/>
  <c r="L77" i="1"/>
  <c r="N77" i="1" s="1"/>
  <c r="L76" i="1"/>
  <c r="N76" i="1" s="1"/>
  <c r="L75" i="1"/>
  <c r="N75" i="1" s="1"/>
  <c r="L74" i="1"/>
  <c r="N74" i="1" s="1"/>
  <c r="L73" i="1"/>
  <c r="N73" i="1" s="1"/>
  <c r="L72" i="1"/>
  <c r="N72" i="1" s="1"/>
  <c r="L71" i="1"/>
  <c r="N71" i="1" s="1"/>
  <c r="L70" i="1"/>
  <c r="N70" i="1" s="1"/>
  <c r="L69" i="1"/>
  <c r="N69" i="1" s="1"/>
  <c r="L68" i="1"/>
  <c r="N68" i="1" s="1"/>
  <c r="L67" i="1"/>
  <c r="N67" i="1" s="1"/>
  <c r="L66" i="1"/>
  <c r="N66" i="1" s="1"/>
  <c r="L65" i="1"/>
  <c r="N65" i="1" s="1"/>
  <c r="L64" i="1"/>
  <c r="N64" i="1" s="1"/>
  <c r="L63" i="1"/>
  <c r="N63" i="1" s="1"/>
  <c r="L62" i="1"/>
  <c r="N62" i="1" s="1"/>
  <c r="L61" i="1"/>
  <c r="N61" i="1" s="1"/>
  <c r="L60" i="1"/>
  <c r="N60" i="1" s="1"/>
  <c r="L59" i="1"/>
  <c r="N59" i="1" s="1"/>
  <c r="L58" i="1"/>
  <c r="N58" i="1" s="1"/>
  <c r="L57" i="1"/>
  <c r="N57" i="1" s="1"/>
  <c r="L56" i="1"/>
  <c r="N56" i="1" s="1"/>
  <c r="L55" i="1"/>
  <c r="N55" i="1" s="1"/>
  <c r="L54" i="1"/>
  <c r="N54" i="1" s="1"/>
  <c r="L53" i="1"/>
  <c r="N53" i="1" s="1"/>
  <c r="L52" i="1"/>
  <c r="N52" i="1" s="1"/>
  <c r="L51" i="1"/>
  <c r="N51" i="1" s="1"/>
  <c r="L50" i="1"/>
  <c r="N50" i="1" s="1"/>
  <c r="L49" i="1"/>
  <c r="N49" i="1" s="1"/>
  <c r="L48" i="1"/>
  <c r="N48" i="1" s="1"/>
  <c r="L47" i="1"/>
  <c r="N47" i="1" s="1"/>
  <c r="L46" i="1"/>
  <c r="N46" i="1" s="1"/>
  <c r="L45" i="1"/>
  <c r="N45" i="1" s="1"/>
  <c r="L44" i="1"/>
  <c r="N44" i="1" s="1"/>
  <c r="L43" i="1"/>
  <c r="N43" i="1" s="1"/>
  <c r="L42" i="1"/>
  <c r="N42" i="1" s="1"/>
  <c r="L41" i="1"/>
  <c r="N41" i="1" s="1"/>
  <c r="L40" i="1"/>
  <c r="N40" i="1" s="1"/>
  <c r="L39" i="1"/>
  <c r="N39" i="1" s="1"/>
  <c r="L38" i="1"/>
  <c r="N38" i="1" s="1"/>
  <c r="L37" i="1"/>
  <c r="N37" i="1" s="1"/>
  <c r="L36" i="1"/>
  <c r="N36"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1" i="1"/>
  <c r="N21" i="1" s="1"/>
  <c r="L20" i="1"/>
  <c r="N20" i="1" s="1"/>
  <c r="L19" i="1"/>
  <c r="N19" i="1" s="1"/>
  <c r="L18" i="1"/>
  <c r="N18" i="1" s="1"/>
  <c r="L17" i="1"/>
  <c r="N17" i="1" s="1"/>
  <c r="L16" i="1"/>
  <c r="N16" i="1" s="1"/>
  <c r="L15" i="1"/>
  <c r="N15" i="1" s="1"/>
  <c r="L14" i="1"/>
  <c r="N14" i="1" s="1"/>
  <c r="L13" i="1"/>
  <c r="N13" i="1" s="1"/>
  <c r="L12" i="1"/>
  <c r="N12" i="1" s="1"/>
  <c r="L11" i="1"/>
  <c r="N11" i="1" s="1"/>
  <c r="L10" i="1"/>
  <c r="N10" i="1" s="1"/>
  <c r="L9" i="1"/>
  <c r="N9" i="1" s="1"/>
  <c r="L8" i="1"/>
  <c r="N8" i="1" s="1"/>
  <c r="L7" i="1"/>
  <c r="N7" i="1" s="1"/>
  <c r="L6" i="1"/>
  <c r="N6" i="1" s="1"/>
  <c r="L5" i="1"/>
  <c r="N5" i="1" s="1"/>
  <c r="L4" i="1"/>
  <c r="N4" i="1" s="1"/>
  <c r="L3" i="1"/>
  <c r="N3" i="1" s="1"/>
  <c r="L2" i="1"/>
  <c r="N2" i="1" s="1"/>
  <c r="O65" i="1" l="1"/>
  <c r="O193" i="1"/>
  <c r="O257" i="1"/>
  <c r="O537" i="1"/>
  <c r="O621" i="1"/>
  <c r="O665" i="1"/>
  <c r="O749" i="1"/>
  <c r="O793" i="1"/>
  <c r="O1141" i="1"/>
  <c r="O1161" i="1"/>
  <c r="O1205" i="1"/>
  <c r="O1269" i="1"/>
  <c r="O1397" i="1"/>
  <c r="O2099" i="1"/>
  <c r="O2095" i="1"/>
  <c r="O2091" i="1"/>
  <c r="O2087" i="1"/>
  <c r="O129" i="1"/>
  <c r="O1890" i="1"/>
  <c r="O1634" i="1"/>
  <c r="O1333" i="1"/>
  <c r="O1504" i="1"/>
  <c r="O2083" i="1"/>
  <c r="O2079" i="1"/>
  <c r="O2075" i="1"/>
  <c r="O2071" i="1"/>
  <c r="O2067" i="1"/>
  <c r="O2063" i="1"/>
  <c r="O2059" i="1"/>
  <c r="O2055" i="1"/>
  <c r="O2051" i="1"/>
  <c r="O2047" i="1"/>
  <c r="O2043" i="1"/>
  <c r="O2039" i="1"/>
  <c r="O2035" i="1"/>
  <c r="O2031" i="1"/>
  <c r="O2027" i="1"/>
  <c r="O2023" i="1"/>
  <c r="O2019" i="1"/>
  <c r="O2015" i="1"/>
  <c r="O2011" i="1"/>
  <c r="O2007" i="1"/>
  <c r="O2003" i="1"/>
  <c r="O1999" i="1"/>
  <c r="O1995" i="1"/>
  <c r="O1991" i="1"/>
  <c r="O1987" i="1"/>
  <c r="O1983" i="1"/>
  <c r="O1979" i="1"/>
  <c r="O1975" i="1"/>
  <c r="O1971" i="1"/>
  <c r="O1967" i="1"/>
  <c r="O1963" i="1"/>
  <c r="O1959" i="1"/>
  <c r="O1955" i="1"/>
  <c r="O1951" i="1"/>
  <c r="O1947" i="1"/>
  <c r="O1943" i="1"/>
  <c r="O1939" i="1"/>
  <c r="O1935" i="1"/>
  <c r="O1931" i="1"/>
  <c r="O1927" i="1"/>
  <c r="O1923" i="1"/>
  <c r="O1919" i="1"/>
  <c r="O1915" i="1"/>
  <c r="O1911" i="1"/>
  <c r="O1907" i="1"/>
  <c r="O1903" i="1"/>
  <c r="O1899" i="1"/>
  <c r="O1895" i="1"/>
  <c r="O1891" i="1"/>
  <c r="O1887" i="1"/>
  <c r="O1883" i="1"/>
  <c r="O1879" i="1"/>
  <c r="O1875" i="1"/>
  <c r="O1871" i="1"/>
  <c r="O1867" i="1"/>
  <c r="O1863" i="1"/>
  <c r="O1859" i="1"/>
  <c r="O1855" i="1"/>
  <c r="O1851" i="1"/>
  <c r="O1847" i="1"/>
  <c r="O1843" i="1"/>
  <c r="O1839" i="1"/>
  <c r="O1835" i="1"/>
  <c r="O1831" i="1"/>
  <c r="O1827" i="1"/>
  <c r="O1823" i="1"/>
  <c r="O1819" i="1"/>
  <c r="O1815" i="1"/>
  <c r="O1811" i="1"/>
  <c r="O1807" i="1"/>
  <c r="O1803" i="1"/>
  <c r="O1799" i="1"/>
  <c r="O1795" i="1"/>
  <c r="O1791" i="1"/>
  <c r="O1787" i="1"/>
  <c r="O1783" i="1"/>
  <c r="O1779" i="1"/>
  <c r="O1775" i="1"/>
  <c r="O1771" i="1"/>
  <c r="O1767" i="1"/>
  <c r="O1763" i="1"/>
  <c r="O1759" i="1"/>
  <c r="O1419" i="1"/>
  <c r="O1163" i="1"/>
  <c r="O2082" i="1"/>
  <c r="O2018" i="1"/>
  <c r="O1954" i="1"/>
  <c r="O1826" i="1"/>
  <c r="O1762" i="1"/>
  <c r="O1698" i="1"/>
  <c r="O1570" i="1"/>
  <c r="O623" i="1"/>
  <c r="O1755" i="1"/>
  <c r="O1751" i="1"/>
  <c r="O1747" i="1"/>
  <c r="O1743" i="1"/>
  <c r="O1739" i="1"/>
  <c r="O1735" i="1"/>
  <c r="O1731" i="1"/>
  <c r="O1727" i="1"/>
  <c r="O1723" i="1"/>
  <c r="O1719" i="1"/>
  <c r="O1715" i="1"/>
  <c r="O1711" i="1"/>
  <c r="O1707" i="1"/>
  <c r="O1703" i="1"/>
  <c r="O1699" i="1"/>
  <c r="O1695" i="1"/>
  <c r="O1691" i="1"/>
  <c r="O1687" i="1"/>
  <c r="O1683" i="1"/>
  <c r="O1679" i="1"/>
  <c r="O1675" i="1"/>
  <c r="O1671" i="1"/>
  <c r="O1667" i="1"/>
  <c r="O1663" i="1"/>
  <c r="O1659" i="1"/>
  <c r="O1655" i="1"/>
  <c r="O1651" i="1"/>
  <c r="O1647" i="1"/>
  <c r="O1643" i="1"/>
  <c r="O1639" i="1"/>
  <c r="O1635" i="1"/>
  <c r="O1631" i="1"/>
  <c r="O1627" i="1"/>
  <c r="O1623" i="1"/>
  <c r="O1619" i="1"/>
  <c r="O1615" i="1"/>
  <c r="O1611" i="1"/>
  <c r="O1607" i="1"/>
  <c r="O1603" i="1"/>
  <c r="O1599" i="1"/>
  <c r="O1595" i="1"/>
  <c r="O1591" i="1"/>
  <c r="O1587" i="1"/>
  <c r="O1583" i="1"/>
  <c r="O1579" i="1"/>
  <c r="O1575" i="1"/>
  <c r="O1571" i="1"/>
  <c r="O1567" i="1"/>
  <c r="O1563" i="1"/>
  <c r="O1559" i="1"/>
  <c r="O1555" i="1"/>
  <c r="O1551" i="1"/>
  <c r="O1547" i="1"/>
  <c r="O1543" i="1"/>
  <c r="O1539" i="1"/>
  <c r="O1535" i="1"/>
  <c r="O1531" i="1"/>
  <c r="O1527" i="1"/>
  <c r="O1523" i="1"/>
  <c r="O1519" i="1"/>
  <c r="O1515" i="1"/>
  <c r="O1511" i="1"/>
  <c r="O1507" i="1"/>
  <c r="O1503" i="1"/>
  <c r="O1499" i="1"/>
  <c r="O1495" i="1"/>
  <c r="O1491" i="1"/>
  <c r="O1487" i="1"/>
  <c r="O1483" i="1"/>
  <c r="O1479" i="1"/>
  <c r="O1475" i="1"/>
  <c r="O1471" i="1"/>
  <c r="O1467" i="1"/>
  <c r="O1463" i="1"/>
  <c r="O1459" i="1"/>
  <c r="O1455" i="1"/>
  <c r="O1451" i="1"/>
  <c r="O1447" i="1"/>
  <c r="O1443" i="1"/>
  <c r="O1439" i="1"/>
  <c r="O1435" i="1"/>
  <c r="O1431" i="1"/>
  <c r="O1427" i="1"/>
  <c r="O1423" i="1"/>
  <c r="O1415" i="1"/>
  <c r="O1411" i="1"/>
  <c r="O1407" i="1"/>
  <c r="O1403" i="1"/>
  <c r="O1399" i="1"/>
  <c r="O1395" i="1"/>
  <c r="O1391" i="1"/>
  <c r="O1387" i="1"/>
  <c r="O1383" i="1"/>
  <c r="O1379" i="1"/>
  <c r="O1375" i="1"/>
  <c r="O1371" i="1"/>
  <c r="O1367" i="1"/>
  <c r="O1363" i="1"/>
  <c r="O1359" i="1"/>
  <c r="O1355" i="1"/>
  <c r="O1351" i="1"/>
  <c r="O1347" i="1"/>
  <c r="O1343" i="1"/>
  <c r="O1339" i="1"/>
  <c r="O1335" i="1"/>
  <c r="O1331" i="1"/>
  <c r="O1327" i="1"/>
  <c r="O1323" i="1"/>
  <c r="O1319" i="1"/>
  <c r="O1315" i="1"/>
  <c r="O1311" i="1"/>
  <c r="O1307" i="1"/>
  <c r="O1303" i="1"/>
  <c r="O1299" i="1"/>
  <c r="O1295" i="1"/>
  <c r="O1291" i="1"/>
  <c r="O1287" i="1"/>
  <c r="O1283" i="1"/>
  <c r="O1279" i="1"/>
  <c r="O1275" i="1"/>
  <c r="O1271" i="1"/>
  <c r="O1267" i="1"/>
  <c r="O1263" i="1"/>
  <c r="O1259" i="1"/>
  <c r="O1255" i="1"/>
  <c r="O1251" i="1"/>
  <c r="O1247" i="1"/>
  <c r="O1243" i="1"/>
  <c r="O1239" i="1"/>
  <c r="O1235" i="1"/>
  <c r="O1231" i="1"/>
  <c r="O1227" i="1"/>
  <c r="O1223" i="1"/>
  <c r="O1219" i="1"/>
  <c r="O1215" i="1"/>
  <c r="O1211" i="1"/>
  <c r="O1207" i="1"/>
  <c r="O1203" i="1"/>
  <c r="O1199" i="1"/>
  <c r="O1195" i="1"/>
  <c r="O1191" i="1"/>
  <c r="O1187" i="1"/>
  <c r="O1183" i="1"/>
  <c r="O1179" i="1"/>
  <c r="O1175" i="1"/>
  <c r="O1171" i="1"/>
  <c r="O1167" i="1"/>
  <c r="O1159" i="1"/>
  <c r="O1155" i="1"/>
  <c r="O1151" i="1"/>
  <c r="O1147" i="1"/>
  <c r="O1143" i="1"/>
  <c r="O751" i="1"/>
  <c r="O2098" i="1"/>
  <c r="O2094" i="1"/>
  <c r="O2090" i="1"/>
  <c r="O2086" i="1"/>
  <c r="O2078" i="1"/>
  <c r="O2074" i="1"/>
  <c r="O2070" i="1"/>
  <c r="O2066" i="1"/>
  <c r="O2062" i="1"/>
  <c r="O2058" i="1"/>
  <c r="O2054" i="1"/>
  <c r="O2050" i="1"/>
  <c r="O2046" i="1"/>
  <c r="O2042" i="1"/>
  <c r="O2038" i="1"/>
  <c r="O2034" i="1"/>
  <c r="O2030" i="1"/>
  <c r="O2026" i="1"/>
  <c r="O2022" i="1"/>
  <c r="O2014" i="1"/>
  <c r="O2010" i="1"/>
  <c r="O2006" i="1"/>
  <c r="O2002" i="1"/>
  <c r="O1998" i="1"/>
  <c r="O1994" i="1"/>
  <c r="O1990" i="1"/>
  <c r="O1986" i="1"/>
  <c r="O1982" i="1"/>
  <c r="O1978" i="1"/>
  <c r="O1974" i="1"/>
  <c r="O1970" i="1"/>
  <c r="O1966" i="1"/>
  <c r="O1962" i="1"/>
  <c r="O1958" i="1"/>
  <c r="O1950" i="1"/>
  <c r="O1946" i="1"/>
  <c r="O1942" i="1"/>
  <c r="O1938" i="1"/>
  <c r="O1934" i="1"/>
  <c r="O1930" i="1"/>
  <c r="O1926" i="1"/>
  <c r="O1922" i="1"/>
  <c r="O1918" i="1"/>
  <c r="O1914" i="1"/>
  <c r="O1910" i="1"/>
  <c r="O1906" i="1"/>
  <c r="O1902" i="1"/>
  <c r="O1898" i="1"/>
  <c r="O1894" i="1"/>
  <c r="O1886" i="1"/>
  <c r="O1882" i="1"/>
  <c r="O1878" i="1"/>
  <c r="O1874" i="1"/>
  <c r="O1870" i="1"/>
  <c r="O1866" i="1"/>
  <c r="O1862" i="1"/>
  <c r="O1858" i="1"/>
  <c r="O1854" i="1"/>
  <c r="O1850" i="1"/>
  <c r="O1846" i="1"/>
  <c r="O1842" i="1"/>
  <c r="O1838" i="1"/>
  <c r="O1834" i="1"/>
  <c r="O1830" i="1"/>
  <c r="O1822" i="1"/>
  <c r="O1818" i="1"/>
  <c r="O1814" i="1"/>
  <c r="O1810" i="1"/>
  <c r="O1806" i="1"/>
  <c r="O1802" i="1"/>
  <c r="O1798" i="1"/>
  <c r="O1794" i="1"/>
  <c r="O1790" i="1"/>
  <c r="O1786" i="1"/>
  <c r="O1782" i="1"/>
  <c r="O1778" i="1"/>
  <c r="O1774" i="1"/>
  <c r="O1770" i="1"/>
  <c r="O1766" i="1"/>
  <c r="O1758" i="1"/>
  <c r="O1754" i="1"/>
  <c r="O1750" i="1"/>
  <c r="O1746" i="1"/>
  <c r="O1742" i="1"/>
  <c r="O1738" i="1"/>
  <c r="O1734" i="1"/>
  <c r="O1730" i="1"/>
  <c r="O1726" i="1"/>
  <c r="O1722" i="1"/>
  <c r="O1718" i="1"/>
  <c r="O1714" i="1"/>
  <c r="O1710" i="1"/>
  <c r="O1706" i="1"/>
  <c r="O1702" i="1"/>
  <c r="O1694" i="1"/>
  <c r="O1690" i="1"/>
  <c r="O1686" i="1"/>
  <c r="O1682" i="1"/>
  <c r="O1678" i="1"/>
  <c r="O1674" i="1"/>
  <c r="O1670" i="1"/>
  <c r="O1666" i="1"/>
  <c r="O1662" i="1"/>
  <c r="O1658" i="1"/>
  <c r="O1654" i="1"/>
  <c r="O1650" i="1"/>
  <c r="O1646" i="1"/>
  <c r="O1642" i="1"/>
  <c r="O1638" i="1"/>
  <c r="O1630" i="1"/>
  <c r="O1626" i="1"/>
  <c r="O1622" i="1"/>
  <c r="O1618" i="1"/>
  <c r="O1614" i="1"/>
  <c r="O1610" i="1"/>
  <c r="O1606" i="1"/>
  <c r="O1602" i="1"/>
  <c r="O1598" i="1"/>
  <c r="O1594" i="1"/>
  <c r="O1590" i="1"/>
  <c r="O1586" i="1"/>
  <c r="O1582" i="1"/>
  <c r="O1578" i="1"/>
  <c r="O1574" i="1"/>
  <c r="O1566" i="1"/>
  <c r="O1562" i="1"/>
  <c r="O1558" i="1"/>
  <c r="O1554" i="1"/>
  <c r="O1550" i="1"/>
  <c r="O1546" i="1"/>
  <c r="O1542" i="1"/>
  <c r="O1538" i="1"/>
  <c r="O1534" i="1"/>
  <c r="O1530" i="1"/>
  <c r="O1526" i="1"/>
  <c r="O1522" i="1"/>
  <c r="O1518" i="1"/>
  <c r="O1514" i="1"/>
  <c r="O1510" i="1"/>
  <c r="O1506" i="1"/>
  <c r="O1502" i="1"/>
  <c r="O1498" i="1"/>
  <c r="O1494" i="1"/>
  <c r="O1490" i="1"/>
  <c r="O1486" i="1"/>
  <c r="O1482" i="1"/>
  <c r="O1478" i="1"/>
  <c r="O1474" i="1"/>
  <c r="O1470" i="1"/>
  <c r="O1466" i="1"/>
  <c r="O1462" i="1"/>
  <c r="O1458" i="1"/>
  <c r="O1454" i="1"/>
  <c r="O1450" i="1"/>
  <c r="O1446" i="1"/>
  <c r="O1442" i="1"/>
  <c r="O1438" i="1"/>
  <c r="O1434" i="1"/>
  <c r="O1430" i="1"/>
  <c r="O1426" i="1"/>
  <c r="O1422" i="1"/>
  <c r="O1418" i="1"/>
  <c r="O1414" i="1"/>
  <c r="O1410" i="1"/>
  <c r="O1406" i="1"/>
  <c r="O1402" i="1"/>
  <c r="O1398" i="1"/>
  <c r="O1394" i="1"/>
  <c r="O1390" i="1"/>
  <c r="O1386" i="1"/>
  <c r="O1382" i="1"/>
  <c r="O1378" i="1"/>
  <c r="O1374" i="1"/>
  <c r="O1370" i="1"/>
  <c r="O1366" i="1"/>
  <c r="O1362" i="1"/>
  <c r="O1358" i="1"/>
  <c r="O1354" i="1"/>
  <c r="O1350" i="1"/>
  <c r="O1346" i="1"/>
  <c r="O1342" i="1"/>
  <c r="O1338" i="1"/>
  <c r="O1334" i="1"/>
  <c r="O1330" i="1"/>
  <c r="O1326" i="1"/>
  <c r="O1322" i="1"/>
  <c r="O1318" i="1"/>
  <c r="O1314" i="1"/>
  <c r="O1310" i="1"/>
  <c r="O1306" i="1"/>
  <c r="O1302" i="1"/>
  <c r="O1298" i="1"/>
  <c r="O1294" i="1"/>
  <c r="O1290" i="1"/>
  <c r="O1286" i="1"/>
  <c r="O1282" i="1"/>
  <c r="O1278" i="1"/>
  <c r="O1274" i="1"/>
  <c r="O1270" i="1"/>
  <c r="O1266" i="1"/>
  <c r="O1262" i="1"/>
  <c r="O1258" i="1"/>
  <c r="O1254" i="1"/>
  <c r="O1250" i="1"/>
  <c r="O1246" i="1"/>
  <c r="O1242" i="1"/>
  <c r="O1238" i="1"/>
  <c r="O1234" i="1"/>
  <c r="O1230" i="1"/>
  <c r="O1226" i="1"/>
  <c r="O1222" i="1"/>
  <c r="O1218" i="1"/>
  <c r="O1214" i="1"/>
  <c r="O1210" i="1"/>
  <c r="O1206" i="1"/>
  <c r="O1202" i="1"/>
  <c r="O1198" i="1"/>
  <c r="O1194" i="1"/>
  <c r="O1190" i="1"/>
  <c r="O1186" i="1"/>
  <c r="O1182" i="1"/>
  <c r="O1178" i="1"/>
  <c r="O1174" i="1"/>
  <c r="O1170" i="1"/>
  <c r="O1166" i="1"/>
  <c r="O1162" i="1"/>
  <c r="O1158" i="1"/>
  <c r="O1154" i="1"/>
  <c r="O1150" i="1"/>
  <c r="O1146" i="1"/>
  <c r="O1142" i="1"/>
  <c r="O1138" i="1"/>
  <c r="O1134" i="1"/>
  <c r="O1130" i="1"/>
  <c r="O1126" i="1"/>
  <c r="O1122" i="1"/>
  <c r="O1118" i="1"/>
  <c r="O1114" i="1"/>
  <c r="O1110" i="1"/>
  <c r="O1106" i="1"/>
  <c r="O1102" i="1"/>
  <c r="O1098" i="1"/>
  <c r="O1094" i="1"/>
  <c r="O1090" i="1"/>
  <c r="O1086" i="1"/>
  <c r="O1082" i="1"/>
  <c r="O1078" i="1"/>
  <c r="O1074" i="1"/>
  <c r="O1070" i="1"/>
  <c r="O1066" i="1"/>
  <c r="O1062" i="1"/>
  <c r="O1058" i="1"/>
  <c r="O1054" i="1"/>
  <c r="O1050" i="1"/>
  <c r="O1046" i="1"/>
  <c r="O1042" i="1"/>
  <c r="O1038" i="1"/>
  <c r="O1034" i="1"/>
  <c r="O1030" i="1"/>
  <c r="O1026" i="1"/>
  <c r="O1022" i="1"/>
  <c r="O1018" i="1"/>
  <c r="O1014" i="1"/>
  <c r="O1010" i="1"/>
  <c r="O1006" i="1"/>
  <c r="O1002" i="1"/>
  <c r="O998" i="1"/>
  <c r="O994" i="1"/>
  <c r="O990" i="1"/>
  <c r="O986" i="1"/>
  <c r="O982" i="1"/>
  <c r="O978" i="1"/>
  <c r="O974" i="1"/>
  <c r="O970" i="1"/>
  <c r="O966" i="1"/>
  <c r="O962" i="1"/>
  <c r="O958" i="1"/>
  <c r="O954" i="1"/>
  <c r="O950" i="1"/>
  <c r="O946" i="1"/>
  <c r="O942" i="1"/>
  <c r="O938" i="1"/>
  <c r="O934" i="1"/>
  <c r="O930" i="1"/>
  <c r="O926" i="1"/>
  <c r="O922" i="1"/>
  <c r="O918" i="1"/>
  <c r="O914" i="1"/>
  <c r="O910" i="1"/>
  <c r="O906" i="1"/>
  <c r="O902" i="1"/>
  <c r="O898" i="1"/>
  <c r="O894" i="1"/>
  <c r="O890" i="1"/>
  <c r="O886" i="1"/>
  <c r="O882" i="1"/>
  <c r="O878" i="1"/>
  <c r="O874" i="1"/>
  <c r="O870" i="1"/>
  <c r="O866" i="1"/>
  <c r="O862" i="1"/>
  <c r="O858" i="1"/>
  <c r="O854" i="1"/>
  <c r="O850" i="1"/>
  <c r="O846" i="1"/>
  <c r="O842" i="1"/>
  <c r="O838" i="1"/>
  <c r="O834" i="1"/>
  <c r="O830" i="1"/>
  <c r="O826" i="1"/>
  <c r="O822" i="1"/>
  <c r="O818" i="1"/>
  <c r="O814" i="1"/>
  <c r="O810" i="1"/>
  <c r="O806" i="1"/>
  <c r="O802" i="1"/>
  <c r="O798" i="1"/>
  <c r="O794" i="1"/>
  <c r="O790" i="1"/>
  <c r="O786" i="1"/>
  <c r="O782" i="1"/>
  <c r="O778" i="1"/>
  <c r="O774" i="1"/>
  <c r="O770" i="1"/>
  <c r="O766" i="1"/>
  <c r="O762" i="1"/>
  <c r="O758" i="1"/>
  <c r="O754" i="1"/>
  <c r="O750" i="1"/>
  <c r="O746" i="1"/>
  <c r="O742" i="1"/>
  <c r="O738" i="1"/>
  <c r="O734" i="1"/>
  <c r="O730" i="1"/>
  <c r="O726" i="1"/>
  <c r="O722" i="1"/>
  <c r="O718" i="1"/>
  <c r="O714" i="1"/>
  <c r="O710" i="1"/>
  <c r="O706" i="1"/>
  <c r="O702" i="1"/>
  <c r="O698" i="1"/>
  <c r="O694" i="1"/>
  <c r="O690" i="1"/>
  <c r="O686" i="1"/>
  <c r="O682" i="1"/>
  <c r="O678" i="1"/>
  <c r="O674" i="1"/>
  <c r="O670" i="1"/>
  <c r="O666" i="1"/>
  <c r="O662" i="1"/>
  <c r="O658" i="1"/>
  <c r="O654" i="1"/>
  <c r="O650" i="1"/>
  <c r="O646" i="1"/>
  <c r="O642" i="1"/>
  <c r="O638" i="1"/>
  <c r="O634" i="1"/>
  <c r="O630" i="1"/>
  <c r="O626" i="1"/>
  <c r="O622" i="1"/>
  <c r="O618" i="1"/>
  <c r="O614" i="1"/>
  <c r="O610" i="1"/>
  <c r="O606" i="1"/>
  <c r="O602" i="1"/>
  <c r="O598" i="1"/>
  <c r="O594" i="1"/>
  <c r="O590" i="1"/>
  <c r="O586" i="1"/>
  <c r="O582" i="1"/>
  <c r="O578" i="1"/>
  <c r="O574" i="1"/>
  <c r="O570" i="1"/>
  <c r="O566" i="1"/>
  <c r="O562" i="1"/>
  <c r="O558" i="1"/>
  <c r="O554" i="1"/>
  <c r="O550" i="1"/>
  <c r="O546" i="1"/>
  <c r="O542" i="1"/>
  <c r="O538" i="1"/>
  <c r="O534" i="1"/>
  <c r="O530" i="1"/>
  <c r="O526" i="1"/>
  <c r="O522" i="1"/>
  <c r="O518" i="1"/>
  <c r="O514" i="1"/>
  <c r="O510" i="1"/>
  <c r="O506" i="1"/>
  <c r="O502" i="1"/>
  <c r="O498" i="1"/>
  <c r="O494" i="1"/>
  <c r="O490" i="1"/>
  <c r="O486" i="1"/>
  <c r="O482" i="1"/>
  <c r="O478" i="1"/>
  <c r="O474" i="1"/>
  <c r="O470" i="1"/>
  <c r="O466" i="1"/>
  <c r="O462" i="1"/>
  <c r="O458" i="1"/>
  <c r="O454" i="1"/>
  <c r="O450" i="1"/>
  <c r="O446" i="1"/>
  <c r="O442" i="1"/>
  <c r="O438" i="1"/>
  <c r="O434" i="1"/>
  <c r="O430" i="1"/>
  <c r="O426" i="1"/>
  <c r="O422" i="1"/>
  <c r="O418" i="1"/>
  <c r="O414" i="1"/>
  <c r="O410" i="1"/>
  <c r="O406" i="1"/>
  <c r="O402" i="1"/>
  <c r="O398" i="1"/>
  <c r="O394" i="1"/>
  <c r="O390" i="1"/>
  <c r="O386" i="1"/>
  <c r="O382" i="1"/>
  <c r="O378" i="1"/>
  <c r="O374" i="1"/>
  <c r="O370" i="1"/>
  <c r="O366" i="1"/>
  <c r="O362" i="1"/>
  <c r="O358" i="1"/>
  <c r="O354" i="1"/>
  <c r="O350" i="1"/>
  <c r="O346" i="1"/>
  <c r="O342" i="1"/>
  <c r="O338" i="1"/>
  <c r="O334" i="1"/>
  <c r="O330" i="1"/>
  <c r="O326" i="1"/>
  <c r="O322" i="1"/>
  <c r="O318" i="1"/>
  <c r="O314" i="1"/>
  <c r="O310" i="1"/>
  <c r="O306" i="1"/>
  <c r="O302" i="1"/>
  <c r="O298" i="1"/>
  <c r="O294" i="1"/>
  <c r="O290" i="1"/>
  <c r="O286" i="1"/>
  <c r="O282" i="1"/>
  <c r="O278" i="1"/>
  <c r="O274" i="1"/>
  <c r="O270" i="1"/>
  <c r="O266" i="1"/>
  <c r="O262" i="1"/>
  <c r="O258" i="1"/>
  <c r="O254" i="1"/>
  <c r="O250" i="1"/>
  <c r="O246" i="1"/>
  <c r="O242" i="1"/>
  <c r="O238" i="1"/>
  <c r="O234" i="1"/>
  <c r="O230" i="1"/>
  <c r="O226" i="1"/>
  <c r="O222" i="1"/>
  <c r="O218" i="1"/>
  <c r="O214" i="1"/>
  <c r="O210" i="1"/>
  <c r="O206" i="1"/>
  <c r="O202" i="1"/>
  <c r="O198" i="1"/>
  <c r="O194" i="1"/>
  <c r="O190" i="1"/>
  <c r="O186" i="1"/>
  <c r="O182" i="1"/>
  <c r="O178" i="1"/>
  <c r="O174" i="1"/>
  <c r="O170" i="1"/>
  <c r="O166" i="1"/>
  <c r="O162" i="1"/>
  <c r="O158" i="1"/>
  <c r="O154" i="1"/>
  <c r="O150" i="1"/>
  <c r="O146" i="1"/>
  <c r="O142" i="1"/>
  <c r="O138" i="1"/>
  <c r="O134" i="1"/>
  <c r="O130" i="1"/>
  <c r="O126" i="1"/>
  <c r="O122" i="1"/>
  <c r="O118" i="1"/>
  <c r="O114" i="1"/>
  <c r="O110" i="1"/>
  <c r="O106" i="1"/>
  <c r="O102" i="1"/>
  <c r="O98" i="1"/>
  <c r="O94" i="1"/>
  <c r="O90" i="1"/>
  <c r="O86" i="1"/>
  <c r="O82" i="1"/>
  <c r="O78" i="1"/>
  <c r="O74" i="1"/>
  <c r="O70" i="1"/>
  <c r="O66" i="1"/>
  <c r="O62" i="1"/>
  <c r="O58" i="1"/>
  <c r="O54" i="1"/>
  <c r="O50" i="1"/>
  <c r="O46" i="1"/>
  <c r="O42" i="1"/>
  <c r="O38" i="1"/>
  <c r="O34" i="1"/>
  <c r="O30" i="1"/>
  <c r="O26" i="1"/>
  <c r="O22" i="1"/>
  <c r="O18" i="1"/>
  <c r="O14" i="1"/>
  <c r="O10" i="1"/>
  <c r="O6" i="1"/>
  <c r="O2097" i="1"/>
  <c r="O2093" i="1"/>
  <c r="O2089" i="1"/>
  <c r="O2085" i="1"/>
  <c r="O2081" i="1"/>
  <c r="O2077" i="1"/>
  <c r="O2073" i="1"/>
  <c r="O2069" i="1"/>
  <c r="O2065" i="1"/>
  <c r="O2061" i="1"/>
  <c r="O2057" i="1"/>
  <c r="O2053" i="1"/>
  <c r="O2049" i="1"/>
  <c r="O2045" i="1"/>
  <c r="O2041" i="1"/>
  <c r="O2037" i="1"/>
  <c r="O2033" i="1"/>
  <c r="O2029" i="1"/>
  <c r="O2025" i="1"/>
  <c r="O2021" i="1"/>
  <c r="O2017" i="1"/>
  <c r="O2013" i="1"/>
  <c r="O2009" i="1"/>
  <c r="O2005" i="1"/>
  <c r="O2001" i="1"/>
  <c r="O1997" i="1"/>
  <c r="O1993" i="1"/>
  <c r="O1989" i="1"/>
  <c r="O1985" i="1"/>
  <c r="O1981" i="1"/>
  <c r="O1977" i="1"/>
  <c r="O1973" i="1"/>
  <c r="O1969" i="1"/>
  <c r="O1965" i="1"/>
  <c r="O1961" i="1"/>
  <c r="O1957" i="1"/>
  <c r="O1953" i="1"/>
  <c r="O1949" i="1"/>
  <c r="O1945" i="1"/>
  <c r="O1941" i="1"/>
  <c r="O1937" i="1"/>
  <c r="O1933" i="1"/>
  <c r="O1929" i="1"/>
  <c r="O1925" i="1"/>
  <c r="O1921" i="1"/>
  <c r="O1917" i="1"/>
  <c r="O1913" i="1"/>
  <c r="O1909" i="1"/>
  <c r="O1905" i="1"/>
  <c r="O1901" i="1"/>
  <c r="O1897" i="1"/>
  <c r="O1893" i="1"/>
  <c r="O1889" i="1"/>
  <c r="O1885" i="1"/>
  <c r="O1881" i="1"/>
  <c r="O1877" i="1"/>
  <c r="O1461" i="1"/>
  <c r="O1873" i="1"/>
  <c r="O1869" i="1"/>
  <c r="O1865" i="1"/>
  <c r="O1861" i="1"/>
  <c r="O1857" i="1"/>
  <c r="O1853" i="1"/>
  <c r="O1849" i="1"/>
  <c r="O1845" i="1"/>
  <c r="O1841" i="1"/>
  <c r="O1837" i="1"/>
  <c r="O1833" i="1"/>
  <c r="O1829" i="1"/>
  <c r="O1825" i="1"/>
  <c r="O1821" i="1"/>
  <c r="O1817" i="1"/>
  <c r="O1813" i="1"/>
  <c r="O1809" i="1"/>
  <c r="O1805" i="1"/>
  <c r="O1801" i="1"/>
  <c r="O1797" i="1"/>
  <c r="O1793" i="1"/>
  <c r="O1789" i="1"/>
  <c r="O1785" i="1"/>
  <c r="O1781" i="1"/>
  <c r="O1777" i="1"/>
  <c r="O1773" i="1"/>
  <c r="O1769" i="1"/>
  <c r="O1765" i="1"/>
  <c r="O1761" i="1"/>
  <c r="O1757" i="1"/>
  <c r="O1753" i="1"/>
  <c r="O1749" i="1"/>
  <c r="O1745" i="1"/>
  <c r="O1741" i="1"/>
  <c r="O1737" i="1"/>
  <c r="O1733" i="1"/>
  <c r="O1729" i="1"/>
  <c r="O1725" i="1"/>
  <c r="O1721" i="1"/>
  <c r="O1717" i="1"/>
  <c r="O1713" i="1"/>
  <c r="O1709" i="1"/>
  <c r="O1705" i="1"/>
  <c r="O1701" i="1"/>
  <c r="O1697" i="1"/>
  <c r="O1693" i="1"/>
  <c r="O1689" i="1"/>
  <c r="O1685" i="1"/>
  <c r="O1681" i="1"/>
  <c r="O1677" i="1"/>
  <c r="O1673" i="1"/>
  <c r="O1669" i="1"/>
  <c r="O1665" i="1"/>
  <c r="O1661" i="1"/>
  <c r="O1657" i="1"/>
  <c r="O1653" i="1"/>
  <c r="O1649" i="1"/>
  <c r="O1645" i="1"/>
  <c r="O1641" i="1"/>
  <c r="O1637" i="1"/>
  <c r="O1633" i="1"/>
  <c r="O1629" i="1"/>
  <c r="O1625" i="1"/>
  <c r="O1621" i="1"/>
  <c r="O1617" i="1"/>
  <c r="O1613" i="1"/>
  <c r="O1609" i="1"/>
  <c r="O1605" i="1"/>
  <c r="O1601" i="1"/>
  <c r="O1597" i="1"/>
  <c r="O1593" i="1"/>
  <c r="O1589" i="1"/>
  <c r="O1585" i="1"/>
  <c r="O1581" i="1"/>
  <c r="O1577" i="1"/>
  <c r="O1573" i="1"/>
  <c r="O1569" i="1"/>
  <c r="O1565" i="1"/>
  <c r="O1561" i="1"/>
  <c r="O1557" i="1"/>
  <c r="O1553" i="1"/>
  <c r="O1549" i="1"/>
  <c r="O1545" i="1"/>
  <c r="O1541" i="1"/>
  <c r="O1537" i="1"/>
  <c r="O1533" i="1"/>
  <c r="O1529" i="1"/>
  <c r="O1525" i="1"/>
  <c r="O1521" i="1"/>
  <c r="O1517" i="1"/>
  <c r="O1513" i="1"/>
  <c r="O1509" i="1"/>
  <c r="O1505" i="1"/>
  <c r="O1501" i="1"/>
  <c r="O1497" i="1"/>
  <c r="O1493" i="1"/>
  <c r="O1489" i="1"/>
  <c r="O1485" i="1"/>
  <c r="O1481" i="1"/>
  <c r="O1477" i="1"/>
  <c r="O1473" i="1"/>
  <c r="O1469" i="1"/>
  <c r="O1465" i="1"/>
  <c r="O1457" i="1"/>
  <c r="O1453" i="1"/>
  <c r="O1449" i="1"/>
  <c r="O1445" i="1"/>
  <c r="O1441" i="1"/>
  <c r="O1437" i="1"/>
  <c r="O1433" i="1"/>
  <c r="O1429" i="1"/>
  <c r="O1425" i="1"/>
  <c r="O1421" i="1"/>
  <c r="O1417" i="1"/>
  <c r="O1413" i="1"/>
  <c r="O1409" i="1"/>
  <c r="O1385" i="1"/>
  <c r="O1365" i="1"/>
  <c r="O1353" i="1"/>
  <c r="O1321" i="1"/>
  <c r="O1301" i="1"/>
  <c r="O1289" i="1"/>
  <c r="O1257" i="1"/>
  <c r="O1237" i="1"/>
  <c r="O1225" i="1"/>
  <c r="O1193" i="1"/>
  <c r="O1173" i="1"/>
  <c r="O1129" i="1"/>
  <c r="O1109" i="1"/>
  <c r="O813" i="1"/>
  <c r="O729" i="1"/>
  <c r="O685" i="1"/>
  <c r="O601" i="1"/>
  <c r="O557" i="1"/>
  <c r="O321" i="1"/>
  <c r="O2" i="1"/>
  <c r="O2096" i="1"/>
  <c r="O2092" i="1"/>
  <c r="O2088" i="1"/>
  <c r="O2084" i="1"/>
  <c r="O2080" i="1"/>
  <c r="O2076" i="1"/>
  <c r="O2072" i="1"/>
  <c r="O2068" i="1"/>
  <c r="O2064" i="1"/>
  <c r="O2060" i="1"/>
  <c r="O2056" i="1"/>
  <c r="O2052" i="1"/>
  <c r="O2048" i="1"/>
  <c r="O2044" i="1"/>
  <c r="O2040" i="1"/>
  <c r="O2036" i="1"/>
  <c r="O2032" i="1"/>
  <c r="O2028" i="1"/>
  <c r="O2024" i="1"/>
  <c r="O2020" i="1"/>
  <c r="O2016" i="1"/>
  <c r="O2012" i="1"/>
  <c r="O2008" i="1"/>
  <c r="O2004" i="1"/>
  <c r="O2000" i="1"/>
  <c r="O1996" i="1"/>
  <c r="O1992" i="1"/>
  <c r="O1988" i="1"/>
  <c r="O1984" i="1"/>
  <c r="O1980" i="1"/>
  <c r="O1976" i="1"/>
  <c r="O1972" i="1"/>
  <c r="O1968" i="1"/>
  <c r="O1964" i="1"/>
  <c r="O1960" i="1"/>
  <c r="O1956" i="1"/>
  <c r="O1952" i="1"/>
  <c r="O1948" i="1"/>
  <c r="O1944" i="1"/>
  <c r="O1940" i="1"/>
  <c r="O1936" i="1"/>
  <c r="O1932" i="1"/>
  <c r="O1928" i="1"/>
  <c r="O1924" i="1"/>
  <c r="O1920" i="1"/>
  <c r="O1916" i="1"/>
  <c r="O1912" i="1"/>
  <c r="O1908" i="1"/>
  <c r="O1904" i="1"/>
  <c r="O1900" i="1"/>
  <c r="O1896" i="1"/>
  <c r="O1892" i="1"/>
  <c r="O1888" i="1"/>
  <c r="O1884" i="1"/>
  <c r="O1880" i="1"/>
  <c r="O1876" i="1"/>
  <c r="O1872" i="1"/>
  <c r="O1868" i="1"/>
  <c r="O1864" i="1"/>
  <c r="O1860" i="1"/>
  <c r="O1856" i="1"/>
  <c r="O1852" i="1"/>
  <c r="O1848" i="1"/>
  <c r="O1844" i="1"/>
  <c r="O1840" i="1"/>
  <c r="O1836" i="1"/>
  <c r="O1832" i="1"/>
  <c r="O1828" i="1"/>
  <c r="O1824" i="1"/>
  <c r="O1820" i="1"/>
  <c r="O1816" i="1"/>
  <c r="O1812" i="1"/>
  <c r="O1808" i="1"/>
  <c r="O1804" i="1"/>
  <c r="O1800" i="1"/>
  <c r="O1796" i="1"/>
  <c r="O1792" i="1"/>
  <c r="O1788" i="1"/>
  <c r="O1784" i="1"/>
  <c r="O1780" i="1"/>
  <c r="O1776" i="1"/>
  <c r="O1772" i="1"/>
  <c r="O1768" i="1"/>
  <c r="O1764" i="1"/>
  <c r="O1760" i="1"/>
  <c r="O1756" i="1"/>
  <c r="O1752" i="1"/>
  <c r="O1748" i="1"/>
  <c r="O1744" i="1"/>
  <c r="O1740" i="1"/>
  <c r="O1736" i="1"/>
  <c r="O1732" i="1"/>
  <c r="O1728" i="1"/>
  <c r="O1724" i="1"/>
  <c r="O1720" i="1"/>
  <c r="O1716" i="1"/>
  <c r="O1712" i="1"/>
  <c r="O1708" i="1"/>
  <c r="O1704" i="1"/>
  <c r="O1700" i="1"/>
  <c r="O1696" i="1"/>
  <c r="O1692" i="1"/>
  <c r="O1688" i="1"/>
  <c r="O1684" i="1"/>
  <c r="O1680" i="1"/>
  <c r="O1676" i="1"/>
  <c r="O1672" i="1"/>
  <c r="O1668" i="1"/>
  <c r="O1664" i="1"/>
  <c r="O1660" i="1"/>
  <c r="O1656" i="1"/>
  <c r="O1652" i="1"/>
  <c r="O1648" i="1"/>
  <c r="O1644" i="1"/>
  <c r="O1640" i="1"/>
  <c r="O1636" i="1"/>
  <c r="O1632" i="1"/>
  <c r="O1628" i="1"/>
  <c r="O1624" i="1"/>
  <c r="O1620" i="1"/>
  <c r="O1616" i="1"/>
  <c r="O1612" i="1"/>
  <c r="O1608" i="1"/>
  <c r="O1604" i="1"/>
  <c r="O1600" i="1"/>
  <c r="O1596" i="1"/>
  <c r="O1592" i="1"/>
  <c r="O1588" i="1"/>
  <c r="O1584" i="1"/>
  <c r="O1580" i="1"/>
  <c r="O1492" i="1"/>
  <c r="O1472" i="1"/>
  <c r="O1460" i="1"/>
  <c r="O1428" i="1"/>
  <c r="O1408" i="1"/>
  <c r="O1364" i="1"/>
  <c r="O1344" i="1"/>
  <c r="O1300" i="1"/>
  <c r="O1280" i="1"/>
  <c r="O1236" i="1"/>
  <c r="O1216" i="1"/>
  <c r="O1172" i="1"/>
  <c r="O1152" i="1"/>
  <c r="O1108" i="1"/>
  <c r="O1080" i="1"/>
  <c r="O1048" i="1"/>
  <c r="O1016" i="1"/>
  <c r="O984" i="1"/>
  <c r="O952" i="1"/>
  <c r="O920" i="1"/>
  <c r="O888" i="1"/>
  <c r="O856" i="1"/>
  <c r="O772" i="1"/>
  <c r="O728" i="1"/>
  <c r="O644" i="1"/>
  <c r="O600" i="1"/>
  <c r="O516" i="1"/>
  <c r="O1139" i="1"/>
  <c r="O1135" i="1"/>
  <c r="O1131" i="1"/>
  <c r="O1127" i="1"/>
  <c r="O1123" i="1"/>
  <c r="O1119" i="1"/>
  <c r="O1115" i="1"/>
  <c r="O1111" i="1"/>
  <c r="O1107" i="1"/>
  <c r="O1103" i="1"/>
  <c r="O1099" i="1"/>
  <c r="O1095" i="1"/>
  <c r="O1091" i="1"/>
  <c r="O1087" i="1"/>
  <c r="O1083" i="1"/>
  <c r="O1079" i="1"/>
  <c r="O1075" i="1"/>
  <c r="O1071" i="1"/>
  <c r="O1067" i="1"/>
  <c r="O1063" i="1"/>
  <c r="O1059" i="1"/>
  <c r="O1055" i="1"/>
  <c r="O1051" i="1"/>
  <c r="O1047" i="1"/>
  <c r="O1043" i="1"/>
  <c r="O1039" i="1"/>
  <c r="O1035" i="1"/>
  <c r="O1031" i="1"/>
  <c r="O1027" i="1"/>
  <c r="O1023" i="1"/>
  <c r="O1019" i="1"/>
  <c r="O1015" i="1"/>
  <c r="O1011" i="1"/>
  <c r="O1007" i="1"/>
  <c r="O1003" i="1"/>
  <c r="O999" i="1"/>
  <c r="O995" i="1"/>
  <c r="O991" i="1"/>
  <c r="O987" i="1"/>
  <c r="O983" i="1"/>
  <c r="O979" i="1"/>
  <c r="O975" i="1"/>
  <c r="O971" i="1"/>
  <c r="O967" i="1"/>
  <c r="O963" i="1"/>
  <c r="O959" i="1"/>
  <c r="O955" i="1"/>
  <c r="O951" i="1"/>
  <c r="O947" i="1"/>
  <c r="O943" i="1"/>
  <c r="O939" i="1"/>
  <c r="O935" i="1"/>
  <c r="O931" i="1"/>
  <c r="O927" i="1"/>
  <c r="O923" i="1"/>
  <c r="O919" i="1"/>
  <c r="O915" i="1"/>
  <c r="O911" i="1"/>
  <c r="O907" i="1"/>
  <c r="O903" i="1"/>
  <c r="O899" i="1"/>
  <c r="O895" i="1"/>
  <c r="O891" i="1"/>
  <c r="O887" i="1"/>
  <c r="O883" i="1"/>
  <c r="O879" i="1"/>
  <c r="O875" i="1"/>
  <c r="O871" i="1"/>
  <c r="O867" i="1"/>
  <c r="O863" i="1"/>
  <c r="O859" i="1"/>
  <c r="O855" i="1"/>
  <c r="O851" i="1"/>
  <c r="O847" i="1"/>
  <c r="O843" i="1"/>
  <c r="O839" i="1"/>
  <c r="O835" i="1"/>
  <c r="O831" i="1"/>
  <c r="O827" i="1"/>
  <c r="O823" i="1"/>
  <c r="O819" i="1"/>
  <c r="O815" i="1"/>
  <c r="O811" i="1"/>
  <c r="O807" i="1"/>
  <c r="O803" i="1"/>
  <c r="O799" i="1"/>
  <c r="O795" i="1"/>
  <c r="O791" i="1"/>
  <c r="O787" i="1"/>
  <c r="O783" i="1"/>
  <c r="O779" i="1"/>
  <c r="O775" i="1"/>
  <c r="O771" i="1"/>
  <c r="O767" i="1"/>
  <c r="O763" i="1"/>
  <c r="O759" i="1"/>
  <c r="O755" i="1"/>
  <c r="O747" i="1"/>
  <c r="O743" i="1"/>
  <c r="O739" i="1"/>
  <c r="O735" i="1"/>
  <c r="O731" i="1"/>
  <c r="O727" i="1"/>
  <c r="O723" i="1"/>
  <c r="O719" i="1"/>
  <c r="O715" i="1"/>
  <c r="O711" i="1"/>
  <c r="O707" i="1"/>
  <c r="O703" i="1"/>
  <c r="O699" i="1"/>
  <c r="O695" i="1"/>
  <c r="O691" i="1"/>
  <c r="O687" i="1"/>
  <c r="O683" i="1"/>
  <c r="O679" i="1"/>
  <c r="O675" i="1"/>
  <c r="O671" i="1"/>
  <c r="O667" i="1"/>
  <c r="O663" i="1"/>
  <c r="O659" i="1"/>
  <c r="O655" i="1"/>
  <c r="O651" i="1"/>
  <c r="O647" i="1"/>
  <c r="O643" i="1"/>
  <c r="O639" i="1"/>
  <c r="O635" i="1"/>
  <c r="O631" i="1"/>
  <c r="O627" i="1"/>
  <c r="O619" i="1"/>
  <c r="O615" i="1"/>
  <c r="O611" i="1"/>
  <c r="O607" i="1"/>
  <c r="O603" i="1"/>
  <c r="O599" i="1"/>
  <c r="O595" i="1"/>
  <c r="O591" i="1"/>
  <c r="O587" i="1"/>
  <c r="O583" i="1"/>
  <c r="O579" i="1"/>
  <c r="O575" i="1"/>
  <c r="O571" i="1"/>
  <c r="O567" i="1"/>
  <c r="O563" i="1"/>
  <c r="O559" i="1"/>
  <c r="O555" i="1"/>
  <c r="O551" i="1"/>
  <c r="O547" i="1"/>
  <c r="O543" i="1"/>
  <c r="O539" i="1"/>
  <c r="O535" i="1"/>
  <c r="O531" i="1"/>
  <c r="O527" i="1"/>
  <c r="O523" i="1"/>
  <c r="O519" i="1"/>
  <c r="O515" i="1"/>
  <c r="O511" i="1"/>
  <c r="O507" i="1"/>
  <c r="O503" i="1"/>
  <c r="O499" i="1"/>
  <c r="O495" i="1"/>
  <c r="O491" i="1"/>
  <c r="O487" i="1"/>
  <c r="O483" i="1"/>
  <c r="O479" i="1"/>
  <c r="O475" i="1"/>
  <c r="O471" i="1"/>
  <c r="O467" i="1"/>
  <c r="O463" i="1"/>
  <c r="O459" i="1"/>
  <c r="O455" i="1"/>
  <c r="O451" i="1"/>
  <c r="O447" i="1"/>
  <c r="O443" i="1"/>
  <c r="O439" i="1"/>
  <c r="O435" i="1"/>
  <c r="O431" i="1"/>
  <c r="O427" i="1"/>
  <c r="O423" i="1"/>
  <c r="O419" i="1"/>
  <c r="O415" i="1"/>
  <c r="O411" i="1"/>
  <c r="O407" i="1"/>
  <c r="O403" i="1"/>
  <c r="O399" i="1"/>
  <c r="O395" i="1"/>
  <c r="O391" i="1"/>
  <c r="O387" i="1"/>
  <c r="O383" i="1"/>
  <c r="O379" i="1"/>
  <c r="O375" i="1"/>
  <c r="O371" i="1"/>
  <c r="O367" i="1"/>
  <c r="O363" i="1"/>
  <c r="O359" i="1"/>
  <c r="O355" i="1"/>
  <c r="O351" i="1"/>
  <c r="O347" i="1"/>
  <c r="O343" i="1"/>
  <c r="O339" i="1"/>
  <c r="O335" i="1"/>
  <c r="O331" i="1"/>
  <c r="O327" i="1"/>
  <c r="O323" i="1"/>
  <c r="O319" i="1"/>
  <c r="O315" i="1"/>
  <c r="O311" i="1"/>
  <c r="O307" i="1"/>
  <c r="O303" i="1"/>
  <c r="O299" i="1"/>
  <c r="O295" i="1"/>
  <c r="O291" i="1"/>
  <c r="O287" i="1"/>
  <c r="O283" i="1"/>
  <c r="O279" i="1"/>
  <c r="O275" i="1"/>
  <c r="O271" i="1"/>
  <c r="O267" i="1"/>
  <c r="O263" i="1"/>
  <c r="O259" i="1"/>
  <c r="O255" i="1"/>
  <c r="O251" i="1"/>
  <c r="O247" i="1"/>
  <c r="O243" i="1"/>
  <c r="O239" i="1"/>
  <c r="O235" i="1"/>
  <c r="O231" i="1"/>
  <c r="O227" i="1"/>
  <c r="O223" i="1"/>
  <c r="O219" i="1"/>
  <c r="O215" i="1"/>
  <c r="O211" i="1"/>
  <c r="O207" i="1"/>
  <c r="O203" i="1"/>
  <c r="O199" i="1"/>
  <c r="O195" i="1"/>
  <c r="O191" i="1"/>
  <c r="O187" i="1"/>
  <c r="O183" i="1"/>
  <c r="O179" i="1"/>
  <c r="O175" i="1"/>
  <c r="O171" i="1"/>
  <c r="O167" i="1"/>
  <c r="O163" i="1"/>
  <c r="O159" i="1"/>
  <c r="O155" i="1"/>
  <c r="O151" i="1"/>
  <c r="O147" i="1"/>
  <c r="O143" i="1"/>
  <c r="O139" i="1"/>
  <c r="O135" i="1"/>
  <c r="O131" i="1"/>
  <c r="O127" i="1"/>
  <c r="O123" i="1"/>
  <c r="O119" i="1"/>
  <c r="O115" i="1"/>
  <c r="O111" i="1"/>
  <c r="O107" i="1"/>
  <c r="O103" i="1"/>
  <c r="O99" i="1"/>
  <c r="O95" i="1"/>
  <c r="O91" i="1"/>
  <c r="O87" i="1"/>
  <c r="O83" i="1"/>
  <c r="O79" i="1"/>
  <c r="O75" i="1"/>
  <c r="O71" i="1"/>
  <c r="O67" i="1"/>
  <c r="O63" i="1"/>
  <c r="O59" i="1"/>
  <c r="O55" i="1"/>
  <c r="O51" i="1"/>
  <c r="O47" i="1"/>
  <c r="O43" i="1"/>
  <c r="O39" i="1"/>
  <c r="O35" i="1"/>
  <c r="O31" i="1"/>
  <c r="O27" i="1"/>
  <c r="O23" i="1"/>
  <c r="O19" i="1"/>
  <c r="O15" i="1"/>
  <c r="O11" i="1"/>
  <c r="O7" i="1"/>
  <c r="O3" i="1"/>
  <c r="O1405" i="1"/>
  <c r="O1401" i="1"/>
  <c r="O1393" i="1"/>
  <c r="O1389" i="1"/>
  <c r="O1381" i="1"/>
  <c r="O1377" i="1"/>
  <c r="O1373" i="1"/>
  <c r="O1369" i="1"/>
  <c r="O1361" i="1"/>
  <c r="O1357" i="1"/>
  <c r="O1349" i="1"/>
  <c r="O1345" i="1"/>
  <c r="O1341" i="1"/>
  <c r="O1337" i="1"/>
  <c r="O1329" i="1"/>
  <c r="O1325" i="1"/>
  <c r="O1317" i="1"/>
  <c r="O1313" i="1"/>
  <c r="O1309" i="1"/>
  <c r="O1305" i="1"/>
  <c r="O1297" i="1"/>
  <c r="O1293" i="1"/>
  <c r="O1285" i="1"/>
  <c r="O1281" i="1"/>
  <c r="O1277" i="1"/>
  <c r="O1273" i="1"/>
  <c r="O1265" i="1"/>
  <c r="O1261" i="1"/>
  <c r="O1253" i="1"/>
  <c r="O1249" i="1"/>
  <c r="O1245" i="1"/>
  <c r="O1241" i="1"/>
  <c r="O1233" i="1"/>
  <c r="O1229" i="1"/>
  <c r="O1221" i="1"/>
  <c r="O1217" i="1"/>
  <c r="O1213" i="1"/>
  <c r="O1209" i="1"/>
  <c r="O1201" i="1"/>
  <c r="O1197" i="1"/>
  <c r="O1189" i="1"/>
  <c r="O1185" i="1"/>
  <c r="O1181" i="1"/>
  <c r="O1177" i="1"/>
  <c r="O1169" i="1"/>
  <c r="O1165" i="1"/>
  <c r="O1157" i="1"/>
  <c r="O1153" i="1"/>
  <c r="O1149" i="1"/>
  <c r="O1145" i="1"/>
  <c r="O1137" i="1"/>
  <c r="O1133" i="1"/>
  <c r="O1125" i="1"/>
  <c r="O1121" i="1"/>
  <c r="O1117" i="1"/>
  <c r="O1113" i="1"/>
  <c r="O1105" i="1"/>
  <c r="O1101" i="1"/>
  <c r="O1097" i="1"/>
  <c r="O1093" i="1"/>
  <c r="O1089" i="1"/>
  <c r="O1085" i="1"/>
  <c r="O1081" i="1"/>
  <c r="O1077" i="1"/>
  <c r="O1073" i="1"/>
  <c r="O1069" i="1"/>
  <c r="O1065" i="1"/>
  <c r="O1061" i="1"/>
  <c r="O1057" i="1"/>
  <c r="O1053" i="1"/>
  <c r="O1049" i="1"/>
  <c r="O1045" i="1"/>
  <c r="O1041" i="1"/>
  <c r="O1037" i="1"/>
  <c r="O1033" i="1"/>
  <c r="O1029" i="1"/>
  <c r="O1025" i="1"/>
  <c r="O1021" i="1"/>
  <c r="O1017" i="1"/>
  <c r="O1013" i="1"/>
  <c r="O1009" i="1"/>
  <c r="O1005" i="1"/>
  <c r="O1001" i="1"/>
  <c r="O997" i="1"/>
  <c r="O993" i="1"/>
  <c r="O989" i="1"/>
  <c r="O985" i="1"/>
  <c r="O981" i="1"/>
  <c r="O977" i="1"/>
  <c r="O973" i="1"/>
  <c r="O969" i="1"/>
  <c r="O965" i="1"/>
  <c r="O961" i="1"/>
  <c r="O957" i="1"/>
  <c r="O953" i="1"/>
  <c r="O949" i="1"/>
  <c r="O945" i="1"/>
  <c r="O941" i="1"/>
  <c r="O937" i="1"/>
  <c r="O933" i="1"/>
  <c r="O929" i="1"/>
  <c r="O925" i="1"/>
  <c r="O921" i="1"/>
  <c r="O917" i="1"/>
  <c r="O913" i="1"/>
  <c r="O909" i="1"/>
  <c r="O905" i="1"/>
  <c r="O901" i="1"/>
  <c r="O897" i="1"/>
  <c r="O893" i="1"/>
  <c r="O889" i="1"/>
  <c r="O885" i="1"/>
  <c r="O881" i="1"/>
  <c r="O877" i="1"/>
  <c r="O873" i="1"/>
  <c r="O869" i="1"/>
  <c r="O865" i="1"/>
  <c r="O861" i="1"/>
  <c r="O857" i="1"/>
  <c r="O853" i="1"/>
  <c r="O849" i="1"/>
  <c r="O845" i="1"/>
  <c r="O841" i="1"/>
  <c r="O837" i="1"/>
  <c r="O833" i="1"/>
  <c r="O829" i="1"/>
  <c r="O825" i="1"/>
  <c r="O821" i="1"/>
  <c r="O817" i="1"/>
  <c r="O809" i="1"/>
  <c r="O805" i="1"/>
  <c r="O801" i="1"/>
  <c r="O797" i="1"/>
  <c r="O789" i="1"/>
  <c r="O785" i="1"/>
  <c r="O781" i="1"/>
  <c r="O777" i="1"/>
  <c r="O773" i="1"/>
  <c r="O769" i="1"/>
  <c r="O765" i="1"/>
  <c r="O761" i="1"/>
  <c r="O757" i="1"/>
  <c r="O753" i="1"/>
  <c r="O745" i="1"/>
  <c r="O741" i="1"/>
  <c r="O737" i="1"/>
  <c r="O733" i="1"/>
  <c r="O725" i="1"/>
  <c r="O721" i="1"/>
  <c r="O717" i="1"/>
  <c r="O713" i="1"/>
  <c r="O709" i="1"/>
  <c r="O705" i="1"/>
  <c r="O701" i="1"/>
  <c r="O697" i="1"/>
  <c r="O693" i="1"/>
  <c r="O689" i="1"/>
  <c r="O681" i="1"/>
  <c r="O677" i="1"/>
  <c r="O673" i="1"/>
  <c r="O669" i="1"/>
  <c r="O661" i="1"/>
  <c r="O657" i="1"/>
  <c r="O653" i="1"/>
  <c r="O649" i="1"/>
  <c r="O645" i="1"/>
  <c r="O641" i="1"/>
  <c r="O637" i="1"/>
  <c r="O633" i="1"/>
  <c r="O629" i="1"/>
  <c r="O625" i="1"/>
  <c r="O617" i="1"/>
  <c r="O613" i="1"/>
  <c r="O609" i="1"/>
  <c r="O605" i="1"/>
  <c r="O597" i="1"/>
  <c r="O593" i="1"/>
  <c r="O589" i="1"/>
  <c r="O585" i="1"/>
  <c r="O581" i="1"/>
  <c r="O577" i="1"/>
  <c r="O573" i="1"/>
  <c r="O569" i="1"/>
  <c r="O565" i="1"/>
  <c r="O561" i="1"/>
  <c r="O553" i="1"/>
  <c r="O549" i="1"/>
  <c r="O545" i="1"/>
  <c r="O541" i="1"/>
  <c r="O533" i="1"/>
  <c r="O529" i="1"/>
  <c r="O525" i="1"/>
  <c r="O521" i="1"/>
  <c r="O517" i="1"/>
  <c r="O513" i="1"/>
  <c r="O509" i="1"/>
  <c r="O505" i="1"/>
  <c r="O501" i="1"/>
  <c r="O497" i="1"/>
  <c r="O493" i="1"/>
  <c r="O489" i="1"/>
  <c r="O485" i="1"/>
  <c r="O481" i="1"/>
  <c r="O477" i="1"/>
  <c r="O473" i="1"/>
  <c r="O469" i="1"/>
  <c r="O465" i="1"/>
  <c r="O461" i="1"/>
  <c r="O457" i="1"/>
  <c r="O453" i="1"/>
  <c r="O449" i="1"/>
  <c r="O445" i="1"/>
  <c r="O441" i="1"/>
  <c r="O437" i="1"/>
  <c r="O433" i="1"/>
  <c r="O429" i="1"/>
  <c r="O425" i="1"/>
  <c r="O421" i="1"/>
  <c r="O417" i="1"/>
  <c r="O413" i="1"/>
  <c r="O409" i="1"/>
  <c r="O405" i="1"/>
  <c r="O401" i="1"/>
  <c r="O397" i="1"/>
  <c r="O393" i="1"/>
  <c r="O389" i="1"/>
  <c r="O385" i="1"/>
  <c r="O381" i="1"/>
  <c r="O377" i="1"/>
  <c r="O373" i="1"/>
  <c r="O369" i="1"/>
  <c r="O365" i="1"/>
  <c r="O361" i="1"/>
  <c r="O357" i="1"/>
  <c r="O353" i="1"/>
  <c r="O349" i="1"/>
  <c r="O345" i="1"/>
  <c r="O341" i="1"/>
  <c r="O337" i="1"/>
  <c r="O333" i="1"/>
  <c r="O329" i="1"/>
  <c r="O325" i="1"/>
  <c r="O317" i="1"/>
  <c r="O313" i="1"/>
  <c r="O309" i="1"/>
  <c r="O305" i="1"/>
  <c r="O301" i="1"/>
  <c r="O297" i="1"/>
  <c r="O293" i="1"/>
  <c r="O289" i="1"/>
  <c r="O285" i="1"/>
  <c r="O281" i="1"/>
  <c r="O277" i="1"/>
  <c r="O273" i="1"/>
  <c r="O269" i="1"/>
  <c r="O265" i="1"/>
  <c r="O261" i="1"/>
  <c r="O253" i="1"/>
  <c r="O249" i="1"/>
  <c r="O245" i="1"/>
  <c r="O241" i="1"/>
  <c r="O237" i="1"/>
  <c r="O233" i="1"/>
  <c r="O229" i="1"/>
  <c r="O225" i="1"/>
  <c r="O161" i="1"/>
  <c r="O97" i="1"/>
  <c r="O33" i="1"/>
  <c r="O1576" i="1"/>
  <c r="O1572" i="1"/>
  <c r="O1568" i="1"/>
  <c r="O1564" i="1"/>
  <c r="O1560" i="1"/>
  <c r="O1556" i="1"/>
  <c r="O1552" i="1"/>
  <c r="O1548" i="1"/>
  <c r="O1544" i="1"/>
  <c r="O1540" i="1"/>
  <c r="O1536" i="1"/>
  <c r="O1532" i="1"/>
  <c r="O1528" i="1"/>
  <c r="O1524" i="1"/>
  <c r="O1520" i="1"/>
  <c r="O1516" i="1"/>
  <c r="O1512" i="1"/>
  <c r="O1508" i="1"/>
  <c r="O1500" i="1"/>
  <c r="O1496" i="1"/>
  <c r="O1488" i="1"/>
  <c r="O1484" i="1"/>
  <c r="O1480" i="1"/>
  <c r="O1476" i="1"/>
  <c r="O1468" i="1"/>
  <c r="O1464" i="1"/>
  <c r="O1456" i="1"/>
  <c r="O1452" i="1"/>
  <c r="O1448" i="1"/>
  <c r="O1444" i="1"/>
  <c r="O1436" i="1"/>
  <c r="O1432" i="1"/>
  <c r="O1424" i="1"/>
  <c r="O1420" i="1"/>
  <c r="O1416" i="1"/>
  <c r="O1412" i="1"/>
  <c r="O1404" i="1"/>
  <c r="O1400" i="1"/>
  <c r="O1392" i="1"/>
  <c r="O1388" i="1"/>
  <c r="O1384" i="1"/>
  <c r="O1380" i="1"/>
  <c r="O1372" i="1"/>
  <c r="O1368" i="1"/>
  <c r="O1360" i="1"/>
  <c r="O1356" i="1"/>
  <c r="O1352" i="1"/>
  <c r="O1348" i="1"/>
  <c r="O1340" i="1"/>
  <c r="O1336" i="1"/>
  <c r="O1328" i="1"/>
  <c r="O1324" i="1"/>
  <c r="O1320" i="1"/>
  <c r="O1316" i="1"/>
  <c r="O1308" i="1"/>
  <c r="O1304" i="1"/>
  <c r="O1296" i="1"/>
  <c r="O1292" i="1"/>
  <c r="O1288" i="1"/>
  <c r="O1284" i="1"/>
  <c r="O1276" i="1"/>
  <c r="O1272" i="1"/>
  <c r="O1264" i="1"/>
  <c r="O1260" i="1"/>
  <c r="O1256" i="1"/>
  <c r="O1252" i="1"/>
  <c r="O1244" i="1"/>
  <c r="O1240" i="1"/>
  <c r="O1232" i="1"/>
  <c r="O1228" i="1"/>
  <c r="O1224" i="1"/>
  <c r="O1220" i="1"/>
  <c r="O1212" i="1"/>
  <c r="O1208" i="1"/>
  <c r="O1200" i="1"/>
  <c r="O1196" i="1"/>
  <c r="O1192" i="1"/>
  <c r="O1188" i="1"/>
  <c r="O1180" i="1"/>
  <c r="O1176" i="1"/>
  <c r="O1168" i="1"/>
  <c r="O1164" i="1"/>
  <c r="O1160" i="1"/>
  <c r="O1156" i="1"/>
  <c r="O1148" i="1"/>
  <c r="O1144" i="1"/>
  <c r="O1136" i="1"/>
  <c r="O1132" i="1"/>
  <c r="O1128" i="1"/>
  <c r="O1124" i="1"/>
  <c r="O1116" i="1"/>
  <c r="O1112" i="1"/>
  <c r="O1104" i="1"/>
  <c r="O1100" i="1"/>
  <c r="O1092" i="1"/>
  <c r="O1088" i="1"/>
  <c r="O1084" i="1"/>
  <c r="O1076" i="1"/>
  <c r="O1072" i="1"/>
  <c r="O1068" i="1"/>
  <c r="O1060" i="1"/>
  <c r="O1056" i="1"/>
  <c r="O1052" i="1"/>
  <c r="O1044" i="1"/>
  <c r="O1040" i="1"/>
  <c r="O1036" i="1"/>
  <c r="O1028" i="1"/>
  <c r="O1024" i="1"/>
  <c r="O1020" i="1"/>
  <c r="O1012" i="1"/>
  <c r="O1008" i="1"/>
  <c r="O1004" i="1"/>
  <c r="O996" i="1"/>
  <c r="O992" i="1"/>
  <c r="O988" i="1"/>
  <c r="O980" i="1"/>
  <c r="O976" i="1"/>
  <c r="O972" i="1"/>
  <c r="O964" i="1"/>
  <c r="O960" i="1"/>
  <c r="O956" i="1"/>
  <c r="O948" i="1"/>
  <c r="O944" i="1"/>
  <c r="O940" i="1"/>
  <c r="O932" i="1"/>
  <c r="O928" i="1"/>
  <c r="O924" i="1"/>
  <c r="O916" i="1"/>
  <c r="O912" i="1"/>
  <c r="O908" i="1"/>
  <c r="O900" i="1"/>
  <c r="O896" i="1"/>
  <c r="O892" i="1"/>
  <c r="O884" i="1"/>
  <c r="O880" i="1"/>
  <c r="O876" i="1"/>
  <c r="O868" i="1"/>
  <c r="O864" i="1"/>
  <c r="O860" i="1"/>
  <c r="O852" i="1"/>
  <c r="O848" i="1"/>
  <c r="O844" i="1"/>
  <c r="O840" i="1"/>
  <c r="O832" i="1"/>
  <c r="O828" i="1"/>
  <c r="O824" i="1"/>
  <c r="O820" i="1"/>
  <c r="O816" i="1"/>
  <c r="O812" i="1"/>
  <c r="O808" i="1"/>
  <c r="O804" i="1"/>
  <c r="O800" i="1"/>
  <c r="O796" i="1"/>
  <c r="O788" i="1"/>
  <c r="O784" i="1"/>
  <c r="O780" i="1"/>
  <c r="O776" i="1"/>
  <c r="O768" i="1"/>
  <c r="O764" i="1"/>
  <c r="O760" i="1"/>
  <c r="O756" i="1"/>
  <c r="O752" i="1"/>
  <c r="O748" i="1"/>
  <c r="O744" i="1"/>
  <c r="O740" i="1"/>
  <c r="O736" i="1"/>
  <c r="O732" i="1"/>
  <c r="O724" i="1"/>
  <c r="O720" i="1"/>
  <c r="O716" i="1"/>
  <c r="O712" i="1"/>
  <c r="O704" i="1"/>
  <c r="O700" i="1"/>
  <c r="O696" i="1"/>
  <c r="O692" i="1"/>
  <c r="O688" i="1"/>
  <c r="O684" i="1"/>
  <c r="O680" i="1"/>
  <c r="O676" i="1"/>
  <c r="O672" i="1"/>
  <c r="O668" i="1"/>
  <c r="O660" i="1"/>
  <c r="O656" i="1"/>
  <c r="O652" i="1"/>
  <c r="O648" i="1"/>
  <c r="O640" i="1"/>
  <c r="O636" i="1"/>
  <c r="O632" i="1"/>
  <c r="O628" i="1"/>
  <c r="O624" i="1"/>
  <c r="O620" i="1"/>
  <c r="O616" i="1"/>
  <c r="O612" i="1"/>
  <c r="O608" i="1"/>
  <c r="O604" i="1"/>
  <c r="O596" i="1"/>
  <c r="O592" i="1"/>
  <c r="O588" i="1"/>
  <c r="O584" i="1"/>
  <c r="O576" i="1"/>
  <c r="O572" i="1"/>
  <c r="O568" i="1"/>
  <c r="O564" i="1"/>
  <c r="O560" i="1"/>
  <c r="O556" i="1"/>
  <c r="O552" i="1"/>
  <c r="O548" i="1"/>
  <c r="O544" i="1"/>
  <c r="O540" i="1"/>
  <c r="O532" i="1"/>
  <c r="O528" i="1"/>
  <c r="O524" i="1"/>
  <c r="O520" i="1"/>
  <c r="O512" i="1"/>
  <c r="O508" i="1"/>
  <c r="O504" i="1"/>
  <c r="O476" i="1"/>
  <c r="O444" i="1"/>
  <c r="O412" i="1"/>
  <c r="O380" i="1"/>
  <c r="O348" i="1"/>
  <c r="O221" i="1"/>
  <c r="O217" i="1"/>
  <c r="O213" i="1"/>
  <c r="O209" i="1"/>
  <c r="O205" i="1"/>
  <c r="O201" i="1"/>
  <c r="O197" i="1"/>
  <c r="O189" i="1"/>
  <c r="O185" i="1"/>
  <c r="O181" i="1"/>
  <c r="O177" i="1"/>
  <c r="O173" i="1"/>
  <c r="O169" i="1"/>
  <c r="O165" i="1"/>
  <c r="O157" i="1"/>
  <c r="O153" i="1"/>
  <c r="O149" i="1"/>
  <c r="O145" i="1"/>
  <c r="O141" i="1"/>
  <c r="O137" i="1"/>
  <c r="O133" i="1"/>
  <c r="O125" i="1"/>
  <c r="O121" i="1"/>
  <c r="O117" i="1"/>
  <c r="O113" i="1"/>
  <c r="O109" i="1"/>
  <c r="O105" i="1"/>
  <c r="O101" i="1"/>
  <c r="O93" i="1"/>
  <c r="O89" i="1"/>
  <c r="O85" i="1"/>
  <c r="O81" i="1"/>
  <c r="O77" i="1"/>
  <c r="O73" i="1"/>
  <c r="O69" i="1"/>
  <c r="O61" i="1"/>
  <c r="O57" i="1"/>
  <c r="O53" i="1"/>
  <c r="O49" i="1"/>
  <c r="O45" i="1"/>
  <c r="O41" i="1"/>
  <c r="O37" i="1"/>
  <c r="O29" i="1"/>
  <c r="O25" i="1"/>
  <c r="O21" i="1"/>
  <c r="O17" i="1"/>
  <c r="O13" i="1"/>
  <c r="O9" i="1"/>
  <c r="O5" i="1"/>
  <c r="O500" i="1"/>
  <c r="O496" i="1"/>
  <c r="O488" i="1"/>
  <c r="O484" i="1"/>
  <c r="O480" i="1"/>
  <c r="O472" i="1"/>
  <c r="O468" i="1"/>
  <c r="O464" i="1"/>
  <c r="O456" i="1"/>
  <c r="O452" i="1"/>
  <c r="O448" i="1"/>
  <c r="O440" i="1"/>
  <c r="O436" i="1"/>
  <c r="O432" i="1"/>
  <c r="O424" i="1"/>
  <c r="O420" i="1"/>
  <c r="O416" i="1"/>
  <c r="O408" i="1"/>
  <c r="O404" i="1"/>
  <c r="O400" i="1"/>
  <c r="O392" i="1"/>
  <c r="O388" i="1"/>
  <c r="O384" i="1"/>
  <c r="O376" i="1"/>
  <c r="O372" i="1"/>
  <c r="O368" i="1"/>
  <c r="O360" i="1"/>
  <c r="O356" i="1"/>
  <c r="O352" i="1"/>
  <c r="O344" i="1"/>
  <c r="O340" i="1"/>
  <c r="O336" i="1"/>
  <c r="O332" i="1"/>
  <c r="O328" i="1"/>
  <c r="O324" i="1"/>
  <c r="O320" i="1"/>
  <c r="O316" i="1"/>
  <c r="O312" i="1"/>
  <c r="O308" i="1"/>
  <c r="O304" i="1"/>
  <c r="O300" i="1"/>
  <c r="O296" i="1"/>
  <c r="O292" i="1"/>
  <c r="O288" i="1"/>
  <c r="O284" i="1"/>
  <c r="O280" i="1"/>
  <c r="O276" i="1"/>
  <c r="O272" i="1"/>
  <c r="O268" i="1"/>
  <c r="O264" i="1"/>
  <c r="O260" i="1"/>
  <c r="O256" i="1"/>
  <c r="O252" i="1"/>
  <c r="O248" i="1"/>
  <c r="O244" i="1"/>
  <c r="O240" i="1"/>
  <c r="O236" i="1"/>
  <c r="O232" i="1"/>
  <c r="O228" i="1"/>
  <c r="O224" i="1"/>
  <c r="O220" i="1"/>
  <c r="O216" i="1"/>
  <c r="O212" i="1"/>
  <c r="O208" i="1"/>
  <c r="O204" i="1"/>
  <c r="O200" i="1"/>
  <c r="O196" i="1"/>
  <c r="O192" i="1"/>
  <c r="O188" i="1"/>
  <c r="O184" i="1"/>
  <c r="O180" i="1"/>
  <c r="O176" i="1"/>
  <c r="O172" i="1"/>
  <c r="O168" i="1"/>
  <c r="O164" i="1"/>
  <c r="O160" i="1"/>
  <c r="O156" i="1"/>
  <c r="O152" i="1"/>
  <c r="O148" i="1"/>
  <c r="O144" i="1"/>
  <c r="O140" i="1"/>
  <c r="O136" i="1"/>
  <c r="O132" i="1"/>
  <c r="O128" i="1"/>
  <c r="O124" i="1"/>
  <c r="O120" i="1"/>
  <c r="O116" i="1"/>
  <c r="O112" i="1"/>
  <c r="O108" i="1"/>
  <c r="O104" i="1"/>
  <c r="O100" i="1"/>
  <c r="O96" i="1"/>
  <c r="O92" i="1"/>
  <c r="O88" i="1"/>
  <c r="O84" i="1"/>
  <c r="O80" i="1"/>
  <c r="O76" i="1"/>
  <c r="O72" i="1"/>
  <c r="O68" i="1"/>
  <c r="O64" i="1"/>
  <c r="O60" i="1"/>
  <c r="O56" i="1"/>
  <c r="O52" i="1"/>
  <c r="O48" i="1"/>
  <c r="O44" i="1"/>
  <c r="O40" i="1"/>
  <c r="O36" i="1"/>
  <c r="O32" i="1"/>
  <c r="O28" i="1"/>
  <c r="O24" i="1"/>
  <c r="O20" i="1"/>
  <c r="O16" i="1"/>
  <c r="O12" i="1"/>
  <c r="O8" i="1"/>
  <c r="O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3F6CE1-1D95-4F6C-8F4D-21F1A30113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2BD351A-07F8-404D-859F-076F3CBDEB60}" name="WorksheetConnection_excel project.xlsx!Table1" type="102" refreshedVersion="8" minRefreshableVersion="5">
    <extLst>
      <ext xmlns:x15="http://schemas.microsoft.com/office/spreadsheetml/2010/11/main" uri="{DE250136-89BD-433C-8126-D09CA5730AF9}">
        <x15:connection id="Table1">
          <x15:rangePr sourceName="_xlcn.WorksheetConnection_excelproject.xlsxTable11"/>
        </x15:connection>
      </ext>
    </extLst>
  </connection>
  <connection id="3" xr16:uid="{E76480E0-497D-49E7-A31A-88CEBF07136C}" name="WorksheetConnection_excel project.xlsx!Table4" type="102" refreshedVersion="8" minRefreshableVersion="5">
    <extLst>
      <ext xmlns:x15="http://schemas.microsoft.com/office/spreadsheetml/2010/11/main" uri="{DE250136-89BD-433C-8126-D09CA5730AF9}">
        <x15:connection id="Table4">
          <x15:rangePr sourceName="_xlcn.WorksheetConnection_excelproject.xlsxTable41"/>
        </x15:connection>
      </ext>
    </extLst>
  </connection>
</connections>
</file>

<file path=xl/sharedStrings.xml><?xml version="1.0" encoding="utf-8"?>
<sst xmlns="http://schemas.openxmlformats.org/spreadsheetml/2006/main" count="33652" uniqueCount="198">
  <si>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</si>
  <si>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</si>
  <si>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</si>
  <si>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</si>
  <si>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</si>
  <si>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</si>
  <si>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</si>
  <si>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</si>
  <si>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</si>
  <si>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</si>
  <si>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group or google</t>
  </si>
  <si>
    <t>Just make sure you do your best</t>
  </si>
  <si>
    <t>It doesn't have to be 100%</t>
  </si>
  <si>
    <t>And don't forget to watch the excel project video for direction❤️</t>
  </si>
  <si>
    <t>For any questions: https://t.me/+iwOKnjc8OecxODQ0</t>
  </si>
  <si>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</si>
  <si>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</si>
  <si>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</si>
  <si>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</si>
  <si>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</si>
  <si>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</si>
  <si>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</si>
  <si>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</si>
  <si>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</si>
  <si>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</si>
  <si>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</si>
  <si>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</si>
  <si>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</si>
  <si>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</si>
  <si>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</si>
  <si>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</si>
  <si>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</si>
  <si>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</si>
  <si>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</si>
  <si>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</si>
  <si>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</si>
  <si>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</si>
  <si>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</si>
  <si>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</si>
  <si>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</si>
  <si>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</si>
  <si>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</si>
  <si>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</si>
  <si>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</si>
  <si>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</si>
  <si>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</si>
  <si>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</si>
  <si>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</si>
  <si>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</si>
  <si>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</si>
  <si>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</si>
  <si>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</si>
  <si>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</si>
  <si>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</si>
  <si>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</si>
  <si>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</si>
  <si>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</si>
  <si>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</si>
  <si>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</si>
  <si>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</si>
  <si>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</si>
  <si>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</si>
  <si>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</si>
  <si>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</si>
  <si>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</si>
  <si>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</si>
  <si>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</si>
  <si>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</si>
  <si>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</si>
  <si>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</si>
  <si>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</si>
  <si>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</si>
  <si>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</si>
  <si>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</si>
  <si>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</si>
  <si>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</si>
  <si>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</si>
  <si>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</si>
  <si>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</si>
  <si>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</si>
  <si>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</si>
  <si>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</si>
  <si>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</si>
  <si>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</si>
  <si>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</si>
  <si>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</si>
  <si>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</si>
  <si>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</si>
  <si>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</si>
  <si>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</si>
  <si>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</si>
  <si>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</si>
  <si>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</si>
  <si>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</si>
  <si>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</si>
  <si>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</si>
  <si>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</si>
  <si>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</si>
  <si>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</si>
  <si>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</si>
  <si>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</si>
  <si>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</si>
  <si>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</si>
  <si>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</si>
  <si>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</si>
  <si>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</si>
  <si>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</si>
  <si>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</si>
  <si>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</si>
  <si>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</si>
  <si>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</si>
  <si>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</si>
  <si>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</si>
  <si>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</si>
  <si>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</si>
  <si>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</si>
  <si>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</si>
  <si>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</si>
  <si>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</si>
  <si>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</si>
  <si>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</si>
  <si>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</si>
  <si>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</si>
  <si>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</si>
  <si>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</si>
  <si>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</si>
  <si>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</si>
  <si>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</si>
  <si>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</si>
  <si>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</si>
  <si>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</si>
  <si>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</si>
  <si>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</si>
  <si>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</si>
  <si>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</si>
  <si>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</si>
  <si>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</si>
  <si>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</si>
  <si>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</si>
  <si>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</si>
  <si>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</si>
  <si>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</si>
  <si>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</si>
  <si>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</si>
  <si>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</si>
  <si>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</si>
  <si>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</si>
  <si>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</si>
  <si>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</si>
  <si>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</si>
  <si>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</si>
  <si>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</si>
  <si>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</si>
  <si>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</si>
  <si>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</si>
  <si>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</si>
  <si>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</si>
  <si>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</si>
  <si>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</si>
  <si>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</si>
  <si>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</si>
  <si>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</si>
  <si>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</si>
  <si>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</si>
  <si>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</si>
  <si>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</si>
  <si>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</si>
  <si>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</si>
  <si>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</si>
  <si>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</si>
  <si>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</si>
  <si>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</si>
  <si>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</si>
  <si>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</si>
  <si>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</si>
  <si>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</si>
  <si>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</si>
  <si>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</si>
  <si>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</si>
  <si>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</si>
  <si>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Total Profit</t>
  </si>
  <si>
    <t>Total Customer</t>
  </si>
  <si>
    <t>Grand Total</t>
  </si>
  <si>
    <t>Sum of Total Profit</t>
  </si>
  <si>
    <t>Sum of COGS</t>
  </si>
  <si>
    <t>Sum of Revenue</t>
  </si>
  <si>
    <t>Count of Total Customer</t>
  </si>
  <si>
    <t>KPI</t>
  </si>
  <si>
    <t xml:space="preserve">Monthly  </t>
  </si>
  <si>
    <t>Jan</t>
  </si>
  <si>
    <t>Feb</t>
  </si>
  <si>
    <t>Mar</t>
  </si>
  <si>
    <t>Apr</t>
  </si>
  <si>
    <t>May</t>
  </si>
  <si>
    <t>CATEGORY</t>
  </si>
  <si>
    <t>REGION</t>
  </si>
  <si>
    <t>SALES REP</t>
  </si>
  <si>
    <t>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</si>
</sst>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6A]#,##0.00"/>
    <numFmt numFmtId="165" formatCode="[$₦-46A]#,##0"/>
  </numFmts>
  <fonts count="4">
    <font>
      <sz val="11"/>
      <color theme="1"/>
      <name val="Calibri"/>
      <charset val="134"/>
      <scheme val="minor"/>
    </font>
    <font>
      <sz val="11"/>
      <color theme="1"/>
      <name val="Calibri"/>
      <family val="2"/>
      <scheme val="minor"/>
    </font>
    <font>
      <sz val="11"/>
      <color theme="1"/>
      <name val="Calibri"/>
      <family val="2"/>
      <charset val="134"/>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Font="1" applyFill="1" applyAlignment="1"/>
    <xf numFmtId="164" fontId="0" fillId="0" borderId="0" xfId="0" applyNumberFormat="1"/>
    <xf numFmtId="0" fontId="0" fillId="0" borderId="0" xfId="0" pivotButton="1"/>
    <xf numFmtId="0" fontId="0" fillId="0" borderId="0" xfId="0" applyAlignment="1">
      <alignment horizontal="left"/>
    </xf>
    <xf numFmtId="1" fontId="1" fillId="0" borderId="0" xfId="0" applyNumberFormat="1" applyFont="1"/>
    <xf numFmtId="1" fontId="0" fillId="0" borderId="0" xfId="0" applyNumberFormat="1"/>
    <xf numFmtId="14" fontId="0" fillId="0" borderId="0" xfId="0" applyNumberFormat="1"/>
    <xf numFmtId="14" fontId="2" fillId="0" borderId="0" xfId="0" applyNumberFormat="1" applyFont="1"/>
    <xf numFmtId="165" fontId="0" fillId="0" borderId="0" xfId="0" applyNumberFormat="1"/>
    <xf numFmtId="165" fontId="1" fillId="0" borderId="0" xfId="0" applyNumberFormat="1" applyFont="1"/>
    <xf numFmtId="0" fontId="3" fillId="0" borderId="0" xfId="0" applyFont="1"/>
    <xf numFmtId="0" fontId="2" fillId="0" borderId="0" xfId="0" applyFont="1"/>
  </cellXfs>
  <cellStyles count="1">
    <cellStyle name="Normal" xfId="0" builtinId="0"/>
  </cellStyles>
  <dxfs count="27">
    <dxf>
      <numFmt numFmtId="164" formatCode="[$₦-46A]#,##0.00"/>
    </dxf>
    <dxf>
      <numFmt numFmtId="164" formatCode="[$₦-46A]#,##0.00"/>
    </dxf>
    <dxf>
      <numFmt numFmtId="1" formatCode="0"/>
    </dxf>
    <dxf>
      <numFmt numFmtId="164" formatCode="[$₦-46A]#,##0.00"/>
    </dxf>
    <dxf>
      <numFmt numFmtId="164" formatCode="[$₦-46A]#,##0.00"/>
    </dxf>
    <dxf>
      <numFmt numFmtId="165" formatCode="[$₦-46A]#,##0"/>
    </dxf>
    <dxf>
      <numFmt numFmtId="164" formatCode="[$₦-46A]#,##0.00"/>
    </dxf>
    <dxf>
      <numFmt numFmtId="164" formatCode="[$₦-46A]#,##0.00"/>
    </dxf>
    <dxf>
      <numFmt numFmtId="165" formatCode="[$₦-46A]#,##0"/>
    </dxf>
    <dxf>
      <numFmt numFmtId="164" formatCode="[$₦-46A]#,##0.00"/>
    </dxf>
    <dxf>
      <numFmt numFmtId="164" formatCode="[$₦-46A]#,##0.00"/>
    </dxf>
    <dxf>
      <numFmt numFmtId="1" formatCode="0"/>
    </dxf>
    <dxf>
      <numFmt numFmtId="165" formatCode="[$₦-46A]#,##0"/>
    </dxf>
    <dxf>
      <numFmt numFmtId="165" formatCode="[$₦-46A]#,##0"/>
    </dxf>
    <dxf>
      <numFmt numFmtId="165" formatCode="[$₦-46A]#,##0"/>
    </dxf>
    <dxf>
      <numFmt numFmtId="164" formatCode="[$₦-46A]#,##0.00"/>
    </dxf>
    <dxf>
      <numFmt numFmtId="164" formatCode="[$₦-46A]#,##0.00"/>
    </dxf>
    <dxf>
      <numFmt numFmtId="165" formatCode="[$₦-46A]#,##0"/>
    </dxf>
    <dxf>
      <numFmt numFmtId="165" formatCode="[$₦-46A]#,##0"/>
    </dxf>
    <dxf>
      <numFmt numFmtId="165" formatCode="[$₦-46A]#,##0"/>
    </dxf>
    <dxf>
      <numFmt numFmtId="165" formatCode="[$₦-46A]#,##0"/>
    </dxf>
    <dxf>
      <numFmt numFmtId="165" formatCode="[$₦-46A]#,##0"/>
    </dxf>
    <dxf>
      <numFmt numFmtId="165" formatCode="[$₦-46A]#,##0"/>
    </dxf>
    <dxf>
      <numFmt numFmtId="1" formatCode="0"/>
    </dxf>
    <dxf>
      <numFmt numFmtId="19" formatCode="dd/mm/yy"/>
    </dxf>
    <dxf>
      <numFmt numFmtId="19" formatCode="dd/mm/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4.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c:f>
              <c:strCache>
                <c:ptCount val="1"/>
                <c:pt idx="0">
                  <c:v>Total</c:v>
                </c:pt>
              </c:strCache>
            </c:strRef>
          </c:tx>
          <c:spPr>
            <a:solidFill>
              <a:schemeClr val="accent1"/>
            </a:solidFill>
            <a:ln>
              <a:noFill/>
            </a:ln>
            <a:effectLst/>
          </c:spPr>
          <c:invertIfNegative val="0"/>
          <c:cat>
            <c:strRef>
              <c:f>'Pivot table'!$A$10:$A$20</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table'!$B$10:$B$20</c:f>
              <c:numCache>
                <c:formatCode>[$₦-46A]#,##0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E46D-40DC-9553-B2892FB680E8}"/>
            </c:ext>
          </c:extLst>
        </c:ser>
        <c:dLbls>
          <c:showLegendKey val="0"/>
          <c:showVal val="0"/>
          <c:showCatName val="0"/>
          <c:showSerName val="0"/>
          <c:showPercent val="0"/>
          <c:showBubbleSize val="0"/>
        </c:dLbls>
        <c:gapWidth val="182"/>
        <c:axId val="851880271"/>
        <c:axId val="851878831"/>
      </c:barChart>
      <c:catAx>
        <c:axId val="85188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78831"/>
        <c:crosses val="autoZero"/>
        <c:auto val="1"/>
        <c:lblAlgn val="ctr"/>
        <c:lblOffset val="100"/>
        <c:noMultiLvlLbl val="0"/>
      </c:catAx>
      <c:valAx>
        <c:axId val="851878831"/>
        <c:scaling>
          <c:orientation val="minMax"/>
        </c:scaling>
        <c:delete val="0"/>
        <c:axPos val="b"/>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8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table'!$A$24:$A$30</c:f>
              <c:strCache>
                <c:ptCount val="6"/>
                <c:pt idx="0">
                  <c:v>Peter</c:v>
                </c:pt>
                <c:pt idx="1">
                  <c:v>Musa</c:v>
                </c:pt>
                <c:pt idx="2">
                  <c:v>David</c:v>
                </c:pt>
                <c:pt idx="3">
                  <c:v>Aisha</c:v>
                </c:pt>
                <c:pt idx="4">
                  <c:v>Chidinma</c:v>
                </c:pt>
                <c:pt idx="5">
                  <c:v>Grace</c:v>
                </c:pt>
              </c:strCache>
            </c:strRef>
          </c:cat>
          <c:val>
            <c:numRef>
              <c:f>'Pivot table'!$B$24:$B$30</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318F-4F1F-BE3C-FF3CE18CEDFE}"/>
            </c:ext>
          </c:extLst>
        </c:ser>
        <c:dLbls>
          <c:dLblPos val="outEnd"/>
          <c:showLegendKey val="0"/>
          <c:showVal val="1"/>
          <c:showCatName val="0"/>
          <c:showSerName val="0"/>
          <c:showPercent val="0"/>
          <c:showBubbleSize val="0"/>
        </c:dLbls>
        <c:gapWidth val="219"/>
        <c:axId val="903156815"/>
        <c:axId val="903163055"/>
      </c:barChart>
      <c:catAx>
        <c:axId val="90315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63055"/>
        <c:crosses val="autoZero"/>
        <c:auto val="1"/>
        <c:lblAlgn val="ctr"/>
        <c:lblOffset val="100"/>
        <c:noMultiLvlLbl val="0"/>
      </c:catAx>
      <c:valAx>
        <c:axId val="903163055"/>
        <c:scaling>
          <c:orientation val="minMax"/>
        </c:scaling>
        <c:delete val="1"/>
        <c:axPos val="b"/>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crossAx val="90315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table'!$B$33</c:f>
              <c:strCache>
                <c:ptCount val="1"/>
                <c:pt idx="0">
                  <c:v>Total</c:v>
                </c:pt>
              </c:strCache>
            </c:strRef>
          </c:tx>
          <c:spPr>
            <a:solidFill>
              <a:schemeClr val="accent1"/>
            </a:solidFill>
            <a:ln>
              <a:noFill/>
            </a:ln>
            <a:effectLst/>
          </c:spPr>
          <c:invertIfNegative val="0"/>
          <c:cat>
            <c:strRef>
              <c:f>'Pivot table'!$A$34:$A$38</c:f>
              <c:strCache>
                <c:ptCount val="4"/>
                <c:pt idx="0">
                  <c:v>Lagos</c:v>
                </c:pt>
                <c:pt idx="1">
                  <c:v>Kano</c:v>
                </c:pt>
                <c:pt idx="2">
                  <c:v>Port Harcourt</c:v>
                </c:pt>
                <c:pt idx="3">
                  <c:v>Abuja</c:v>
                </c:pt>
              </c:strCache>
            </c:strRef>
          </c:cat>
          <c:val>
            <c:numRef>
              <c:f>'Pivot table'!$B$34:$B$38</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1603-4ED3-8F9B-D27A6B8552BB}"/>
            </c:ext>
          </c:extLst>
        </c:ser>
        <c:dLbls>
          <c:showLegendKey val="0"/>
          <c:showVal val="0"/>
          <c:showCatName val="0"/>
          <c:showSerName val="0"/>
          <c:showPercent val="0"/>
          <c:showBubbleSize val="0"/>
        </c:dLbls>
        <c:gapWidth val="219"/>
        <c:overlap val="-27"/>
        <c:axId val="983412527"/>
        <c:axId val="983413007"/>
      </c:barChart>
      <c:catAx>
        <c:axId val="98341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13007"/>
        <c:crosses val="autoZero"/>
        <c:auto val="1"/>
        <c:lblAlgn val="ctr"/>
        <c:lblOffset val="100"/>
        <c:noMultiLvlLbl val="0"/>
      </c:catAx>
      <c:valAx>
        <c:axId val="983413007"/>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1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c:f>
              <c:strCache>
                <c:ptCount val="1"/>
                <c:pt idx="0">
                  <c:v>Total</c:v>
                </c:pt>
              </c:strCache>
            </c:strRef>
          </c:tx>
          <c:spPr>
            <a:ln w="28575" cap="rnd">
              <a:solidFill>
                <a:schemeClr val="accent1"/>
              </a:solidFill>
              <a:round/>
            </a:ln>
            <a:effectLst/>
          </c:spPr>
          <c:marker>
            <c:symbol val="none"/>
          </c:marker>
          <c:cat>
            <c:strRef>
              <c:f>'Pivot table'!$A$49:$A$54</c:f>
              <c:strCache>
                <c:ptCount val="5"/>
                <c:pt idx="0">
                  <c:v>Apr</c:v>
                </c:pt>
                <c:pt idx="1">
                  <c:v>Mar</c:v>
                </c:pt>
                <c:pt idx="2">
                  <c:v>Jan</c:v>
                </c:pt>
                <c:pt idx="3">
                  <c:v>Feb</c:v>
                </c:pt>
                <c:pt idx="4">
                  <c:v>May</c:v>
                </c:pt>
              </c:strCache>
            </c:strRef>
          </c:cat>
          <c:val>
            <c:numRef>
              <c:f>'Pivot table'!$B$49:$B$54</c:f>
              <c:numCache>
                <c:formatCode>0</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0A2F-474B-8CB6-2FEFF19D19D4}"/>
            </c:ext>
          </c:extLst>
        </c:ser>
        <c:dLbls>
          <c:showLegendKey val="0"/>
          <c:showVal val="0"/>
          <c:showCatName val="0"/>
          <c:showSerName val="0"/>
          <c:showPercent val="0"/>
          <c:showBubbleSize val="0"/>
        </c:dLbls>
        <c:smooth val="0"/>
        <c:axId val="1891668287"/>
        <c:axId val="1891667807"/>
      </c:lineChart>
      <c:catAx>
        <c:axId val="189166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67807"/>
        <c:crosses val="autoZero"/>
        <c:auto val="1"/>
        <c:lblAlgn val="ctr"/>
        <c:lblOffset val="100"/>
        <c:noMultiLvlLbl val="0"/>
      </c:catAx>
      <c:valAx>
        <c:axId val="1891667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6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701310476951956E-2"/>
          <c:y val="7.9096087421729133E-2"/>
          <c:w val="0.91589008996208132"/>
          <c:h val="0.72950508270212167"/>
        </c:manualLayout>
      </c:layout>
      <c:lineChart>
        <c:grouping val="standard"/>
        <c:varyColors val="0"/>
        <c:ser>
          <c:idx val="0"/>
          <c:order val="0"/>
          <c:tx>
            <c:strRef>
              <c:f>'Pivot table'!$B$48</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table'!$A$49:$A$54</c:f>
              <c:strCache>
                <c:ptCount val="5"/>
                <c:pt idx="0">
                  <c:v>Apr</c:v>
                </c:pt>
                <c:pt idx="1">
                  <c:v>Mar</c:v>
                </c:pt>
                <c:pt idx="2">
                  <c:v>Jan</c:v>
                </c:pt>
                <c:pt idx="3">
                  <c:v>Feb</c:v>
                </c:pt>
                <c:pt idx="4">
                  <c:v>May</c:v>
                </c:pt>
              </c:strCache>
            </c:strRef>
          </c:cat>
          <c:val>
            <c:numRef>
              <c:f>'Pivot table'!$B$49:$B$54</c:f>
              <c:numCache>
                <c:formatCode>0</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2A99-4862-8C57-8FA75A1601E9}"/>
            </c:ext>
          </c:extLst>
        </c:ser>
        <c:dLbls>
          <c:dLblPos val="ctr"/>
          <c:showLegendKey val="0"/>
          <c:showVal val="1"/>
          <c:showCatName val="0"/>
          <c:showSerName val="0"/>
          <c:showPercent val="0"/>
          <c:showBubbleSize val="0"/>
        </c:dLbls>
        <c:marker val="1"/>
        <c:smooth val="0"/>
        <c:axId val="1891668287"/>
        <c:axId val="1891667807"/>
      </c:lineChart>
      <c:catAx>
        <c:axId val="1891668287"/>
        <c:scaling>
          <c:orientation val="minMax"/>
        </c:scaling>
        <c:delete val="0"/>
        <c:axPos val="b"/>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1667807"/>
        <c:crosses val="autoZero"/>
        <c:auto val="1"/>
        <c:lblAlgn val="ctr"/>
        <c:lblOffset val="100"/>
        <c:noMultiLvlLbl val="0"/>
      </c:catAx>
      <c:valAx>
        <c:axId val="1891667807"/>
        <c:scaling>
          <c:orientation val="minMax"/>
        </c:scaling>
        <c:delete val="1"/>
        <c:axPos val="l"/>
        <c:numFmt formatCode="0" sourceLinked="1"/>
        <c:majorTickMark val="none"/>
        <c:minorTickMark val="none"/>
        <c:tickLblPos val="nextTo"/>
        <c:crossAx val="1891668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1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81660204803593E-2"/>
          <c:y val="0.18828156079843791"/>
          <c:w val="0.92062173848001727"/>
          <c:h val="0.6200660202312227"/>
        </c:manualLayout>
      </c:layout>
      <c:barChart>
        <c:barDir val="col"/>
        <c:grouping val="clustered"/>
        <c:varyColors val="0"/>
        <c:ser>
          <c:idx val="0"/>
          <c:order val="0"/>
          <c:tx>
            <c:strRef>
              <c:f>'Pivot table'!$B$33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table'!$A$34:$A$38</c:f>
              <c:strCache>
                <c:ptCount val="4"/>
                <c:pt idx="0">
                  <c:v>Lagos</c:v>
                </c:pt>
                <c:pt idx="1">
                  <c:v>Kano</c:v>
                </c:pt>
                <c:pt idx="2">
                  <c:v>Port Harcourt</c:v>
                </c:pt>
                <c:pt idx="3">
                  <c:v>Abuja</c:v>
                </c:pt>
              </c:strCache>
            </c:strRef>
          </c:cat>
          <c:val>
            <c:numRef>
              <c:f>'Pivot table'!$B$34:$B$38</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C4E4-425A-876B-03FB933D96FE}"/>
            </c:ext>
          </c:extLst>
        </c:ser>
        <c:dLbls>
          <c:dLblPos val="outEnd"/>
          <c:showLegendKey val="0"/>
          <c:showVal val="1"/>
          <c:showCatName val="0"/>
          <c:showSerName val="0"/>
          <c:showPercent val="0"/>
          <c:showBubbleSize val="0"/>
        </c:dLbls>
        <c:gapWidth val="219"/>
        <c:overlap val="-27"/>
        <c:axId val="983412527"/>
        <c:axId val="983413007"/>
      </c:barChart>
      <c:catAx>
        <c:axId val="98341252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13007"/>
        <c:crosses val="autoZero"/>
        <c:auto val="1"/>
        <c:lblAlgn val="ctr"/>
        <c:lblOffset val="100"/>
        <c:noMultiLvlLbl val="0"/>
      </c:catAx>
      <c:valAx>
        <c:axId val="983413007"/>
        <c:scaling>
          <c:orientation val="minMax"/>
        </c:scaling>
        <c:delete val="1"/>
        <c:axPos val="l"/>
        <c:numFmt formatCode="[$₦-46A]#,##0" sourceLinked="1"/>
        <c:majorTickMark val="out"/>
        <c:minorTickMark val="none"/>
        <c:tickLblPos val="nextTo"/>
        <c:crossAx val="98341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table!PivotTable6</c:name>
    <c:fmtId val="2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6464899880806"/>
          <c:y val="5.621206381846551E-2"/>
          <c:w val="0.60126250471286558"/>
          <c:h val="0.90401325297366497"/>
        </c:manualLayout>
      </c:layout>
      <c:barChart>
        <c:barDir val="bar"/>
        <c:grouping val="clustered"/>
        <c:varyColors val="0"/>
        <c:ser>
          <c:idx val="0"/>
          <c:order val="0"/>
          <c:tx>
            <c:strRef>
              <c:f>'Pivot table'!$B$9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table'!$A$10:$A$20</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table'!$B$10:$B$20</c:f>
              <c:numCache>
                <c:formatCode>[$₦-46A]#,##0</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2AB7-491D-A63A-5DF223A39300}"/>
            </c:ext>
          </c:extLst>
        </c:ser>
        <c:dLbls>
          <c:dLblPos val="outEnd"/>
          <c:showLegendKey val="0"/>
          <c:showVal val="1"/>
          <c:showCatName val="0"/>
          <c:showSerName val="0"/>
          <c:showPercent val="0"/>
          <c:showBubbleSize val="0"/>
        </c:dLbls>
        <c:gapWidth val="182"/>
        <c:axId val="851880271"/>
        <c:axId val="851878831"/>
      </c:barChart>
      <c:catAx>
        <c:axId val="8518802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878831"/>
        <c:crosses val="autoZero"/>
        <c:auto val="1"/>
        <c:lblAlgn val="ctr"/>
        <c:lblOffset val="100"/>
        <c:noMultiLvlLbl val="0"/>
      </c:catAx>
      <c:valAx>
        <c:axId val="851878831"/>
        <c:scaling>
          <c:orientation val="minMax"/>
        </c:scaling>
        <c:delete val="1"/>
        <c:axPos val="b"/>
        <c:numFmt formatCode="[$₦-46A]#,##0" sourceLinked="1"/>
        <c:majorTickMark val="none"/>
        <c:minorTickMark val="none"/>
        <c:tickLblPos val="nextTo"/>
        <c:crossAx val="85188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table!PivotTable7</c:name>
    <c:fmtId val="1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4302040837302"/>
          <c:y val="7.7947845804988661E-2"/>
          <c:w val="0.6502077210978453"/>
          <c:h val="0.84410430839002271"/>
        </c:manualLayout>
      </c:layout>
      <c:barChart>
        <c:barDir val="bar"/>
        <c:grouping val="clustered"/>
        <c:varyColors val="0"/>
        <c:ser>
          <c:idx val="0"/>
          <c:order val="0"/>
          <c:tx>
            <c:strRef>
              <c:f>'Pivot table'!$B$23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table'!$A$24:$A$30</c:f>
              <c:strCache>
                <c:ptCount val="6"/>
                <c:pt idx="0">
                  <c:v>Peter</c:v>
                </c:pt>
                <c:pt idx="1">
                  <c:v>Musa</c:v>
                </c:pt>
                <c:pt idx="2">
                  <c:v>David</c:v>
                </c:pt>
                <c:pt idx="3">
                  <c:v>Aisha</c:v>
                </c:pt>
                <c:pt idx="4">
                  <c:v>Chidinma</c:v>
                </c:pt>
                <c:pt idx="5">
                  <c:v>Grace</c:v>
                </c:pt>
              </c:strCache>
            </c:strRef>
          </c:cat>
          <c:val>
            <c:numRef>
              <c:f>'Pivot table'!$B$24:$B$30</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7661-43BB-835A-2644E58386E6}"/>
            </c:ext>
          </c:extLst>
        </c:ser>
        <c:dLbls>
          <c:dLblPos val="outEnd"/>
          <c:showLegendKey val="0"/>
          <c:showVal val="1"/>
          <c:showCatName val="0"/>
          <c:showSerName val="0"/>
          <c:showPercent val="0"/>
          <c:showBubbleSize val="0"/>
        </c:dLbls>
        <c:gapWidth val="219"/>
        <c:axId val="903156815"/>
        <c:axId val="903163055"/>
      </c:barChart>
      <c:catAx>
        <c:axId val="9031568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163055"/>
        <c:crosses val="autoZero"/>
        <c:auto val="1"/>
        <c:lblAlgn val="ctr"/>
        <c:lblOffset val="100"/>
        <c:noMultiLvlLbl val="0"/>
      </c:catAx>
      <c:valAx>
        <c:axId val="903163055"/>
        <c:scaling>
          <c:orientation val="minMax"/>
        </c:scaling>
        <c:delete val="1"/>
        <c:axPos val="b"/>
        <c:numFmt formatCode="[$₦-46A]#,##0" sourceLinked="1"/>
        <c:majorTickMark val="out"/>
        <c:minorTickMark val="none"/>
        <c:tickLblPos val="nextTo"/>
        <c:crossAx val="90315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238125</xdr:colOff>
      <xdr:row>4</xdr:row>
      <xdr:rowOff>180975</xdr:rowOff>
    </xdr:from>
    <xdr:to>
      <xdr:col>15</xdr:col>
      <xdr:colOff>9525</xdr:colOff>
      <xdr:row>19</xdr:row>
      <xdr:rowOff>66675</xdr:rowOff>
    </xdr:to>
    <xdr:graphicFrame macro="">
      <xdr:nvGraphicFramePr>
        <xdr:cNvPr id="2" name="Chart 1">
          <a:extLst>
            <a:ext uri="{FF2B5EF4-FFF2-40B4-BE49-F238E27FC236}">
              <a16:creationId xmlns:a16="http://schemas.microsoft.com/office/drawing/2014/main" id="{92ACD3B5-E822-E56E-0E2A-F3F8292A9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47624</xdr:colOff>
      <xdr:row>19</xdr:row>
      <xdr:rowOff>47625</xdr:rowOff>
    </xdr:from>
    <xdr:to>
      <xdr:col>14</xdr:col>
      <xdr:colOff>400049</xdr:colOff>
      <xdr:row>30</xdr:row>
      <xdr:rowOff>180975</xdr:rowOff>
    </xdr:to>
    <xdr:graphicFrame macro="">
      <xdr:nvGraphicFramePr>
        <xdr:cNvPr id="3" name="Chart 2">
          <a:extLst>
            <a:ext uri="{FF2B5EF4-FFF2-40B4-BE49-F238E27FC236}">
              <a16:creationId xmlns:a16="http://schemas.microsoft.com/office/drawing/2014/main" id="{E20CA940-1BBD-8455-1511-6F69A755E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85725</xdr:colOff>
      <xdr:row>32</xdr:row>
      <xdr:rowOff>0</xdr:rowOff>
    </xdr:from>
    <xdr:to>
      <xdr:col>14</xdr:col>
      <xdr:colOff>257175</xdr:colOff>
      <xdr:row>46</xdr:row>
      <xdr:rowOff>76200</xdr:rowOff>
    </xdr:to>
    <xdr:graphicFrame macro="">
      <xdr:nvGraphicFramePr>
        <xdr:cNvPr id="4" name="Chart 3">
          <a:extLst>
            <a:ext uri="{FF2B5EF4-FFF2-40B4-BE49-F238E27FC236}">
              <a16:creationId xmlns:a16="http://schemas.microsoft.com/office/drawing/2014/main" id="{C1B4D377-81E6-7D0B-B956-6F538F850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295275</xdr:colOff>
      <xdr:row>46</xdr:row>
      <xdr:rowOff>171450</xdr:rowOff>
    </xdr:from>
    <xdr:to>
      <xdr:col>12</xdr:col>
      <xdr:colOff>142875</xdr:colOff>
      <xdr:row>61</xdr:row>
      <xdr:rowOff>57150</xdr:rowOff>
    </xdr:to>
    <xdr:graphicFrame macro="">
      <xdr:nvGraphicFramePr>
        <xdr:cNvPr id="5" name="Chart 4">
          <a:extLst>
            <a:ext uri="{FF2B5EF4-FFF2-40B4-BE49-F238E27FC236}">
              <a16:creationId xmlns:a16="http://schemas.microsoft.com/office/drawing/2014/main" id="{B535AD37-3FD0-CFE3-4822-D1D7F39E1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228600</xdr:colOff>
      <xdr:row>5</xdr:row>
      <xdr:rowOff>0</xdr:rowOff>
    </xdr:from>
    <xdr:to>
      <xdr:col>21</xdr:col>
      <xdr:colOff>57150</xdr:colOff>
      <xdr:row>18</xdr:row>
      <xdr:rowOff>47625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0EE093A-FF23-CB2E-052C-25616F4C94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77500" y="952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295275</xdr:colOff>
      <xdr:row>4</xdr:row>
      <xdr:rowOff>152400</xdr:rowOff>
    </xdr:from>
    <xdr:to>
      <xdr:col>26</xdr:col>
      <xdr:colOff>390525</xdr:colOff>
      <xdr:row>18</xdr:row>
      <xdr:rowOff>104775</xdr:rowOff>
    </xdr:to>
    <mc:AlternateContent xmlns:mc="http://schemas.openxmlformats.org/markup-compatibility/2006">
      <mc:Choice xmlns:a14="http://schemas.microsoft.com/office/drawing/2010/main" Requires="a14">
        <xdr:graphicFrame macro="">
          <xdr:nvGraphicFramePr>
            <xdr:cNvPr id="9" name="CHANNEL">
              <a:extLst>
                <a:ext uri="{FF2B5EF4-FFF2-40B4-BE49-F238E27FC236}">
                  <a16:creationId xmlns:a16="http://schemas.microsoft.com/office/drawing/2014/main" id="{B7B262D4-579C-D275-9B06-5F40517EAA3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2944475" y="914400"/>
              <a:ext cx="1828800" cy="261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209550</xdr:colOff>
      <xdr:row>18</xdr:row>
      <xdr:rowOff>161925</xdr:rowOff>
    </xdr:from>
    <xdr:to>
      <xdr:col>21</xdr:col>
      <xdr:colOff>38100</xdr:colOff>
      <xdr:row>32</xdr:row>
      <xdr:rowOff>19050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0AA72466-E2CD-F4F6-2039-4CBD3BBC68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458450" y="3590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314325</xdr:colOff>
      <xdr:row>18</xdr:row>
      <xdr:rowOff>180975</xdr:rowOff>
    </xdr:from>
    <xdr:to>
      <xdr:col>26</xdr:col>
      <xdr:colOff>409575</xdr:colOff>
      <xdr:row>32</xdr:row>
      <xdr:rowOff>38100</xdr:rowOff>
    </xdr:to>
    <mc:AlternateContent xmlns:mc="http://schemas.openxmlformats.org/markup-compatibility/2006">
      <mc:Choice xmlns:a14="http://schemas.microsoft.com/office/drawing/2010/main" Requires="a14">
        <xdr:graphicFrame macro="">
          <xdr:nvGraphicFramePr>
            <xdr:cNvPr id="11" name="SALES REP">
              <a:extLst>
                <a:ext uri="{FF2B5EF4-FFF2-40B4-BE49-F238E27FC236}">
                  <a16:creationId xmlns:a16="http://schemas.microsoft.com/office/drawing/2014/main" id="{39EDAB75-8B23-52A8-700B-FF29B4F0C1BC}"/>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12963525" y="3609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94477</xdr:colOff>
      <xdr:row>3</xdr:row>
      <xdr:rowOff>166688</xdr:rowOff>
    </xdr:from>
    <xdr:to>
      <xdr:col>15</xdr:col>
      <xdr:colOff>428628</xdr:colOff>
      <xdr:row>29</xdr:row>
      <xdr:rowOff>1</xdr:rowOff>
    </xdr:to>
    <xdr:sp macro="" textlink="">
      <xdr:nvSpPr>
        <xdr:cNvPr id="36" name="Rectangle: Rounded Corners 35">
          <a:extLst>
            <a:ext uri="{FF2B5EF4-FFF2-40B4-BE49-F238E27FC236}">
              <a16:creationId xmlns:a16="http://schemas.microsoft.com/office/drawing/2014/main" id="{593C029F-BE81-5893-A4B2-B8F7101CA292}"/>
            </a:ext>
          </a:extLst>
        </xdr:cNvPr>
        <xdr:cNvSpPr/>
      </xdr:nvSpPr>
      <xdr:spPr>
        <a:xfrm rot="5400000" flipV="1">
          <a:off x="6369458" y="2357051"/>
          <a:ext cx="4786313" cy="1548588"/>
        </a:xfrm>
        <a:prstGeom prst="roundRect">
          <a:avLst>
            <a:gd name="adj" fmla="val 1074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452437</xdr:colOff>
      <xdr:row>3</xdr:row>
      <xdr:rowOff>23811</xdr:rowOff>
    </xdr:from>
    <xdr:to>
      <xdr:col>16</xdr:col>
      <xdr:colOff>154781</xdr:colOff>
      <xdr:row>29</xdr:row>
      <xdr:rowOff>142873</xdr:rowOff>
    </xdr:to>
    <xdr:sp macro="" textlink="">
      <xdr:nvSpPr>
        <xdr:cNvPr id="4" name="Rectangle: Rounded Corners 3">
          <a:extLst>
            <a:ext uri="{FF2B5EF4-FFF2-40B4-BE49-F238E27FC236}">
              <a16:creationId xmlns:a16="http://schemas.microsoft.com/office/drawing/2014/main" id="{E0EA29F6-A7E2-8883-2627-0D62B13CC03B}"/>
            </a:ext>
          </a:extLst>
        </xdr:cNvPr>
        <xdr:cNvSpPr>
          <a:spLocks/>
        </xdr:cNvSpPr>
      </xdr:nvSpPr>
      <xdr:spPr>
        <a:xfrm flipV="1">
          <a:off x="452437" y="595311"/>
          <a:ext cx="9417844" cy="5072062"/>
        </a:xfrm>
        <a:prstGeom prst="roundRect">
          <a:avLst>
            <a:gd name="adj" fmla="val 441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7</xdr:col>
      <xdr:colOff>47625</xdr:colOff>
      <xdr:row>9</xdr:row>
      <xdr:rowOff>73670</xdr:rowOff>
    </xdr:from>
    <xdr:to>
      <xdr:col>13</xdr:col>
      <xdr:colOff>31296</xdr:colOff>
      <xdr:row>18</xdr:row>
      <xdr:rowOff>187970</xdr:rowOff>
    </xdr:to>
    <xdr:sp macro="" textlink="">
      <xdr:nvSpPr>
        <xdr:cNvPr id="14" name="Rectangle: Rounded Corners 13">
          <a:extLst>
            <a:ext uri="{FF2B5EF4-FFF2-40B4-BE49-F238E27FC236}">
              <a16:creationId xmlns:a16="http://schemas.microsoft.com/office/drawing/2014/main" id="{A13EE586-92D8-A212-E1BF-F43DB31A897B}"/>
            </a:ext>
          </a:extLst>
        </xdr:cNvPr>
        <xdr:cNvSpPr/>
      </xdr:nvSpPr>
      <xdr:spPr>
        <a:xfrm flipV="1">
          <a:off x="4333875" y="1788170"/>
          <a:ext cx="3657600" cy="1828800"/>
        </a:xfrm>
        <a:prstGeom prst="roundRect">
          <a:avLst>
            <a:gd name="adj" fmla="val 69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607218</xdr:colOff>
      <xdr:row>19</xdr:row>
      <xdr:rowOff>49176</xdr:rowOff>
    </xdr:from>
    <xdr:to>
      <xdr:col>6</xdr:col>
      <xdr:colOff>568778</xdr:colOff>
      <xdr:row>28</xdr:row>
      <xdr:rowOff>163476</xdr:rowOff>
    </xdr:to>
    <xdr:sp macro="" textlink="">
      <xdr:nvSpPr>
        <xdr:cNvPr id="17" name="Rectangle: Rounded Corners 16">
          <a:extLst>
            <a:ext uri="{FF2B5EF4-FFF2-40B4-BE49-F238E27FC236}">
              <a16:creationId xmlns:a16="http://schemas.microsoft.com/office/drawing/2014/main" id="{171B5A43-B46A-FA5A-F0AB-E5451374659B}"/>
            </a:ext>
          </a:extLst>
        </xdr:cNvPr>
        <xdr:cNvSpPr/>
      </xdr:nvSpPr>
      <xdr:spPr>
        <a:xfrm flipV="1">
          <a:off x="607218" y="3668676"/>
          <a:ext cx="3604873" cy="1828800"/>
        </a:xfrm>
        <a:prstGeom prst="roundRect">
          <a:avLst>
            <a:gd name="adj" fmla="val 69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7</xdr:col>
      <xdr:colOff>25855</xdr:colOff>
      <xdr:row>19</xdr:row>
      <xdr:rowOff>65506</xdr:rowOff>
    </xdr:from>
    <xdr:to>
      <xdr:col>13</xdr:col>
      <xdr:colOff>9526</xdr:colOff>
      <xdr:row>28</xdr:row>
      <xdr:rowOff>179806</xdr:rowOff>
    </xdr:to>
    <xdr:sp macro="" textlink="">
      <xdr:nvSpPr>
        <xdr:cNvPr id="18" name="Rectangle: Rounded Corners 17">
          <a:extLst>
            <a:ext uri="{FF2B5EF4-FFF2-40B4-BE49-F238E27FC236}">
              <a16:creationId xmlns:a16="http://schemas.microsoft.com/office/drawing/2014/main" id="{FC81306F-407E-5DF3-59A4-31DD848F2391}"/>
            </a:ext>
          </a:extLst>
        </xdr:cNvPr>
        <xdr:cNvSpPr/>
      </xdr:nvSpPr>
      <xdr:spPr>
        <a:xfrm flipV="1">
          <a:off x="4312105" y="3685006"/>
          <a:ext cx="3657600" cy="1828800"/>
        </a:xfrm>
        <a:prstGeom prst="roundRect">
          <a:avLst>
            <a:gd name="adj" fmla="val 69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xdr:col>
      <xdr:colOff>1022</xdr:colOff>
      <xdr:row>9</xdr:row>
      <xdr:rowOff>76392</xdr:rowOff>
    </xdr:from>
    <xdr:to>
      <xdr:col>6</xdr:col>
      <xdr:colOff>591912</xdr:colOff>
      <xdr:row>19</xdr:row>
      <xdr:rowOff>192</xdr:rowOff>
    </xdr:to>
    <xdr:sp macro="" textlink="">
      <xdr:nvSpPr>
        <xdr:cNvPr id="19" name="Rectangle: Rounded Corners 18">
          <a:extLst>
            <a:ext uri="{FF2B5EF4-FFF2-40B4-BE49-F238E27FC236}">
              <a16:creationId xmlns:a16="http://schemas.microsoft.com/office/drawing/2014/main" id="{EF10B5BD-D459-953C-CAA8-C4B22C4A99A1}"/>
            </a:ext>
          </a:extLst>
        </xdr:cNvPr>
        <xdr:cNvSpPr/>
      </xdr:nvSpPr>
      <xdr:spPr>
        <a:xfrm flipV="1">
          <a:off x="608241" y="1790892"/>
          <a:ext cx="3626984" cy="1828800"/>
        </a:xfrm>
        <a:prstGeom prst="roundRect">
          <a:avLst>
            <a:gd name="adj" fmla="val 69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0</xdr:col>
      <xdr:colOff>583406</xdr:colOff>
      <xdr:row>3</xdr:row>
      <xdr:rowOff>178592</xdr:rowOff>
    </xdr:from>
    <xdr:to>
      <xdr:col>13</xdr:col>
      <xdr:colOff>35718</xdr:colOff>
      <xdr:row>8</xdr:row>
      <xdr:rowOff>190499</xdr:rowOff>
    </xdr:to>
    <xdr:sp macro="" textlink="">
      <xdr:nvSpPr>
        <xdr:cNvPr id="2" name="Rectangle: Rounded Corners 1">
          <a:extLst>
            <a:ext uri="{FF2B5EF4-FFF2-40B4-BE49-F238E27FC236}">
              <a16:creationId xmlns:a16="http://schemas.microsoft.com/office/drawing/2014/main" id="{6AA2AC5D-7F4C-B31C-365B-2F8D66073075}"/>
            </a:ext>
          </a:extLst>
        </xdr:cNvPr>
        <xdr:cNvSpPr/>
      </xdr:nvSpPr>
      <xdr:spPr>
        <a:xfrm flipV="1">
          <a:off x="583406" y="750092"/>
          <a:ext cx="7346156" cy="964407"/>
        </a:xfrm>
        <a:prstGeom prst="roundRect">
          <a:avLst>
            <a:gd name="adj" fmla="val 9481"/>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7</xdr:col>
      <xdr:colOff>149679</xdr:colOff>
      <xdr:row>20</xdr:row>
      <xdr:rowOff>68036</xdr:rowOff>
    </xdr:from>
    <xdr:to>
      <xdr:col>12</xdr:col>
      <xdr:colOff>435429</xdr:colOff>
      <xdr:row>28</xdr:row>
      <xdr:rowOff>149678</xdr:rowOff>
    </xdr:to>
    <xdr:graphicFrame macro="">
      <xdr:nvGraphicFramePr>
        <xdr:cNvPr id="10" name="Chart 9">
          <a:extLst>
            <a:ext uri="{FF2B5EF4-FFF2-40B4-BE49-F238E27FC236}">
              <a16:creationId xmlns:a16="http://schemas.microsoft.com/office/drawing/2014/main" id="{B1D11773-1AD9-4EC2-BD51-6EC7FC2E7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530681</xdr:colOff>
      <xdr:row>19</xdr:row>
      <xdr:rowOff>149679</xdr:rowOff>
    </xdr:from>
    <xdr:to>
      <xdr:col>6</xdr:col>
      <xdr:colOff>544285</xdr:colOff>
      <xdr:row>28</xdr:row>
      <xdr:rowOff>81644</xdr:rowOff>
    </xdr:to>
    <xdr:graphicFrame macro="">
      <xdr:nvGraphicFramePr>
        <xdr:cNvPr id="21" name="Chart 20">
          <a:extLst>
            <a:ext uri="{FF2B5EF4-FFF2-40B4-BE49-F238E27FC236}">
              <a16:creationId xmlns:a16="http://schemas.microsoft.com/office/drawing/2014/main" id="{922923BB-2AE1-4432-8B03-C3FD95ABD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604838</xdr:colOff>
      <xdr:row>9</xdr:row>
      <xdr:rowOff>128588</xdr:rowOff>
    </xdr:from>
    <xdr:to>
      <xdr:col>7</xdr:col>
      <xdr:colOff>19050</xdr:colOff>
      <xdr:row>18</xdr:row>
      <xdr:rowOff>188120</xdr:rowOff>
    </xdr:to>
    <xdr:graphicFrame macro="">
      <xdr:nvGraphicFramePr>
        <xdr:cNvPr id="22" name="Chart 21">
          <a:extLst>
            <a:ext uri="{FF2B5EF4-FFF2-40B4-BE49-F238E27FC236}">
              <a16:creationId xmlns:a16="http://schemas.microsoft.com/office/drawing/2014/main" id="{A1DFF4C2-4886-4896-A181-C19DCF033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71430</xdr:colOff>
      <xdr:row>10</xdr:row>
      <xdr:rowOff>59532</xdr:rowOff>
    </xdr:from>
    <xdr:to>
      <xdr:col>13</xdr:col>
      <xdr:colOff>130968</xdr:colOff>
      <xdr:row>19</xdr:row>
      <xdr:rowOff>47625</xdr:rowOff>
    </xdr:to>
    <xdr:graphicFrame macro="">
      <xdr:nvGraphicFramePr>
        <xdr:cNvPr id="25" name="Chart 24">
          <a:extLst>
            <a:ext uri="{FF2B5EF4-FFF2-40B4-BE49-F238E27FC236}">
              <a16:creationId xmlns:a16="http://schemas.microsoft.com/office/drawing/2014/main" id="{8696156E-4464-41FC-9989-2130BD119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200025</xdr:colOff>
      <xdr:row>9</xdr:row>
      <xdr:rowOff>11905</xdr:rowOff>
    </xdr:from>
    <xdr:to>
      <xdr:col>11</xdr:col>
      <xdr:colOff>21432</xdr:colOff>
      <xdr:row>10</xdr:row>
      <xdr:rowOff>59530</xdr:rowOff>
    </xdr:to>
    <xdr:sp macro="" textlink="">
      <xdr:nvSpPr>
        <xdr:cNvPr id="27" name="Rectangle: Rounded Corners 26">
          <a:extLst>
            <a:ext uri="{FF2B5EF4-FFF2-40B4-BE49-F238E27FC236}">
              <a16:creationId xmlns:a16="http://schemas.microsoft.com/office/drawing/2014/main" id="{2BDB30A1-00BE-4C61-8DA3-147215783180}"/>
            </a:ext>
          </a:extLst>
        </xdr:cNvPr>
        <xdr:cNvSpPr/>
      </xdr:nvSpPr>
      <xdr:spPr>
        <a:xfrm>
          <a:off x="5057775" y="1726405"/>
          <a:ext cx="1643063" cy="238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SALES</a:t>
          </a:r>
          <a:r>
            <a:rPr lang="en-US" sz="1000" b="1" baseline="0">
              <a:solidFill>
                <a:schemeClr val="accent2"/>
              </a:solidFill>
            </a:rPr>
            <a:t> REP BY REVENUE</a:t>
          </a:r>
          <a:endParaRPr lang="en-US" sz="1000" b="1">
            <a:solidFill>
              <a:schemeClr val="accent2"/>
            </a:solidFill>
          </a:endParaRPr>
        </a:p>
      </xdr:txBody>
    </xdr:sp>
    <xdr:clientData/>
  </xdr:twoCellAnchor>
  <xdr:twoCellAnchor>
    <xdr:from>
      <xdr:col>2</xdr:col>
      <xdr:colOff>54769</xdr:colOff>
      <xdr:row>9</xdr:row>
      <xdr:rowOff>9521</xdr:rowOff>
    </xdr:from>
    <xdr:to>
      <xdr:col>4</xdr:col>
      <xdr:colOff>483395</xdr:colOff>
      <xdr:row>10</xdr:row>
      <xdr:rowOff>57146</xdr:rowOff>
    </xdr:to>
    <xdr:sp macro="" textlink="">
      <xdr:nvSpPr>
        <xdr:cNvPr id="28" name="Rectangle: Rounded Corners 27">
          <a:extLst>
            <a:ext uri="{FF2B5EF4-FFF2-40B4-BE49-F238E27FC236}">
              <a16:creationId xmlns:a16="http://schemas.microsoft.com/office/drawing/2014/main" id="{C2CA829B-111E-496B-BC2D-46984C5D3FA5}"/>
            </a:ext>
          </a:extLst>
        </xdr:cNvPr>
        <xdr:cNvSpPr/>
      </xdr:nvSpPr>
      <xdr:spPr>
        <a:xfrm>
          <a:off x="1269207" y="1724021"/>
          <a:ext cx="1643063" cy="238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PRODUCT BY PROFIT</a:t>
          </a:r>
        </a:p>
      </xdr:txBody>
    </xdr:sp>
    <xdr:clientData/>
  </xdr:twoCellAnchor>
  <xdr:twoCellAnchor>
    <xdr:from>
      <xdr:col>7</xdr:col>
      <xdr:colOff>154781</xdr:colOff>
      <xdr:row>19</xdr:row>
      <xdr:rowOff>9524</xdr:rowOff>
    </xdr:from>
    <xdr:to>
      <xdr:col>12</xdr:col>
      <xdr:colOff>471488</xdr:colOff>
      <xdr:row>20</xdr:row>
      <xdr:rowOff>35720</xdr:rowOff>
    </xdr:to>
    <xdr:sp macro="" textlink="">
      <xdr:nvSpPr>
        <xdr:cNvPr id="29" name="Rectangle: Rounded Corners 28">
          <a:extLst>
            <a:ext uri="{FF2B5EF4-FFF2-40B4-BE49-F238E27FC236}">
              <a16:creationId xmlns:a16="http://schemas.microsoft.com/office/drawing/2014/main" id="{70A2D00D-EDE9-70CF-FF88-86CE53153739}"/>
            </a:ext>
          </a:extLst>
        </xdr:cNvPr>
        <xdr:cNvSpPr/>
      </xdr:nvSpPr>
      <xdr:spPr>
        <a:xfrm>
          <a:off x="4405312" y="3629024"/>
          <a:ext cx="3352801" cy="2166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MONTHLY CUSTOMER PURCHASE</a:t>
          </a:r>
        </a:p>
      </xdr:txBody>
    </xdr:sp>
    <xdr:clientData/>
  </xdr:twoCellAnchor>
  <xdr:twoCellAnchor>
    <xdr:from>
      <xdr:col>1</xdr:col>
      <xdr:colOff>588168</xdr:colOff>
      <xdr:row>19</xdr:row>
      <xdr:rowOff>7142</xdr:rowOff>
    </xdr:from>
    <xdr:to>
      <xdr:col>4</xdr:col>
      <xdr:colOff>409575</xdr:colOff>
      <xdr:row>20</xdr:row>
      <xdr:rowOff>54767</xdr:rowOff>
    </xdr:to>
    <xdr:sp macro="" textlink="">
      <xdr:nvSpPr>
        <xdr:cNvPr id="30" name="Rectangle: Rounded Corners 29">
          <a:extLst>
            <a:ext uri="{FF2B5EF4-FFF2-40B4-BE49-F238E27FC236}">
              <a16:creationId xmlns:a16="http://schemas.microsoft.com/office/drawing/2014/main" id="{F8E72821-4977-6CB2-F777-3E8073CD4769}"/>
            </a:ext>
          </a:extLst>
        </xdr:cNvPr>
        <xdr:cNvSpPr/>
      </xdr:nvSpPr>
      <xdr:spPr>
        <a:xfrm>
          <a:off x="1195387" y="3626642"/>
          <a:ext cx="1643063" cy="238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accent2"/>
              </a:solidFill>
            </a:rPr>
            <a:t>CITY BY COGS</a:t>
          </a:r>
        </a:p>
      </xdr:txBody>
    </xdr:sp>
    <xdr:clientData/>
  </xdr:twoCellAnchor>
  <xdr:twoCellAnchor>
    <xdr:from>
      <xdr:col>2</xdr:col>
      <xdr:colOff>531018</xdr:colOff>
      <xdr:row>4</xdr:row>
      <xdr:rowOff>0</xdr:rowOff>
    </xdr:from>
    <xdr:to>
      <xdr:col>10</xdr:col>
      <xdr:colOff>447675</xdr:colOff>
      <xdr:row>5</xdr:row>
      <xdr:rowOff>95251</xdr:rowOff>
    </xdr:to>
    <xdr:sp macro="" textlink="">
      <xdr:nvSpPr>
        <xdr:cNvPr id="31" name="Rectangle: Rounded Corners 30">
          <a:extLst>
            <a:ext uri="{FF2B5EF4-FFF2-40B4-BE49-F238E27FC236}">
              <a16:creationId xmlns:a16="http://schemas.microsoft.com/office/drawing/2014/main" id="{E7288BA3-AB5D-240F-7B85-7E28191EEC85}"/>
            </a:ext>
          </a:extLst>
        </xdr:cNvPr>
        <xdr:cNvSpPr/>
      </xdr:nvSpPr>
      <xdr:spPr>
        <a:xfrm>
          <a:off x="1745456" y="762000"/>
          <a:ext cx="4774407" cy="285751"/>
        </a:xfrm>
        <a:prstGeom prst="roundRect">
          <a:avLst>
            <a:gd name="adj" fmla="val 25000"/>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rPr>
            <a:t>SALES</a:t>
          </a:r>
          <a:r>
            <a:rPr lang="en-US" sz="1400" b="1" baseline="0">
              <a:solidFill>
                <a:schemeClr val="bg1"/>
              </a:solidFill>
            </a:rPr>
            <a:t> PERFORMANCE AND PROFITABILITY DASHBOARD</a:t>
          </a:r>
          <a:endParaRPr lang="en-US" sz="1000" b="1">
            <a:solidFill>
              <a:schemeClr val="bg1"/>
            </a:solidFill>
          </a:endParaRPr>
        </a:p>
      </xdr:txBody>
    </xdr:sp>
    <xdr:clientData/>
  </xdr:twoCellAnchor>
  <xdr:twoCellAnchor>
    <xdr:from>
      <xdr:col>13</xdr:col>
      <xdr:colOff>190500</xdr:colOff>
      <xdr:row>4</xdr:row>
      <xdr:rowOff>11905</xdr:rowOff>
    </xdr:from>
    <xdr:to>
      <xdr:col>15</xdr:col>
      <xdr:colOff>595313</xdr:colOff>
      <xdr:row>28</xdr:row>
      <xdr:rowOff>166687</xdr:rowOff>
    </xdr:to>
    <xdr:sp macro="" textlink="">
      <xdr:nvSpPr>
        <xdr:cNvPr id="37" name="Rectangle: Rounded Corners 36">
          <a:extLst>
            <a:ext uri="{FF2B5EF4-FFF2-40B4-BE49-F238E27FC236}">
              <a16:creationId xmlns:a16="http://schemas.microsoft.com/office/drawing/2014/main" id="{482839EC-4CAF-1749-A1FA-72EE1EE39154}"/>
            </a:ext>
          </a:extLst>
        </xdr:cNvPr>
        <xdr:cNvSpPr/>
      </xdr:nvSpPr>
      <xdr:spPr>
        <a:xfrm>
          <a:off x="8084344" y="773905"/>
          <a:ext cx="1619250" cy="4726782"/>
        </a:xfrm>
        <a:prstGeom prst="roundRect">
          <a:avLst>
            <a:gd name="adj" fmla="val 11494"/>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500062</xdr:colOff>
      <xdr:row>4</xdr:row>
      <xdr:rowOff>11907</xdr:rowOff>
    </xdr:from>
    <xdr:to>
      <xdr:col>15</xdr:col>
      <xdr:colOff>261938</xdr:colOff>
      <xdr:row>5</xdr:row>
      <xdr:rowOff>47626</xdr:rowOff>
    </xdr:to>
    <xdr:sp macro="" textlink="">
      <xdr:nvSpPr>
        <xdr:cNvPr id="46" name="Rectangle: Rounded Corners 45">
          <a:extLst>
            <a:ext uri="{FF2B5EF4-FFF2-40B4-BE49-F238E27FC236}">
              <a16:creationId xmlns:a16="http://schemas.microsoft.com/office/drawing/2014/main" id="{FC69057D-DEF3-31A2-1600-F1376A951AC9}"/>
            </a:ext>
          </a:extLst>
        </xdr:cNvPr>
        <xdr:cNvSpPr/>
      </xdr:nvSpPr>
      <xdr:spPr>
        <a:xfrm>
          <a:off x="8393906" y="773907"/>
          <a:ext cx="976313" cy="22621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2"/>
              </a:solidFill>
            </a:rPr>
            <a:t>SLICERS</a:t>
          </a:r>
        </a:p>
      </xdr:txBody>
    </xdr:sp>
    <xdr:clientData/>
  </xdr:twoCellAnchor>
  <xdr:twoCellAnchor>
    <xdr:from>
      <xdr:col>1</xdr:col>
      <xdr:colOff>11906</xdr:colOff>
      <xdr:row>5</xdr:row>
      <xdr:rowOff>130969</xdr:rowOff>
    </xdr:from>
    <xdr:to>
      <xdr:col>3</xdr:col>
      <xdr:colOff>583407</xdr:colOff>
      <xdr:row>8</xdr:row>
      <xdr:rowOff>166686</xdr:rowOff>
    </xdr:to>
    <xdr:sp macro="" textlink="">
      <xdr:nvSpPr>
        <xdr:cNvPr id="47" name="Rectangle: Rounded Corners 46">
          <a:extLst>
            <a:ext uri="{FF2B5EF4-FFF2-40B4-BE49-F238E27FC236}">
              <a16:creationId xmlns:a16="http://schemas.microsoft.com/office/drawing/2014/main" id="{187BF9F3-4B78-BA10-BE32-08E0D2F53F00}"/>
            </a:ext>
          </a:extLst>
        </xdr:cNvPr>
        <xdr:cNvSpPr/>
      </xdr:nvSpPr>
      <xdr:spPr>
        <a:xfrm>
          <a:off x="619125" y="1083469"/>
          <a:ext cx="1785938" cy="607217"/>
        </a:xfrm>
        <a:prstGeom prst="roundRect">
          <a:avLst>
            <a:gd name="adj" fmla="val 16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a:t>
          </a:r>
          <a:r>
            <a:rPr lang="en-US" sz="1100" b="1" baseline="0"/>
            <a:t> REVENUE</a:t>
          </a:r>
        </a:p>
        <a:p>
          <a:pPr algn="ctr"/>
          <a:endParaRPr lang="en-US" sz="1100" b="1" baseline="0"/>
        </a:p>
        <a:p>
          <a:pPr algn="ctr"/>
          <a:endParaRPr lang="en-US" sz="1100" b="1"/>
        </a:p>
      </xdr:txBody>
    </xdr:sp>
    <xdr:clientData/>
  </xdr:twoCellAnchor>
  <xdr:twoCellAnchor>
    <xdr:from>
      <xdr:col>3</xdr:col>
      <xdr:colOff>592929</xdr:colOff>
      <xdr:row>5</xdr:row>
      <xdr:rowOff>130969</xdr:rowOff>
    </xdr:from>
    <xdr:to>
      <xdr:col>6</xdr:col>
      <xdr:colOff>583405</xdr:colOff>
      <xdr:row>8</xdr:row>
      <xdr:rowOff>164306</xdr:rowOff>
    </xdr:to>
    <xdr:sp macro="" textlink="">
      <xdr:nvSpPr>
        <xdr:cNvPr id="48" name="Rectangle: Rounded Corners 47">
          <a:extLst>
            <a:ext uri="{FF2B5EF4-FFF2-40B4-BE49-F238E27FC236}">
              <a16:creationId xmlns:a16="http://schemas.microsoft.com/office/drawing/2014/main" id="{C8862D9D-3888-8337-14D1-572081555D07}"/>
            </a:ext>
          </a:extLst>
        </xdr:cNvPr>
        <xdr:cNvSpPr/>
      </xdr:nvSpPr>
      <xdr:spPr>
        <a:xfrm>
          <a:off x="2414585" y="1083469"/>
          <a:ext cx="1812133" cy="604837"/>
        </a:xfrm>
        <a:prstGeom prst="roundRect">
          <a:avLst>
            <a:gd name="adj" fmla="val 16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COGS  </a:t>
          </a:r>
        </a:p>
        <a:p>
          <a:pPr algn="ctr"/>
          <a:endParaRPr lang="en-US" sz="1100" b="1" i="0" u="none" strike="noStrike">
            <a:solidFill>
              <a:schemeClr val="lt1"/>
            </a:solidFill>
            <a:effectLst/>
            <a:latin typeface="+mn-lt"/>
            <a:ea typeface="+mn-ea"/>
            <a:cs typeface="+mn-cs"/>
          </a:endParaRPr>
        </a:p>
        <a:p>
          <a:pPr algn="ctr"/>
          <a:r>
            <a:rPr lang="en-US"/>
            <a:t> </a:t>
          </a:r>
          <a:endParaRPr lang="en-US" sz="1100" b="1"/>
        </a:p>
      </xdr:txBody>
    </xdr:sp>
    <xdr:clientData/>
  </xdr:twoCellAnchor>
  <xdr:twoCellAnchor>
    <xdr:from>
      <xdr:col>9</xdr:col>
      <xdr:colOff>595312</xdr:colOff>
      <xdr:row>5</xdr:row>
      <xdr:rowOff>142876</xdr:rowOff>
    </xdr:from>
    <xdr:to>
      <xdr:col>12</xdr:col>
      <xdr:colOff>583406</xdr:colOff>
      <xdr:row>8</xdr:row>
      <xdr:rowOff>161924</xdr:rowOff>
    </xdr:to>
    <xdr:sp macro="" textlink="">
      <xdr:nvSpPr>
        <xdr:cNvPr id="49" name="Rectangle: Rounded Corners 48">
          <a:extLst>
            <a:ext uri="{FF2B5EF4-FFF2-40B4-BE49-F238E27FC236}">
              <a16:creationId xmlns:a16="http://schemas.microsoft.com/office/drawing/2014/main" id="{28E4BD60-4697-A4D5-EAC5-44278342F327}"/>
            </a:ext>
          </a:extLst>
        </xdr:cNvPr>
        <xdr:cNvSpPr/>
      </xdr:nvSpPr>
      <xdr:spPr>
        <a:xfrm>
          <a:off x="6060281" y="1095376"/>
          <a:ext cx="1809750" cy="590548"/>
        </a:xfrm>
        <a:prstGeom prst="roundRect">
          <a:avLst>
            <a:gd name="adj" fmla="val 16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CUSTOMERS</a:t>
          </a:r>
        </a:p>
        <a:p>
          <a:pPr algn="ctr"/>
          <a:endParaRPr lang="en-US" sz="1100" b="1" i="0" u="none" strike="noStrike">
            <a:solidFill>
              <a:schemeClr val="lt1"/>
            </a:solidFill>
            <a:effectLst/>
            <a:latin typeface="+mn-lt"/>
            <a:ea typeface="+mn-ea"/>
            <a:cs typeface="+mn-cs"/>
          </a:endParaRPr>
        </a:p>
      </xdr:txBody>
    </xdr:sp>
    <xdr:clientData/>
  </xdr:twoCellAnchor>
  <xdr:twoCellAnchor>
    <xdr:from>
      <xdr:col>7</xdr:col>
      <xdr:colOff>23813</xdr:colOff>
      <xdr:row>5</xdr:row>
      <xdr:rowOff>130969</xdr:rowOff>
    </xdr:from>
    <xdr:to>
      <xdr:col>9</xdr:col>
      <xdr:colOff>576261</xdr:colOff>
      <xdr:row>8</xdr:row>
      <xdr:rowOff>171448</xdr:rowOff>
    </xdr:to>
    <xdr:sp macro="" textlink="">
      <xdr:nvSpPr>
        <xdr:cNvPr id="50" name="Rectangle: Rounded Corners 49">
          <a:extLst>
            <a:ext uri="{FF2B5EF4-FFF2-40B4-BE49-F238E27FC236}">
              <a16:creationId xmlns:a16="http://schemas.microsoft.com/office/drawing/2014/main" id="{083D0738-42EA-B434-0CA6-6659F0EE82DC}"/>
            </a:ext>
          </a:extLst>
        </xdr:cNvPr>
        <xdr:cNvSpPr/>
      </xdr:nvSpPr>
      <xdr:spPr>
        <a:xfrm>
          <a:off x="4274344" y="1083469"/>
          <a:ext cx="1766886" cy="611979"/>
        </a:xfrm>
        <a:prstGeom prst="roundRect">
          <a:avLst>
            <a:gd name="adj" fmla="val 16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 PROFIT</a:t>
          </a:r>
        </a:p>
        <a:p>
          <a:pPr algn="ctr"/>
          <a:endParaRPr lang="en-US" sz="1100" b="1" i="0" u="none" strike="noStrike">
            <a:solidFill>
              <a:schemeClr val="lt1"/>
            </a:solidFill>
            <a:effectLst/>
            <a:latin typeface="+mn-lt"/>
            <a:ea typeface="+mn-ea"/>
            <a:cs typeface="+mn-cs"/>
          </a:endParaRPr>
        </a:p>
        <a:p>
          <a:pPr algn="ctr"/>
          <a:r>
            <a:rPr lang="en-US"/>
            <a:t> </a:t>
          </a:r>
          <a:endParaRPr lang="en-US" sz="1100" b="1"/>
        </a:p>
      </xdr:txBody>
    </xdr:sp>
    <xdr:clientData/>
  </xdr:twoCellAnchor>
  <xdr:twoCellAnchor editAs="oneCell">
    <xdr:from>
      <xdr:col>13</xdr:col>
      <xdr:colOff>316705</xdr:colOff>
      <xdr:row>16</xdr:row>
      <xdr:rowOff>2381</xdr:rowOff>
    </xdr:from>
    <xdr:to>
      <xdr:col>15</xdr:col>
      <xdr:colOff>473868</xdr:colOff>
      <xdr:row>22</xdr:row>
      <xdr:rowOff>48101</xdr:rowOff>
    </xdr:to>
    <mc:AlternateContent xmlns:mc="http://schemas.openxmlformats.org/markup-compatibility/2006">
      <mc:Choice xmlns:a14="http://schemas.microsoft.com/office/drawing/2010/main" Requires="a14">
        <xdr:graphicFrame macro="">
          <xdr:nvGraphicFramePr>
            <xdr:cNvPr id="56" name="REGION 1">
              <a:extLst>
                <a:ext uri="{FF2B5EF4-FFF2-40B4-BE49-F238E27FC236}">
                  <a16:creationId xmlns:a16="http://schemas.microsoft.com/office/drawing/2014/main" id="{52567F80-1E5B-4086-A50C-F35E90A629C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296538" y="3050381"/>
              <a:ext cx="138483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319087</xdr:colOff>
      <xdr:row>11</xdr:row>
      <xdr:rowOff>119063</xdr:rowOff>
    </xdr:from>
    <xdr:to>
      <xdr:col>15</xdr:col>
      <xdr:colOff>476250</xdr:colOff>
      <xdr:row>15</xdr:row>
      <xdr:rowOff>178595</xdr:rowOff>
    </xdr:to>
    <mc:AlternateContent xmlns:mc="http://schemas.openxmlformats.org/markup-compatibility/2006">
      <mc:Choice xmlns:a14="http://schemas.microsoft.com/office/drawing/2010/main" Requires="a14">
        <xdr:graphicFrame macro="">
          <xdr:nvGraphicFramePr>
            <xdr:cNvPr id="57" name="CHANNEL 1">
              <a:extLst>
                <a:ext uri="{FF2B5EF4-FFF2-40B4-BE49-F238E27FC236}">
                  <a16:creationId xmlns:a16="http://schemas.microsoft.com/office/drawing/2014/main" id="{43726351-656D-4FA7-B0D7-737067B5A981}"/>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8298920" y="2214563"/>
              <a:ext cx="1384830" cy="821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321468</xdr:colOff>
      <xdr:row>5</xdr:row>
      <xdr:rowOff>69056</xdr:rowOff>
    </xdr:from>
    <xdr:to>
      <xdr:col>15</xdr:col>
      <xdr:colOff>478631</xdr:colOff>
      <xdr:row>11</xdr:row>
      <xdr:rowOff>114776</xdr:rowOff>
    </xdr:to>
    <mc:AlternateContent xmlns:mc="http://schemas.openxmlformats.org/markup-compatibility/2006">
      <mc:Choice xmlns:a14="http://schemas.microsoft.com/office/drawing/2010/main" Requires="a14">
        <xdr:graphicFrame macro="">
          <xdr:nvGraphicFramePr>
            <xdr:cNvPr id="58" name="CATEGORY 1">
              <a:extLst>
                <a:ext uri="{FF2B5EF4-FFF2-40B4-BE49-F238E27FC236}">
                  <a16:creationId xmlns:a16="http://schemas.microsoft.com/office/drawing/2014/main" id="{ED056DA0-6815-4CD0-9C41-E8FAE8F6150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301301" y="1021556"/>
              <a:ext cx="138483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314323</xdr:colOff>
      <xdr:row>22</xdr:row>
      <xdr:rowOff>64293</xdr:rowOff>
    </xdr:from>
    <xdr:to>
      <xdr:col>15</xdr:col>
      <xdr:colOff>471486</xdr:colOff>
      <xdr:row>28</xdr:row>
      <xdr:rowOff>110013</xdr:rowOff>
    </xdr:to>
    <mc:AlternateContent xmlns:mc="http://schemas.openxmlformats.org/markup-compatibility/2006">
      <mc:Choice xmlns:a14="http://schemas.microsoft.com/office/drawing/2010/main" Requires="a14">
        <xdr:graphicFrame macro="">
          <xdr:nvGraphicFramePr>
            <xdr:cNvPr id="59" name="SALES REP 1">
              <a:extLst>
                <a:ext uri="{FF2B5EF4-FFF2-40B4-BE49-F238E27FC236}">
                  <a16:creationId xmlns:a16="http://schemas.microsoft.com/office/drawing/2014/main" id="{A41C8351-9699-4F33-89EA-30FF1878F869}"/>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dr:sp macro="" textlink="">
          <xdr:nvSpPr>
            <xdr:cNvPr id="0" name=""/>
            <xdr:cNvSpPr>
              <a:spLocks noTextEdit="1"/>
            </xdr:cNvSpPr>
          </xdr:nvSpPr>
          <xdr:spPr>
            <a:xfrm>
              <a:off x="8294156" y="4255293"/>
              <a:ext cx="138483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107156</xdr:colOff>
      <xdr:row>6</xdr:row>
      <xdr:rowOff>142875</xdr:rowOff>
    </xdr:from>
    <xdr:to>
      <xdr:col>2</xdr:col>
      <xdr:colOff>413219</xdr:colOff>
      <xdr:row>7</xdr:row>
      <xdr:rowOff>178595</xdr:rowOff>
    </xdr:to>
    <xdr:pic>
      <xdr:nvPicPr>
        <xdr:cNvPr id="117" name="Graphic 116" descr="Bar graph with upward trend with solid fill">
          <a:extLst>
            <a:ext uri="{FF2B5EF4-FFF2-40B4-BE49-F238E27FC236}">
              <a16:creationId xmlns:a16="http://schemas.microsoft.com/office/drawing/2014/main" id="{01BF58CD-12FB-C8A0-56B3-311E661462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21594" y="1285875"/>
          <a:ext cx="306063" cy="226220"/>
        </a:xfrm>
        <a:prstGeom prst="rect">
          <a:avLst/>
        </a:prstGeom>
      </xdr:spPr>
    </xdr:pic>
    <xdr:clientData/>
  </xdr:twoCellAnchor>
  <xdr:twoCellAnchor editAs="oneCell">
    <xdr:from>
      <xdr:col>5</xdr:col>
      <xdr:colOff>119063</xdr:colOff>
      <xdr:row>6</xdr:row>
      <xdr:rowOff>95250</xdr:rowOff>
    </xdr:from>
    <xdr:to>
      <xdr:col>5</xdr:col>
      <xdr:colOff>488156</xdr:colOff>
      <xdr:row>8</xdr:row>
      <xdr:rowOff>83343</xdr:rowOff>
    </xdr:to>
    <xdr:pic>
      <xdr:nvPicPr>
        <xdr:cNvPr id="119" name="Graphic 118" descr="Handshake with solid fill">
          <a:extLst>
            <a:ext uri="{FF2B5EF4-FFF2-40B4-BE49-F238E27FC236}">
              <a16:creationId xmlns:a16="http://schemas.microsoft.com/office/drawing/2014/main" id="{7B3ECDB0-77C5-0058-9797-2A317FEA9CC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55157" y="1238250"/>
          <a:ext cx="369093" cy="369093"/>
        </a:xfrm>
        <a:prstGeom prst="rect">
          <a:avLst/>
        </a:prstGeom>
      </xdr:spPr>
    </xdr:pic>
    <xdr:clientData/>
  </xdr:twoCellAnchor>
  <xdr:twoCellAnchor editAs="oneCell">
    <xdr:from>
      <xdr:col>11</xdr:col>
      <xdr:colOff>142876</xdr:colOff>
      <xdr:row>6</xdr:row>
      <xdr:rowOff>107156</xdr:rowOff>
    </xdr:from>
    <xdr:to>
      <xdr:col>11</xdr:col>
      <xdr:colOff>440533</xdr:colOff>
      <xdr:row>8</xdr:row>
      <xdr:rowOff>23813</xdr:rowOff>
    </xdr:to>
    <xdr:pic>
      <xdr:nvPicPr>
        <xdr:cNvPr id="121" name="Graphic 120" descr="Users with solid fill">
          <a:extLst>
            <a:ext uri="{FF2B5EF4-FFF2-40B4-BE49-F238E27FC236}">
              <a16:creationId xmlns:a16="http://schemas.microsoft.com/office/drawing/2014/main" id="{348D1BD4-737A-2C0D-83CD-76446BFF13C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22282" y="1250156"/>
          <a:ext cx="297657" cy="297657"/>
        </a:xfrm>
        <a:prstGeom prst="rect">
          <a:avLst/>
        </a:prstGeom>
      </xdr:spPr>
    </xdr:pic>
    <xdr:clientData/>
  </xdr:twoCellAnchor>
  <xdr:twoCellAnchor editAs="oneCell">
    <xdr:from>
      <xdr:col>8</xdr:col>
      <xdr:colOff>178595</xdr:colOff>
      <xdr:row>6</xdr:row>
      <xdr:rowOff>142877</xdr:rowOff>
    </xdr:from>
    <xdr:to>
      <xdr:col>8</xdr:col>
      <xdr:colOff>404813</xdr:colOff>
      <xdr:row>7</xdr:row>
      <xdr:rowOff>178595</xdr:rowOff>
    </xdr:to>
    <xdr:pic>
      <xdr:nvPicPr>
        <xdr:cNvPr id="123" name="Graphic 122" descr="Coins with solid fill">
          <a:extLst>
            <a:ext uri="{FF2B5EF4-FFF2-40B4-BE49-F238E27FC236}">
              <a16:creationId xmlns:a16="http://schemas.microsoft.com/office/drawing/2014/main" id="{C88765FB-D7BE-EE38-8348-E7BFABD6B9D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36345" y="1285877"/>
          <a:ext cx="226218" cy="226218"/>
        </a:xfrm>
        <a:prstGeom prst="rect">
          <a:avLst/>
        </a:prstGeom>
      </xdr:spPr>
    </xdr:pic>
    <xdr:clientData/>
  </xdr:twoCellAnchor>
  <xdr:twoCellAnchor>
    <xdr:from>
      <xdr:col>1</xdr:col>
      <xdr:colOff>404812</xdr:colOff>
      <xdr:row>7</xdr:row>
      <xdr:rowOff>142874</xdr:rowOff>
    </xdr:from>
    <xdr:to>
      <xdr:col>3</xdr:col>
      <xdr:colOff>321469</xdr:colOff>
      <xdr:row>9</xdr:row>
      <xdr:rowOff>23812</xdr:rowOff>
    </xdr:to>
    <xdr:sp macro="" textlink="">
      <xdr:nvSpPr>
        <xdr:cNvPr id="2068" name="TextBox 2067">
          <a:extLst>
            <a:ext uri="{FF2B5EF4-FFF2-40B4-BE49-F238E27FC236}">
              <a16:creationId xmlns:a16="http://schemas.microsoft.com/office/drawing/2014/main" id="{8C786489-7957-DE2F-DAEA-52F6B01836A3}"/>
            </a:ext>
          </a:extLst>
        </xdr:cNvPr>
        <xdr:cNvSpPr txBox="1"/>
      </xdr:nvSpPr>
      <xdr:spPr>
        <a:xfrm>
          <a:off x="1012031" y="1476374"/>
          <a:ext cx="1131094"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bg1"/>
              </a:solidFill>
              <a:effectLst/>
              <a:latin typeface="+mn-lt"/>
              <a:ea typeface="+mn-ea"/>
              <a:cs typeface="+mn-cs"/>
            </a:rPr>
            <a:t>₦2,328,370,000</a:t>
          </a:r>
          <a:r>
            <a:rPr lang="en-US" sz="1100">
              <a:solidFill>
                <a:schemeClr val="dk1"/>
              </a:solidFill>
              <a:effectLst/>
              <a:latin typeface="+mn-lt"/>
              <a:ea typeface="+mn-ea"/>
              <a:cs typeface="+mn-cs"/>
            </a:rPr>
            <a:t> </a:t>
          </a:r>
          <a:endParaRPr lang="en-US">
            <a:effectLst/>
          </a:endParaRPr>
        </a:p>
        <a:p>
          <a:endParaRPr lang="en-US" sz="1100"/>
        </a:p>
      </xdr:txBody>
    </xdr:sp>
    <xdr:clientData/>
  </xdr:twoCellAnchor>
  <xdr:twoCellAnchor>
    <xdr:from>
      <xdr:col>4</xdr:col>
      <xdr:colOff>390526</xdr:colOff>
      <xdr:row>7</xdr:row>
      <xdr:rowOff>128587</xdr:rowOff>
    </xdr:from>
    <xdr:to>
      <xdr:col>6</xdr:col>
      <xdr:colOff>307182</xdr:colOff>
      <xdr:row>9</xdr:row>
      <xdr:rowOff>9525</xdr:rowOff>
    </xdr:to>
    <xdr:sp macro="" textlink="">
      <xdr:nvSpPr>
        <xdr:cNvPr id="2070" name="TextBox 2069">
          <a:extLst>
            <a:ext uri="{FF2B5EF4-FFF2-40B4-BE49-F238E27FC236}">
              <a16:creationId xmlns:a16="http://schemas.microsoft.com/office/drawing/2014/main" id="{694D0A0B-F861-3202-983C-6F4379B8AE86}"/>
            </a:ext>
          </a:extLst>
        </xdr:cNvPr>
        <xdr:cNvSpPr txBox="1"/>
      </xdr:nvSpPr>
      <xdr:spPr>
        <a:xfrm>
          <a:off x="2819401" y="1462087"/>
          <a:ext cx="1131094"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solidFill>
                <a:schemeClr val="bg1"/>
              </a:solidFill>
              <a:effectLst/>
            </a:rPr>
            <a:t>₦1,862,696,000</a:t>
          </a:r>
        </a:p>
        <a:p>
          <a:endParaRPr lang="en-US" sz="1100"/>
        </a:p>
      </xdr:txBody>
    </xdr:sp>
    <xdr:clientData/>
  </xdr:twoCellAnchor>
  <xdr:twoCellAnchor>
    <xdr:from>
      <xdr:col>7</xdr:col>
      <xdr:colOff>435770</xdr:colOff>
      <xdr:row>7</xdr:row>
      <xdr:rowOff>126205</xdr:rowOff>
    </xdr:from>
    <xdr:to>
      <xdr:col>9</xdr:col>
      <xdr:colOff>352426</xdr:colOff>
      <xdr:row>9</xdr:row>
      <xdr:rowOff>7143</xdr:rowOff>
    </xdr:to>
    <xdr:sp macro="" textlink="">
      <xdr:nvSpPr>
        <xdr:cNvPr id="2071" name="TextBox 2070">
          <a:extLst>
            <a:ext uri="{FF2B5EF4-FFF2-40B4-BE49-F238E27FC236}">
              <a16:creationId xmlns:a16="http://schemas.microsoft.com/office/drawing/2014/main" id="{7496FCEB-75F2-9168-0DF6-81AC829D6BDD}"/>
            </a:ext>
          </a:extLst>
        </xdr:cNvPr>
        <xdr:cNvSpPr txBox="1"/>
      </xdr:nvSpPr>
      <xdr:spPr>
        <a:xfrm>
          <a:off x="4686301" y="1459705"/>
          <a:ext cx="1131094"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bg1"/>
              </a:solidFill>
              <a:effectLst/>
              <a:latin typeface="+mn-lt"/>
              <a:ea typeface="+mn-ea"/>
              <a:cs typeface="+mn-cs"/>
            </a:rPr>
            <a:t>₦465,674,000</a:t>
          </a:r>
          <a:endParaRPr lang="en-US" b="0">
            <a:solidFill>
              <a:schemeClr val="bg1"/>
            </a:solidFill>
            <a:effectLst/>
          </a:endParaRPr>
        </a:p>
        <a:p>
          <a:endParaRPr lang="en-US" sz="1100"/>
        </a:p>
      </xdr:txBody>
    </xdr:sp>
    <xdr:clientData/>
  </xdr:twoCellAnchor>
  <xdr:twoCellAnchor>
    <xdr:from>
      <xdr:col>10</xdr:col>
      <xdr:colOff>326232</xdr:colOff>
      <xdr:row>7</xdr:row>
      <xdr:rowOff>135731</xdr:rowOff>
    </xdr:from>
    <xdr:to>
      <xdr:col>12</xdr:col>
      <xdr:colOff>242889</xdr:colOff>
      <xdr:row>9</xdr:row>
      <xdr:rowOff>16669</xdr:rowOff>
    </xdr:to>
    <xdr:sp macro="" textlink="">
      <xdr:nvSpPr>
        <xdr:cNvPr id="2072" name="TextBox 2071">
          <a:extLst>
            <a:ext uri="{FF2B5EF4-FFF2-40B4-BE49-F238E27FC236}">
              <a16:creationId xmlns:a16="http://schemas.microsoft.com/office/drawing/2014/main" id="{32A0C33A-67F7-EB91-8871-6660FED752CE}"/>
            </a:ext>
          </a:extLst>
        </xdr:cNvPr>
        <xdr:cNvSpPr txBox="1"/>
      </xdr:nvSpPr>
      <xdr:spPr>
        <a:xfrm>
          <a:off x="6398420" y="1469231"/>
          <a:ext cx="1131094"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a:solidFill>
                <a:schemeClr val="bg1"/>
              </a:solidFill>
              <a:effectLst/>
              <a:latin typeface="+mn-lt"/>
              <a:ea typeface="+mn-ea"/>
              <a:cs typeface="+mn-cs"/>
            </a:rPr>
            <a:t>2098</a:t>
          </a:r>
          <a:r>
            <a:rPr lang="en-US" sz="1100" b="1">
              <a:solidFill>
                <a:schemeClr val="bg1"/>
              </a:solidFill>
              <a:effectLst/>
              <a:latin typeface="+mn-lt"/>
              <a:ea typeface="+mn-ea"/>
              <a:cs typeface="+mn-cs"/>
            </a:rPr>
            <a:t> </a:t>
          </a:r>
          <a:endParaRPr lang="en-US" b="1">
            <a:solidFill>
              <a:schemeClr val="bg1"/>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0.34066</cdr:x>
      <cdr:y>0.00523</cdr:y>
    </cdr:from>
    <cdr:to>
      <cdr:x>0.63542</cdr:x>
      <cdr:y>0.06274</cdr:y>
    </cdr:to>
    <cdr:sp macro="" textlink="">
      <cdr:nvSpPr>
        <cdr:cNvPr id="2" name="TextBox 1">
          <a:extLst xmlns:a="http://schemas.openxmlformats.org/drawingml/2006/main">
            <a:ext uri="{FF2B5EF4-FFF2-40B4-BE49-F238E27FC236}">
              <a16:creationId xmlns:a16="http://schemas.microsoft.com/office/drawing/2014/main" id="{1FC827D3-9EEB-6EE2-85A8-E68E1D4D2E83}"/>
            </a:ext>
          </a:extLst>
        </cdr:cNvPr>
        <cdr:cNvSpPr txBox="1"/>
      </cdr:nvSpPr>
      <cdr:spPr>
        <a:xfrm xmlns:a="http://schemas.openxmlformats.org/drawingml/2006/main">
          <a:off x="1254919" y="9524"/>
          <a:ext cx="1085850" cy="104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8.734363194446" createdVersion="8" refreshedVersion="8" minRefreshableVersion="3" recordCount="2099" xr:uid="{ADCF6C46-58F5-4E19-9C5D-2BE331B5CBB4}">
  <cacheSource type="worksheet">
    <worksheetSource ref="A1:P1048576" sheet="Sales Data New"/>
  </cacheSource>
  <cacheFields count="16">
    <cacheField name="Date" numFmtId="14">
      <sharedItems containsBlank="1"/>
    </cacheField>
    <cacheField name="Monthly  " numFmtId="14">
      <sharedItems containsBlank="1" count="6">
        <s v="Jan"/>
        <s v="Apr"/>
        <s v="Feb"/>
        <s v="Mar"/>
        <s v="May"/>
        <m/>
      </sharedItems>
    </cacheField>
    <cacheField name="REGION" numFmtId="0">
      <sharedItems containsBlank="1" count="5">
        <s v="West"/>
        <s v="East"/>
        <s v="South"/>
        <s v="North"/>
        <m/>
      </sharedItems>
    </cacheField>
    <cacheField name="City" numFmtId="0">
      <sharedItems containsBlank="1" count="5">
        <s v="Port Harcourt"/>
        <s v="Lagos"/>
        <s v="Kano"/>
        <s v="Abuja"/>
        <m/>
      </sharedItems>
    </cacheField>
    <cacheField name="Customer Type" numFmtId="0">
      <sharedItems containsBlank="1"/>
    </cacheField>
    <cacheField name="CHANNEL" numFmtId="0">
      <sharedItems containsBlank="1" count="3">
        <s v="Online"/>
        <s v="Store"/>
        <m/>
      </sharedItems>
    </cacheField>
    <cacheField name="Product" numFmtId="0">
      <sharedItems containsBlank="1" count="11">
        <s v="Office Chair Pro"/>
        <s v="Blender B10"/>
        <s v="Microwave M20"/>
        <s v="Desktop PC D21"/>
        <s v="Air Conditioner X2"/>
        <s v="Sofa Classic"/>
        <s v="Printer P50"/>
        <s v="Laptop A13"/>
        <s v="Smartphone Z10"/>
        <s v="Refrigerator R55"/>
        <m/>
      </sharedItems>
    </cacheField>
    <cacheField name="CATEGORY" numFmtId="0">
      <sharedItems containsBlank="1" count="4">
        <s v="Furniture"/>
        <s v="Home Appliances"/>
        <s v="Electronics"/>
        <m/>
      </sharedItems>
    </cacheField>
    <cacheField name="Unit Price" numFmtId="165">
      <sharedItems containsString="0" containsBlank="1" containsNumber="1" containsInteger="1" minValue="30000" maxValue="420000"/>
    </cacheField>
    <cacheField name="Quantity" numFmtId="0">
      <sharedItems containsString="0" containsBlank="1" containsNumber="1" containsInteger="1" minValue="1" maxValue="10"/>
    </cacheField>
    <cacheField name="SALES REP" numFmtId="0">
      <sharedItems containsBlank="1" count="7">
        <s v="Chidinma"/>
        <s v="David"/>
        <s v="Musa"/>
        <s v="Peter"/>
        <s v="Aisha"/>
        <s v="Grace"/>
        <m/>
      </sharedItems>
    </cacheField>
    <cacheField name="Cost Price" numFmtId="165">
      <sharedItems containsString="0" containsBlank="1" containsNumber="1" containsInteger="1" minValue="24000" maxValue="336000"/>
    </cacheField>
    <cacheField name="Revenue" numFmtId="165">
      <sharedItems containsString="0" containsBlank="1" containsNumber="1" containsInteger="1" minValue="30000" maxValue="4200000"/>
    </cacheField>
    <cacheField name="COGS" numFmtId="165">
      <sharedItems containsString="0" containsBlank="1" containsNumber="1" containsInteger="1" minValue="24000" maxValue="3360000"/>
    </cacheField>
    <cacheField name="Total Profit" numFmtId="165">
      <sharedItems containsString="0" containsBlank="1" containsNumber="1" containsInteger="1" minValue="6000" maxValue="840000"/>
    </cacheField>
    <cacheField name="Total Customer" numFmtId="0">
      <sharedItems containsString="0" containsBlank="1" containsNumber="1" containsInteger="1" minValue="1" maxValue="2098"/>
    </cacheField>
  </cacheFields>
  <extLst>
    <ext xmlns:x14="http://schemas.microsoft.com/office/spreadsheetml/2009/9/main" uri="{725AE2AE-9491-48be-B2B4-4EB974FC3084}">
      <x14:pivotCacheDefinition pivotCacheId="266998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9">
  <r>
    <s v="2025-01-19"/>
    <x v="0"/>
    <x v="0"/>
    <x v="0"/>
    <s v="Retail"/>
    <x v="0"/>
    <x v="0"/>
    <x v="0"/>
    <n v="85000"/>
    <n v="1"/>
    <x v="0"/>
    <n v="68000"/>
    <n v="85000"/>
    <n v="68000"/>
    <n v="17000"/>
    <n v="1"/>
  </r>
  <r>
    <s v="2025-04-29"/>
    <x v="1"/>
    <x v="1"/>
    <x v="1"/>
    <s v="Retail"/>
    <x v="1"/>
    <x v="1"/>
    <x v="1"/>
    <n v="30000"/>
    <n v="8"/>
    <x v="0"/>
    <n v="24000"/>
    <n v="240000"/>
    <n v="192000"/>
    <n v="48000"/>
    <n v="2"/>
  </r>
  <r>
    <s v="2025-02-27"/>
    <x v="2"/>
    <x v="1"/>
    <x v="0"/>
    <s v="Corporate"/>
    <x v="0"/>
    <x v="0"/>
    <x v="0"/>
    <n v="85000"/>
    <n v="2"/>
    <x v="1"/>
    <n v="68000"/>
    <n v="170000"/>
    <n v="136000"/>
    <n v="34000"/>
    <n v="3"/>
  </r>
  <r>
    <s v="2025-04-25"/>
    <x v="1"/>
    <x v="2"/>
    <x v="2"/>
    <s v="Retail"/>
    <x v="0"/>
    <x v="2"/>
    <x v="1"/>
    <n v="60000"/>
    <n v="2"/>
    <x v="2"/>
    <n v="48000"/>
    <n v="120000"/>
    <n v="96000"/>
    <n v="24000"/>
    <n v="4"/>
  </r>
  <r>
    <s v="2025-04-27"/>
    <x v="1"/>
    <x v="3"/>
    <x v="2"/>
    <s v="Corporate"/>
    <x v="0"/>
    <x v="3"/>
    <x v="2"/>
    <n v="300000"/>
    <n v="2"/>
    <x v="0"/>
    <n v="240000"/>
    <n v="600000"/>
    <n v="480000"/>
    <n v="120000"/>
    <n v="5"/>
  </r>
  <r>
    <s v="2025-03-08"/>
    <x v="3"/>
    <x v="2"/>
    <x v="3"/>
    <s v="Retail"/>
    <x v="0"/>
    <x v="4"/>
    <x v="1"/>
    <n v="180000"/>
    <n v="10"/>
    <x v="0"/>
    <n v="144000"/>
    <n v="1800000"/>
    <n v="1440000"/>
    <n v="360000"/>
    <n v="6"/>
  </r>
  <r>
    <s v="2025-03-09"/>
    <x v="3"/>
    <x v="2"/>
    <x v="3"/>
    <s v="Corporate"/>
    <x v="0"/>
    <x v="5"/>
    <x v="0"/>
    <n v="320000"/>
    <n v="4"/>
    <x v="2"/>
    <n v="256000"/>
    <n v="1280000"/>
    <n v="1024000"/>
    <n v="256000"/>
    <n v="7"/>
  </r>
  <r>
    <s v="2025-02-06"/>
    <x v="2"/>
    <x v="2"/>
    <x v="2"/>
    <s v="Retail"/>
    <x v="0"/>
    <x v="5"/>
    <x v="0"/>
    <n v="320000"/>
    <n v="1"/>
    <x v="3"/>
    <n v="256000"/>
    <n v="320000"/>
    <n v="256000"/>
    <n v="64000"/>
    <n v="8"/>
  </r>
  <r>
    <s v="2025-03-24"/>
    <x v="3"/>
    <x v="1"/>
    <x v="1"/>
    <s v="Retail"/>
    <x v="1"/>
    <x v="5"/>
    <x v="0"/>
    <n v="320000"/>
    <n v="9"/>
    <x v="2"/>
    <n v="256000"/>
    <n v="2880000"/>
    <n v="2304000"/>
    <n v="576000"/>
    <n v="9"/>
  </r>
  <r>
    <s v="2025-03-26"/>
    <x v="3"/>
    <x v="2"/>
    <x v="1"/>
    <s v="Retail"/>
    <x v="0"/>
    <x v="5"/>
    <x v="0"/>
    <n v="320000"/>
    <n v="3"/>
    <x v="2"/>
    <n v="256000"/>
    <n v="960000"/>
    <n v="768000"/>
    <n v="192000"/>
    <n v="10"/>
  </r>
  <r>
    <s v="2025-01-24"/>
    <x v="0"/>
    <x v="2"/>
    <x v="0"/>
    <s v="Retail"/>
    <x v="0"/>
    <x v="6"/>
    <x v="2"/>
    <n v="150000"/>
    <n v="4"/>
    <x v="3"/>
    <n v="120000"/>
    <n v="600000"/>
    <n v="480000"/>
    <n v="120000"/>
    <n v="11"/>
  </r>
  <r>
    <s v="2025-01-20"/>
    <x v="0"/>
    <x v="0"/>
    <x v="2"/>
    <s v="Corporate"/>
    <x v="0"/>
    <x v="5"/>
    <x v="0"/>
    <n v="320000"/>
    <n v="7"/>
    <x v="3"/>
    <n v="256000"/>
    <n v="2240000"/>
    <n v="1792000"/>
    <n v="448000"/>
    <n v="12"/>
  </r>
  <r>
    <s v="2025-04-26"/>
    <x v="1"/>
    <x v="2"/>
    <x v="0"/>
    <s v="Retail"/>
    <x v="1"/>
    <x v="6"/>
    <x v="2"/>
    <n v="150000"/>
    <n v="2"/>
    <x v="4"/>
    <n v="120000"/>
    <n v="300000"/>
    <n v="240000"/>
    <n v="60000"/>
    <n v="13"/>
  </r>
  <r>
    <s v="2025-03-15"/>
    <x v="3"/>
    <x v="0"/>
    <x v="1"/>
    <s v="Retail"/>
    <x v="0"/>
    <x v="7"/>
    <x v="2"/>
    <n v="420000"/>
    <n v="9"/>
    <x v="2"/>
    <n v="336000"/>
    <n v="3780000"/>
    <n v="3024000"/>
    <n v="756000"/>
    <n v="14"/>
  </r>
  <r>
    <s v="2025-03-17"/>
    <x v="3"/>
    <x v="3"/>
    <x v="1"/>
    <s v="Retail"/>
    <x v="0"/>
    <x v="7"/>
    <x v="2"/>
    <n v="420000"/>
    <n v="5"/>
    <x v="5"/>
    <n v="336000"/>
    <n v="2100000"/>
    <n v="1680000"/>
    <n v="420000"/>
    <n v="15"/>
  </r>
  <r>
    <s v="2025-04-11"/>
    <x v="1"/>
    <x v="0"/>
    <x v="2"/>
    <s v="Corporate"/>
    <x v="1"/>
    <x v="8"/>
    <x v="2"/>
    <n v="250000"/>
    <n v="4"/>
    <x v="3"/>
    <n v="200000"/>
    <n v="1000000"/>
    <n v="800000"/>
    <n v="200000"/>
    <n v="16"/>
  </r>
  <r>
    <s v="2025-02-12"/>
    <x v="2"/>
    <x v="0"/>
    <x v="1"/>
    <s v="Retail"/>
    <x v="0"/>
    <x v="9"/>
    <x v="1"/>
    <n v="220000"/>
    <n v="2"/>
    <x v="3"/>
    <n v="176000"/>
    <n v="440000"/>
    <n v="352000"/>
    <n v="88000"/>
    <n v="17"/>
  </r>
  <r>
    <s v="2025-02-10"/>
    <x v="2"/>
    <x v="1"/>
    <x v="2"/>
    <s v="Retail"/>
    <x v="1"/>
    <x v="6"/>
    <x v="2"/>
    <n v="150000"/>
    <n v="7"/>
    <x v="2"/>
    <n v="120000"/>
    <n v="1050000"/>
    <n v="840000"/>
    <n v="210000"/>
    <n v="18"/>
  </r>
  <r>
    <s v="2025-03-03"/>
    <x v="3"/>
    <x v="2"/>
    <x v="3"/>
    <s v="Corporate"/>
    <x v="1"/>
    <x v="3"/>
    <x v="2"/>
    <n v="300000"/>
    <n v="5"/>
    <x v="3"/>
    <n v="240000"/>
    <n v="1500000"/>
    <n v="1200000"/>
    <n v="300000"/>
    <n v="19"/>
  </r>
  <r>
    <s v="2025-02-10"/>
    <x v="2"/>
    <x v="3"/>
    <x v="2"/>
    <s v="Retail"/>
    <x v="0"/>
    <x v="6"/>
    <x v="2"/>
    <n v="150000"/>
    <n v="4"/>
    <x v="3"/>
    <n v="120000"/>
    <n v="600000"/>
    <n v="480000"/>
    <n v="120000"/>
    <n v="20"/>
  </r>
  <r>
    <s v="2025-05-01"/>
    <x v="4"/>
    <x v="3"/>
    <x v="2"/>
    <s v="Corporate"/>
    <x v="1"/>
    <x v="0"/>
    <x v="0"/>
    <n v="85000"/>
    <n v="1"/>
    <x v="5"/>
    <n v="68000"/>
    <n v="85000"/>
    <n v="68000"/>
    <n v="17000"/>
    <n v="21"/>
  </r>
  <r>
    <s v="2025-03-15"/>
    <x v="3"/>
    <x v="1"/>
    <x v="0"/>
    <s v="Retail"/>
    <x v="1"/>
    <x v="0"/>
    <x v="0"/>
    <n v="85000"/>
    <n v="9"/>
    <x v="1"/>
    <n v="68000"/>
    <n v="765000"/>
    <n v="612000"/>
    <n v="153000"/>
    <n v="22"/>
  </r>
  <r>
    <s v="2025-04-04"/>
    <x v="1"/>
    <x v="1"/>
    <x v="1"/>
    <s v="Retail"/>
    <x v="1"/>
    <x v="7"/>
    <x v="2"/>
    <n v="420000"/>
    <n v="8"/>
    <x v="5"/>
    <n v="336000"/>
    <n v="3360000"/>
    <n v="2688000"/>
    <n v="672000"/>
    <n v="23"/>
  </r>
  <r>
    <s v="2025-04-15"/>
    <x v="1"/>
    <x v="3"/>
    <x v="1"/>
    <s v="Corporate"/>
    <x v="0"/>
    <x v="7"/>
    <x v="2"/>
    <n v="420000"/>
    <n v="10"/>
    <x v="5"/>
    <n v="336000"/>
    <n v="4200000"/>
    <n v="3360000"/>
    <n v="840000"/>
    <n v="24"/>
  </r>
  <r>
    <s v="2025-02-26"/>
    <x v="2"/>
    <x v="1"/>
    <x v="0"/>
    <s v="Retail"/>
    <x v="1"/>
    <x v="8"/>
    <x v="2"/>
    <n v="250000"/>
    <n v="5"/>
    <x v="4"/>
    <n v="200000"/>
    <n v="1250000"/>
    <n v="1000000"/>
    <n v="250000"/>
    <n v="25"/>
  </r>
  <r>
    <s v="2025-02-09"/>
    <x v="2"/>
    <x v="3"/>
    <x v="1"/>
    <s v="Corporate"/>
    <x v="1"/>
    <x v="9"/>
    <x v="1"/>
    <n v="220000"/>
    <n v="4"/>
    <x v="5"/>
    <n v="176000"/>
    <n v="880000"/>
    <n v="704000"/>
    <n v="176000"/>
    <n v="26"/>
  </r>
  <r>
    <s v="2025-03-30"/>
    <x v="3"/>
    <x v="0"/>
    <x v="3"/>
    <s v="Corporate"/>
    <x v="0"/>
    <x v="6"/>
    <x v="2"/>
    <n v="150000"/>
    <n v="7"/>
    <x v="2"/>
    <n v="120000"/>
    <n v="1050000"/>
    <n v="840000"/>
    <n v="210000"/>
    <n v="27"/>
  </r>
  <r>
    <s v="2025-03-01"/>
    <x v="3"/>
    <x v="2"/>
    <x v="2"/>
    <s v="Retail"/>
    <x v="0"/>
    <x v="0"/>
    <x v="0"/>
    <n v="85000"/>
    <n v="3"/>
    <x v="3"/>
    <n v="68000"/>
    <n v="255000"/>
    <n v="204000"/>
    <n v="51000"/>
    <n v="28"/>
  </r>
  <r>
    <s v="2025-02-10"/>
    <x v="2"/>
    <x v="1"/>
    <x v="0"/>
    <s v="Retail"/>
    <x v="1"/>
    <x v="3"/>
    <x v="2"/>
    <n v="300000"/>
    <n v="8"/>
    <x v="5"/>
    <n v="240000"/>
    <n v="2400000"/>
    <n v="1920000"/>
    <n v="480000"/>
    <n v="29"/>
  </r>
  <r>
    <s v="2025-02-09"/>
    <x v="2"/>
    <x v="0"/>
    <x v="1"/>
    <s v="Corporate"/>
    <x v="0"/>
    <x v="9"/>
    <x v="1"/>
    <n v="220000"/>
    <n v="1"/>
    <x v="1"/>
    <n v="176000"/>
    <n v="220000"/>
    <n v="176000"/>
    <n v="44000"/>
    <n v="30"/>
  </r>
  <r>
    <s v="2025-01-14"/>
    <x v="0"/>
    <x v="2"/>
    <x v="3"/>
    <s v="Corporate"/>
    <x v="0"/>
    <x v="5"/>
    <x v="0"/>
    <n v="320000"/>
    <n v="7"/>
    <x v="5"/>
    <n v="256000"/>
    <n v="2240000"/>
    <n v="1792000"/>
    <n v="448000"/>
    <n v="31"/>
  </r>
  <r>
    <s v="2025-01-01"/>
    <x v="0"/>
    <x v="0"/>
    <x v="3"/>
    <s v="Retail"/>
    <x v="1"/>
    <x v="6"/>
    <x v="2"/>
    <n v="150000"/>
    <n v="1"/>
    <x v="0"/>
    <n v="120000"/>
    <n v="150000"/>
    <n v="120000"/>
    <n v="30000"/>
    <n v="32"/>
  </r>
  <r>
    <s v="2025-02-20"/>
    <x v="2"/>
    <x v="1"/>
    <x v="2"/>
    <s v="Retail"/>
    <x v="0"/>
    <x v="4"/>
    <x v="1"/>
    <n v="180000"/>
    <n v="9"/>
    <x v="5"/>
    <n v="144000"/>
    <n v="1620000"/>
    <n v="1296000"/>
    <n v="324000"/>
    <n v="33"/>
  </r>
  <r>
    <s v="2025-03-09"/>
    <x v="3"/>
    <x v="2"/>
    <x v="2"/>
    <s v="Retail"/>
    <x v="0"/>
    <x v="5"/>
    <x v="0"/>
    <n v="320000"/>
    <n v="5"/>
    <x v="5"/>
    <n v="256000"/>
    <n v="1600000"/>
    <n v="1280000"/>
    <n v="320000"/>
    <n v="34"/>
  </r>
  <r>
    <s v="2025-02-09"/>
    <x v="2"/>
    <x v="2"/>
    <x v="2"/>
    <s v="Corporate"/>
    <x v="1"/>
    <x v="6"/>
    <x v="2"/>
    <n v="150000"/>
    <n v="8"/>
    <x v="4"/>
    <n v="120000"/>
    <n v="1200000"/>
    <n v="960000"/>
    <n v="240000"/>
    <n v="35"/>
  </r>
  <r>
    <s v="2025-02-13"/>
    <x v="2"/>
    <x v="0"/>
    <x v="0"/>
    <s v="Corporate"/>
    <x v="1"/>
    <x v="0"/>
    <x v="0"/>
    <n v="85000"/>
    <n v="7"/>
    <x v="1"/>
    <n v="68000"/>
    <n v="595000"/>
    <n v="476000"/>
    <n v="119000"/>
    <n v="36"/>
  </r>
  <r>
    <s v="2025-03-13"/>
    <x v="3"/>
    <x v="2"/>
    <x v="3"/>
    <s v="Corporate"/>
    <x v="0"/>
    <x v="5"/>
    <x v="0"/>
    <n v="320000"/>
    <n v="6"/>
    <x v="1"/>
    <n v="256000"/>
    <n v="1920000"/>
    <n v="1536000"/>
    <n v="384000"/>
    <n v="37"/>
  </r>
  <r>
    <s v="2025-02-03"/>
    <x v="2"/>
    <x v="0"/>
    <x v="2"/>
    <s v="Retail"/>
    <x v="1"/>
    <x v="7"/>
    <x v="2"/>
    <n v="420000"/>
    <n v="8"/>
    <x v="4"/>
    <n v="336000"/>
    <n v="3360000"/>
    <n v="2688000"/>
    <n v="672000"/>
    <n v="38"/>
  </r>
  <r>
    <s v="2025-02-04"/>
    <x v="2"/>
    <x v="2"/>
    <x v="0"/>
    <s v="Corporate"/>
    <x v="0"/>
    <x v="3"/>
    <x v="2"/>
    <n v="300000"/>
    <n v="7"/>
    <x v="3"/>
    <n v="240000"/>
    <n v="2100000"/>
    <n v="1680000"/>
    <n v="420000"/>
    <n v="39"/>
  </r>
  <r>
    <s v="2025-02-18"/>
    <x v="2"/>
    <x v="0"/>
    <x v="0"/>
    <s v="Retail"/>
    <x v="0"/>
    <x v="1"/>
    <x v="1"/>
    <n v="30000"/>
    <n v="6"/>
    <x v="1"/>
    <n v="24000"/>
    <n v="180000"/>
    <n v="144000"/>
    <n v="36000"/>
    <n v="40"/>
  </r>
  <r>
    <s v="2025-02-21"/>
    <x v="2"/>
    <x v="0"/>
    <x v="0"/>
    <s v="Corporate"/>
    <x v="1"/>
    <x v="9"/>
    <x v="1"/>
    <n v="220000"/>
    <n v="2"/>
    <x v="3"/>
    <n v="176000"/>
    <n v="440000"/>
    <n v="352000"/>
    <n v="88000"/>
    <n v="41"/>
  </r>
  <r>
    <s v="2025-01-24"/>
    <x v="0"/>
    <x v="0"/>
    <x v="3"/>
    <s v="Retail"/>
    <x v="0"/>
    <x v="6"/>
    <x v="2"/>
    <n v="150000"/>
    <n v="1"/>
    <x v="1"/>
    <n v="120000"/>
    <n v="150000"/>
    <n v="120000"/>
    <n v="30000"/>
    <n v="42"/>
  </r>
  <r>
    <s v="2025-01-28"/>
    <x v="0"/>
    <x v="3"/>
    <x v="1"/>
    <s v="Retail"/>
    <x v="1"/>
    <x v="5"/>
    <x v="0"/>
    <n v="320000"/>
    <n v="1"/>
    <x v="5"/>
    <n v="256000"/>
    <n v="320000"/>
    <n v="256000"/>
    <n v="64000"/>
    <n v="43"/>
  </r>
  <r>
    <s v="2025-04-18"/>
    <x v="1"/>
    <x v="3"/>
    <x v="3"/>
    <s v="Corporate"/>
    <x v="1"/>
    <x v="1"/>
    <x v="1"/>
    <n v="30000"/>
    <n v="3"/>
    <x v="1"/>
    <n v="24000"/>
    <n v="90000"/>
    <n v="72000"/>
    <n v="18000"/>
    <n v="44"/>
  </r>
  <r>
    <s v="2025-01-03"/>
    <x v="0"/>
    <x v="0"/>
    <x v="0"/>
    <s v="Corporate"/>
    <x v="0"/>
    <x v="2"/>
    <x v="1"/>
    <n v="60000"/>
    <n v="5"/>
    <x v="2"/>
    <n v="48000"/>
    <n v="300000"/>
    <n v="240000"/>
    <n v="60000"/>
    <n v="45"/>
  </r>
  <r>
    <s v="2025-03-30"/>
    <x v="3"/>
    <x v="1"/>
    <x v="2"/>
    <s v="Corporate"/>
    <x v="0"/>
    <x v="6"/>
    <x v="2"/>
    <n v="150000"/>
    <n v="3"/>
    <x v="2"/>
    <n v="120000"/>
    <n v="450000"/>
    <n v="360000"/>
    <n v="90000"/>
    <n v="46"/>
  </r>
  <r>
    <s v="2025-04-04"/>
    <x v="1"/>
    <x v="1"/>
    <x v="1"/>
    <s v="Retail"/>
    <x v="0"/>
    <x v="5"/>
    <x v="0"/>
    <n v="320000"/>
    <n v="10"/>
    <x v="2"/>
    <n v="256000"/>
    <n v="3200000"/>
    <n v="2560000"/>
    <n v="640000"/>
    <n v="47"/>
  </r>
  <r>
    <s v="2025-02-08"/>
    <x v="2"/>
    <x v="1"/>
    <x v="0"/>
    <s v="Corporate"/>
    <x v="0"/>
    <x v="9"/>
    <x v="1"/>
    <n v="220000"/>
    <n v="6"/>
    <x v="0"/>
    <n v="176000"/>
    <n v="1320000"/>
    <n v="1056000"/>
    <n v="264000"/>
    <n v="48"/>
  </r>
  <r>
    <s v="2025-03-16"/>
    <x v="3"/>
    <x v="0"/>
    <x v="3"/>
    <s v="Corporate"/>
    <x v="0"/>
    <x v="4"/>
    <x v="1"/>
    <n v="180000"/>
    <n v="8"/>
    <x v="2"/>
    <n v="144000"/>
    <n v="1440000"/>
    <n v="1152000"/>
    <n v="288000"/>
    <n v="49"/>
  </r>
  <r>
    <s v="2025-01-26"/>
    <x v="0"/>
    <x v="0"/>
    <x v="2"/>
    <s v="Retail"/>
    <x v="1"/>
    <x v="5"/>
    <x v="0"/>
    <n v="320000"/>
    <n v="2"/>
    <x v="1"/>
    <n v="256000"/>
    <n v="640000"/>
    <n v="512000"/>
    <n v="128000"/>
    <n v="50"/>
  </r>
  <r>
    <s v="2025-02-06"/>
    <x v="2"/>
    <x v="0"/>
    <x v="1"/>
    <s v="Retail"/>
    <x v="1"/>
    <x v="3"/>
    <x v="2"/>
    <n v="300000"/>
    <n v="9"/>
    <x v="3"/>
    <n v="240000"/>
    <n v="2700000"/>
    <n v="2160000"/>
    <n v="540000"/>
    <n v="51"/>
  </r>
  <r>
    <s v="2025-01-17"/>
    <x v="0"/>
    <x v="3"/>
    <x v="2"/>
    <s v="Retail"/>
    <x v="1"/>
    <x v="7"/>
    <x v="2"/>
    <n v="420000"/>
    <n v="1"/>
    <x v="3"/>
    <n v="336000"/>
    <n v="420000"/>
    <n v="336000"/>
    <n v="84000"/>
    <n v="52"/>
  </r>
  <r>
    <s v="2025-04-06"/>
    <x v="1"/>
    <x v="1"/>
    <x v="2"/>
    <s v="Retail"/>
    <x v="0"/>
    <x v="2"/>
    <x v="1"/>
    <n v="60000"/>
    <n v="1"/>
    <x v="2"/>
    <n v="48000"/>
    <n v="60000"/>
    <n v="48000"/>
    <n v="12000"/>
    <n v="53"/>
  </r>
  <r>
    <s v="2025-03-09"/>
    <x v="3"/>
    <x v="1"/>
    <x v="1"/>
    <s v="Corporate"/>
    <x v="1"/>
    <x v="3"/>
    <x v="2"/>
    <n v="300000"/>
    <n v="9"/>
    <x v="3"/>
    <n v="240000"/>
    <n v="2700000"/>
    <n v="2160000"/>
    <n v="540000"/>
    <n v="54"/>
  </r>
  <r>
    <s v="2025-01-06"/>
    <x v="0"/>
    <x v="0"/>
    <x v="2"/>
    <s v="Corporate"/>
    <x v="0"/>
    <x v="7"/>
    <x v="2"/>
    <n v="420000"/>
    <n v="9"/>
    <x v="1"/>
    <n v="336000"/>
    <n v="3780000"/>
    <n v="3024000"/>
    <n v="756000"/>
    <n v="55"/>
  </r>
  <r>
    <s v="2025-02-20"/>
    <x v="2"/>
    <x v="1"/>
    <x v="1"/>
    <s v="Retail"/>
    <x v="0"/>
    <x v="9"/>
    <x v="1"/>
    <n v="220000"/>
    <n v="8"/>
    <x v="4"/>
    <n v="176000"/>
    <n v="1760000"/>
    <n v="1408000"/>
    <n v="352000"/>
    <n v="56"/>
  </r>
  <r>
    <s v="2025-01-02"/>
    <x v="0"/>
    <x v="2"/>
    <x v="0"/>
    <s v="Retail"/>
    <x v="0"/>
    <x v="0"/>
    <x v="0"/>
    <n v="85000"/>
    <n v="10"/>
    <x v="3"/>
    <n v="68000"/>
    <n v="850000"/>
    <n v="680000"/>
    <n v="170000"/>
    <n v="57"/>
  </r>
  <r>
    <s v="2025-02-13"/>
    <x v="2"/>
    <x v="0"/>
    <x v="2"/>
    <s v="Corporate"/>
    <x v="0"/>
    <x v="6"/>
    <x v="2"/>
    <n v="150000"/>
    <n v="4"/>
    <x v="0"/>
    <n v="120000"/>
    <n v="600000"/>
    <n v="480000"/>
    <n v="120000"/>
    <n v="58"/>
  </r>
  <r>
    <s v="2025-01-20"/>
    <x v="0"/>
    <x v="1"/>
    <x v="1"/>
    <s v="Corporate"/>
    <x v="1"/>
    <x v="8"/>
    <x v="2"/>
    <n v="250000"/>
    <n v="1"/>
    <x v="2"/>
    <n v="200000"/>
    <n v="250000"/>
    <n v="200000"/>
    <n v="50000"/>
    <n v="59"/>
  </r>
  <r>
    <s v="2025-03-19"/>
    <x v="3"/>
    <x v="2"/>
    <x v="1"/>
    <s v="Retail"/>
    <x v="0"/>
    <x v="1"/>
    <x v="1"/>
    <n v="30000"/>
    <n v="10"/>
    <x v="2"/>
    <n v="24000"/>
    <n v="300000"/>
    <n v="240000"/>
    <n v="60000"/>
    <n v="60"/>
  </r>
  <r>
    <s v="2025-03-05"/>
    <x v="3"/>
    <x v="2"/>
    <x v="1"/>
    <s v="Corporate"/>
    <x v="0"/>
    <x v="7"/>
    <x v="2"/>
    <n v="420000"/>
    <n v="4"/>
    <x v="1"/>
    <n v="336000"/>
    <n v="1680000"/>
    <n v="1344000"/>
    <n v="336000"/>
    <n v="61"/>
  </r>
  <r>
    <s v="2025-03-07"/>
    <x v="3"/>
    <x v="1"/>
    <x v="1"/>
    <s v="Retail"/>
    <x v="1"/>
    <x v="0"/>
    <x v="0"/>
    <n v="85000"/>
    <n v="2"/>
    <x v="3"/>
    <n v="68000"/>
    <n v="170000"/>
    <n v="136000"/>
    <n v="34000"/>
    <n v="62"/>
  </r>
  <r>
    <s v="2025-03-28"/>
    <x v="3"/>
    <x v="1"/>
    <x v="1"/>
    <s v="Retail"/>
    <x v="0"/>
    <x v="9"/>
    <x v="1"/>
    <n v="220000"/>
    <n v="1"/>
    <x v="2"/>
    <n v="176000"/>
    <n v="220000"/>
    <n v="176000"/>
    <n v="44000"/>
    <n v="63"/>
  </r>
  <r>
    <s v="2025-01-14"/>
    <x v="0"/>
    <x v="0"/>
    <x v="0"/>
    <s v="Retail"/>
    <x v="1"/>
    <x v="4"/>
    <x v="1"/>
    <n v="180000"/>
    <n v="9"/>
    <x v="5"/>
    <n v="144000"/>
    <n v="1620000"/>
    <n v="1296000"/>
    <n v="324000"/>
    <n v="64"/>
  </r>
  <r>
    <s v="2025-04-15"/>
    <x v="1"/>
    <x v="0"/>
    <x v="2"/>
    <s v="Retail"/>
    <x v="1"/>
    <x v="8"/>
    <x v="2"/>
    <n v="250000"/>
    <n v="6"/>
    <x v="0"/>
    <n v="200000"/>
    <n v="1500000"/>
    <n v="1200000"/>
    <n v="300000"/>
    <n v="65"/>
  </r>
  <r>
    <s v="2025-04-16"/>
    <x v="1"/>
    <x v="0"/>
    <x v="0"/>
    <s v="Retail"/>
    <x v="1"/>
    <x v="4"/>
    <x v="1"/>
    <n v="180000"/>
    <n v="3"/>
    <x v="5"/>
    <n v="144000"/>
    <n v="540000"/>
    <n v="432000"/>
    <n v="108000"/>
    <n v="66"/>
  </r>
  <r>
    <s v="2025-02-05"/>
    <x v="2"/>
    <x v="2"/>
    <x v="0"/>
    <s v="Corporate"/>
    <x v="0"/>
    <x v="2"/>
    <x v="1"/>
    <n v="60000"/>
    <n v="8"/>
    <x v="3"/>
    <n v="48000"/>
    <n v="480000"/>
    <n v="384000"/>
    <n v="96000"/>
    <n v="67"/>
  </r>
  <r>
    <s v="2025-04-10"/>
    <x v="1"/>
    <x v="3"/>
    <x v="0"/>
    <s v="Retail"/>
    <x v="0"/>
    <x v="2"/>
    <x v="1"/>
    <n v="60000"/>
    <n v="3"/>
    <x v="0"/>
    <n v="48000"/>
    <n v="180000"/>
    <n v="144000"/>
    <n v="36000"/>
    <n v="68"/>
  </r>
  <r>
    <s v="2025-03-31"/>
    <x v="3"/>
    <x v="0"/>
    <x v="2"/>
    <s v="Corporate"/>
    <x v="0"/>
    <x v="1"/>
    <x v="1"/>
    <n v="30000"/>
    <n v="8"/>
    <x v="2"/>
    <n v="24000"/>
    <n v="240000"/>
    <n v="192000"/>
    <n v="48000"/>
    <n v="69"/>
  </r>
  <r>
    <s v="2025-01-09"/>
    <x v="0"/>
    <x v="2"/>
    <x v="1"/>
    <s v="Retail"/>
    <x v="1"/>
    <x v="2"/>
    <x v="1"/>
    <n v="60000"/>
    <n v="4"/>
    <x v="5"/>
    <n v="48000"/>
    <n v="240000"/>
    <n v="192000"/>
    <n v="48000"/>
    <n v="70"/>
  </r>
  <r>
    <s v="2025-02-19"/>
    <x v="2"/>
    <x v="2"/>
    <x v="0"/>
    <s v="Corporate"/>
    <x v="1"/>
    <x v="1"/>
    <x v="1"/>
    <n v="30000"/>
    <n v="3"/>
    <x v="1"/>
    <n v="24000"/>
    <n v="90000"/>
    <n v="72000"/>
    <n v="18000"/>
    <n v="71"/>
  </r>
  <r>
    <s v="2025-02-17"/>
    <x v="2"/>
    <x v="1"/>
    <x v="2"/>
    <s v="Retail"/>
    <x v="0"/>
    <x v="4"/>
    <x v="1"/>
    <n v="180000"/>
    <n v="5"/>
    <x v="2"/>
    <n v="144000"/>
    <n v="900000"/>
    <n v="720000"/>
    <n v="180000"/>
    <n v="72"/>
  </r>
  <r>
    <s v="2025-04-21"/>
    <x v="1"/>
    <x v="3"/>
    <x v="0"/>
    <s v="Retail"/>
    <x v="1"/>
    <x v="9"/>
    <x v="1"/>
    <n v="220000"/>
    <n v="3"/>
    <x v="5"/>
    <n v="176000"/>
    <n v="660000"/>
    <n v="528000"/>
    <n v="132000"/>
    <n v="73"/>
  </r>
  <r>
    <s v="2025-04-21"/>
    <x v="1"/>
    <x v="0"/>
    <x v="1"/>
    <s v="Retail"/>
    <x v="0"/>
    <x v="2"/>
    <x v="1"/>
    <n v="60000"/>
    <n v="4"/>
    <x v="4"/>
    <n v="48000"/>
    <n v="240000"/>
    <n v="192000"/>
    <n v="48000"/>
    <n v="74"/>
  </r>
  <r>
    <s v="2025-04-13"/>
    <x v="1"/>
    <x v="3"/>
    <x v="0"/>
    <s v="Corporate"/>
    <x v="0"/>
    <x v="0"/>
    <x v="0"/>
    <n v="85000"/>
    <n v="1"/>
    <x v="4"/>
    <n v="68000"/>
    <n v="85000"/>
    <n v="68000"/>
    <n v="17000"/>
    <n v="75"/>
  </r>
  <r>
    <s v="2025-02-19"/>
    <x v="2"/>
    <x v="1"/>
    <x v="0"/>
    <s v="Retail"/>
    <x v="0"/>
    <x v="1"/>
    <x v="1"/>
    <n v="30000"/>
    <n v="5"/>
    <x v="1"/>
    <n v="24000"/>
    <n v="150000"/>
    <n v="120000"/>
    <n v="30000"/>
    <n v="76"/>
  </r>
  <r>
    <s v="2025-02-18"/>
    <x v="2"/>
    <x v="1"/>
    <x v="3"/>
    <s v="Retail"/>
    <x v="1"/>
    <x v="2"/>
    <x v="1"/>
    <n v="60000"/>
    <n v="3"/>
    <x v="4"/>
    <n v="48000"/>
    <n v="180000"/>
    <n v="144000"/>
    <n v="36000"/>
    <n v="77"/>
  </r>
  <r>
    <s v="2025-02-03"/>
    <x v="2"/>
    <x v="0"/>
    <x v="3"/>
    <s v="Retail"/>
    <x v="0"/>
    <x v="2"/>
    <x v="1"/>
    <n v="60000"/>
    <n v="6"/>
    <x v="0"/>
    <n v="48000"/>
    <n v="360000"/>
    <n v="288000"/>
    <n v="72000"/>
    <n v="78"/>
  </r>
  <r>
    <s v="2025-01-14"/>
    <x v="0"/>
    <x v="2"/>
    <x v="2"/>
    <s v="Corporate"/>
    <x v="0"/>
    <x v="3"/>
    <x v="2"/>
    <n v="300000"/>
    <n v="2"/>
    <x v="0"/>
    <n v="240000"/>
    <n v="600000"/>
    <n v="480000"/>
    <n v="120000"/>
    <n v="79"/>
  </r>
  <r>
    <s v="2025-01-23"/>
    <x v="0"/>
    <x v="0"/>
    <x v="2"/>
    <s v="Retail"/>
    <x v="0"/>
    <x v="6"/>
    <x v="2"/>
    <n v="150000"/>
    <n v="7"/>
    <x v="1"/>
    <n v="120000"/>
    <n v="1050000"/>
    <n v="840000"/>
    <n v="210000"/>
    <n v="80"/>
  </r>
  <r>
    <s v="2025-04-19"/>
    <x v="1"/>
    <x v="3"/>
    <x v="2"/>
    <s v="Corporate"/>
    <x v="1"/>
    <x v="9"/>
    <x v="1"/>
    <n v="220000"/>
    <n v="3"/>
    <x v="2"/>
    <n v="176000"/>
    <n v="660000"/>
    <n v="528000"/>
    <n v="132000"/>
    <n v="81"/>
  </r>
  <r>
    <s v="2025-01-06"/>
    <x v="0"/>
    <x v="0"/>
    <x v="2"/>
    <s v="Retail"/>
    <x v="1"/>
    <x v="2"/>
    <x v="1"/>
    <n v="60000"/>
    <n v="9"/>
    <x v="3"/>
    <n v="48000"/>
    <n v="540000"/>
    <n v="432000"/>
    <n v="108000"/>
    <n v="82"/>
  </r>
  <r>
    <s v="2025-02-26"/>
    <x v="2"/>
    <x v="0"/>
    <x v="1"/>
    <s v="Corporate"/>
    <x v="1"/>
    <x v="5"/>
    <x v="0"/>
    <n v="320000"/>
    <n v="2"/>
    <x v="2"/>
    <n v="256000"/>
    <n v="640000"/>
    <n v="512000"/>
    <n v="128000"/>
    <n v="83"/>
  </r>
  <r>
    <s v="2025-02-09"/>
    <x v="2"/>
    <x v="0"/>
    <x v="2"/>
    <s v="Corporate"/>
    <x v="0"/>
    <x v="9"/>
    <x v="1"/>
    <n v="220000"/>
    <n v="5"/>
    <x v="0"/>
    <n v="176000"/>
    <n v="1100000"/>
    <n v="880000"/>
    <n v="220000"/>
    <n v="84"/>
  </r>
  <r>
    <s v="2025-01-23"/>
    <x v="0"/>
    <x v="0"/>
    <x v="0"/>
    <s v="Corporate"/>
    <x v="0"/>
    <x v="6"/>
    <x v="2"/>
    <n v="150000"/>
    <n v="1"/>
    <x v="5"/>
    <n v="120000"/>
    <n v="150000"/>
    <n v="120000"/>
    <n v="30000"/>
    <n v="85"/>
  </r>
  <r>
    <s v="2025-02-13"/>
    <x v="2"/>
    <x v="2"/>
    <x v="1"/>
    <s v="Retail"/>
    <x v="1"/>
    <x v="3"/>
    <x v="2"/>
    <n v="300000"/>
    <n v="8"/>
    <x v="0"/>
    <n v="240000"/>
    <n v="2400000"/>
    <n v="1920000"/>
    <n v="480000"/>
    <n v="86"/>
  </r>
  <r>
    <s v="2025-02-20"/>
    <x v="2"/>
    <x v="1"/>
    <x v="3"/>
    <s v="Retail"/>
    <x v="0"/>
    <x v="9"/>
    <x v="1"/>
    <n v="220000"/>
    <n v="3"/>
    <x v="4"/>
    <n v="176000"/>
    <n v="660000"/>
    <n v="528000"/>
    <n v="132000"/>
    <n v="87"/>
  </r>
  <r>
    <s v="2025-01-15"/>
    <x v="0"/>
    <x v="0"/>
    <x v="0"/>
    <s v="Retail"/>
    <x v="0"/>
    <x v="8"/>
    <x v="2"/>
    <n v="250000"/>
    <n v="8"/>
    <x v="0"/>
    <n v="200000"/>
    <n v="2000000"/>
    <n v="1600000"/>
    <n v="400000"/>
    <n v="88"/>
  </r>
  <r>
    <s v="2025-04-19"/>
    <x v="1"/>
    <x v="2"/>
    <x v="1"/>
    <s v="Corporate"/>
    <x v="0"/>
    <x v="3"/>
    <x v="2"/>
    <n v="300000"/>
    <n v="4"/>
    <x v="2"/>
    <n v="240000"/>
    <n v="1200000"/>
    <n v="960000"/>
    <n v="240000"/>
    <n v="89"/>
  </r>
  <r>
    <s v="2025-05-01"/>
    <x v="4"/>
    <x v="2"/>
    <x v="2"/>
    <s v="Corporate"/>
    <x v="1"/>
    <x v="3"/>
    <x v="2"/>
    <n v="300000"/>
    <n v="1"/>
    <x v="2"/>
    <n v="240000"/>
    <n v="300000"/>
    <n v="240000"/>
    <n v="60000"/>
    <n v="90"/>
  </r>
  <r>
    <s v="2025-04-27"/>
    <x v="1"/>
    <x v="1"/>
    <x v="3"/>
    <s v="Retail"/>
    <x v="0"/>
    <x v="8"/>
    <x v="2"/>
    <n v="250000"/>
    <n v="8"/>
    <x v="2"/>
    <n v="200000"/>
    <n v="2000000"/>
    <n v="1600000"/>
    <n v="400000"/>
    <n v="91"/>
  </r>
  <r>
    <s v="2025-03-04"/>
    <x v="3"/>
    <x v="0"/>
    <x v="3"/>
    <s v="Corporate"/>
    <x v="1"/>
    <x v="4"/>
    <x v="1"/>
    <n v="180000"/>
    <n v="2"/>
    <x v="4"/>
    <n v="144000"/>
    <n v="360000"/>
    <n v="288000"/>
    <n v="72000"/>
    <n v="92"/>
  </r>
  <r>
    <s v="2025-02-03"/>
    <x v="2"/>
    <x v="0"/>
    <x v="3"/>
    <s v="Retail"/>
    <x v="1"/>
    <x v="4"/>
    <x v="1"/>
    <n v="180000"/>
    <n v="6"/>
    <x v="2"/>
    <n v="144000"/>
    <n v="1080000"/>
    <n v="864000"/>
    <n v="216000"/>
    <n v="93"/>
  </r>
  <r>
    <s v="2025-02-16"/>
    <x v="2"/>
    <x v="3"/>
    <x v="1"/>
    <s v="Corporate"/>
    <x v="0"/>
    <x v="3"/>
    <x v="2"/>
    <n v="300000"/>
    <n v="2"/>
    <x v="2"/>
    <n v="240000"/>
    <n v="600000"/>
    <n v="480000"/>
    <n v="120000"/>
    <n v="94"/>
  </r>
  <r>
    <s v="2025-04-29"/>
    <x v="1"/>
    <x v="1"/>
    <x v="0"/>
    <s v="Corporate"/>
    <x v="1"/>
    <x v="6"/>
    <x v="2"/>
    <n v="150000"/>
    <n v="6"/>
    <x v="0"/>
    <n v="120000"/>
    <n v="900000"/>
    <n v="720000"/>
    <n v="180000"/>
    <n v="95"/>
  </r>
  <r>
    <s v="2025-03-06"/>
    <x v="3"/>
    <x v="2"/>
    <x v="1"/>
    <s v="Corporate"/>
    <x v="1"/>
    <x v="7"/>
    <x v="2"/>
    <n v="420000"/>
    <n v="10"/>
    <x v="0"/>
    <n v="336000"/>
    <n v="4200000"/>
    <n v="3360000"/>
    <n v="840000"/>
    <n v="96"/>
  </r>
  <r>
    <s v="2025-04-30"/>
    <x v="1"/>
    <x v="1"/>
    <x v="2"/>
    <s v="Retail"/>
    <x v="0"/>
    <x v="7"/>
    <x v="2"/>
    <n v="420000"/>
    <n v="8"/>
    <x v="2"/>
    <n v="336000"/>
    <n v="3360000"/>
    <n v="2688000"/>
    <n v="672000"/>
    <n v="97"/>
  </r>
  <r>
    <s v="2025-01-20"/>
    <x v="0"/>
    <x v="2"/>
    <x v="1"/>
    <s v="Retail"/>
    <x v="1"/>
    <x v="4"/>
    <x v="1"/>
    <n v="180000"/>
    <n v="8"/>
    <x v="0"/>
    <n v="144000"/>
    <n v="1440000"/>
    <n v="1152000"/>
    <n v="288000"/>
    <n v="98"/>
  </r>
  <r>
    <s v="2025-01-03"/>
    <x v="0"/>
    <x v="2"/>
    <x v="2"/>
    <s v="Retail"/>
    <x v="1"/>
    <x v="3"/>
    <x v="2"/>
    <n v="300000"/>
    <n v="4"/>
    <x v="4"/>
    <n v="240000"/>
    <n v="1200000"/>
    <n v="960000"/>
    <n v="240000"/>
    <n v="99"/>
  </r>
  <r>
    <s v="2025-01-15"/>
    <x v="0"/>
    <x v="2"/>
    <x v="2"/>
    <s v="Retail"/>
    <x v="1"/>
    <x v="7"/>
    <x v="2"/>
    <n v="420000"/>
    <n v="1"/>
    <x v="3"/>
    <n v="336000"/>
    <n v="420000"/>
    <n v="336000"/>
    <n v="84000"/>
    <n v="100"/>
  </r>
  <r>
    <s v="2025-03-20"/>
    <x v="3"/>
    <x v="0"/>
    <x v="2"/>
    <s v="Corporate"/>
    <x v="0"/>
    <x v="1"/>
    <x v="1"/>
    <n v="30000"/>
    <n v="7"/>
    <x v="2"/>
    <n v="24000"/>
    <n v="210000"/>
    <n v="168000"/>
    <n v="42000"/>
    <n v="101"/>
  </r>
  <r>
    <s v="2025-02-26"/>
    <x v="2"/>
    <x v="2"/>
    <x v="0"/>
    <s v="Retail"/>
    <x v="0"/>
    <x v="7"/>
    <x v="2"/>
    <n v="420000"/>
    <n v="3"/>
    <x v="2"/>
    <n v="336000"/>
    <n v="1260000"/>
    <n v="1008000"/>
    <n v="252000"/>
    <n v="102"/>
  </r>
  <r>
    <s v="2025-04-28"/>
    <x v="1"/>
    <x v="2"/>
    <x v="0"/>
    <s v="Retail"/>
    <x v="1"/>
    <x v="2"/>
    <x v="1"/>
    <n v="60000"/>
    <n v="5"/>
    <x v="5"/>
    <n v="48000"/>
    <n v="300000"/>
    <n v="240000"/>
    <n v="60000"/>
    <n v="103"/>
  </r>
  <r>
    <s v="2025-04-21"/>
    <x v="1"/>
    <x v="0"/>
    <x v="3"/>
    <s v="Corporate"/>
    <x v="0"/>
    <x v="3"/>
    <x v="2"/>
    <n v="300000"/>
    <n v="9"/>
    <x v="5"/>
    <n v="240000"/>
    <n v="2700000"/>
    <n v="2160000"/>
    <n v="540000"/>
    <n v="104"/>
  </r>
  <r>
    <s v="2025-04-26"/>
    <x v="1"/>
    <x v="1"/>
    <x v="2"/>
    <s v="Retail"/>
    <x v="1"/>
    <x v="5"/>
    <x v="0"/>
    <n v="320000"/>
    <n v="4"/>
    <x v="3"/>
    <n v="256000"/>
    <n v="1280000"/>
    <n v="1024000"/>
    <n v="256000"/>
    <n v="105"/>
  </r>
  <r>
    <s v="2025-01-28"/>
    <x v="0"/>
    <x v="3"/>
    <x v="1"/>
    <s v="Retail"/>
    <x v="1"/>
    <x v="4"/>
    <x v="1"/>
    <n v="180000"/>
    <n v="2"/>
    <x v="5"/>
    <n v="144000"/>
    <n v="360000"/>
    <n v="288000"/>
    <n v="72000"/>
    <n v="106"/>
  </r>
  <r>
    <s v="2025-02-24"/>
    <x v="2"/>
    <x v="1"/>
    <x v="1"/>
    <s v="Retail"/>
    <x v="0"/>
    <x v="0"/>
    <x v="0"/>
    <n v="85000"/>
    <n v="1"/>
    <x v="3"/>
    <n v="68000"/>
    <n v="85000"/>
    <n v="68000"/>
    <n v="17000"/>
    <n v="107"/>
  </r>
  <r>
    <s v="2025-02-11"/>
    <x v="2"/>
    <x v="3"/>
    <x v="2"/>
    <s v="Corporate"/>
    <x v="1"/>
    <x v="5"/>
    <x v="0"/>
    <n v="320000"/>
    <n v="7"/>
    <x v="3"/>
    <n v="256000"/>
    <n v="2240000"/>
    <n v="1792000"/>
    <n v="448000"/>
    <n v="108"/>
  </r>
  <r>
    <s v="2025-02-08"/>
    <x v="2"/>
    <x v="1"/>
    <x v="3"/>
    <s v="Corporate"/>
    <x v="0"/>
    <x v="2"/>
    <x v="1"/>
    <n v="60000"/>
    <n v="9"/>
    <x v="0"/>
    <n v="48000"/>
    <n v="540000"/>
    <n v="432000"/>
    <n v="108000"/>
    <n v="109"/>
  </r>
  <r>
    <s v="2025-01-03"/>
    <x v="0"/>
    <x v="3"/>
    <x v="3"/>
    <s v="Corporate"/>
    <x v="1"/>
    <x v="0"/>
    <x v="0"/>
    <n v="85000"/>
    <n v="1"/>
    <x v="1"/>
    <n v="68000"/>
    <n v="85000"/>
    <n v="68000"/>
    <n v="17000"/>
    <n v="110"/>
  </r>
  <r>
    <s v="2025-03-26"/>
    <x v="3"/>
    <x v="1"/>
    <x v="1"/>
    <s v="Retail"/>
    <x v="0"/>
    <x v="3"/>
    <x v="2"/>
    <n v="300000"/>
    <n v="6"/>
    <x v="5"/>
    <n v="240000"/>
    <n v="1800000"/>
    <n v="1440000"/>
    <n v="360000"/>
    <n v="111"/>
  </r>
  <r>
    <s v="2025-01-17"/>
    <x v="0"/>
    <x v="3"/>
    <x v="1"/>
    <s v="Corporate"/>
    <x v="0"/>
    <x v="1"/>
    <x v="1"/>
    <n v="30000"/>
    <n v="5"/>
    <x v="0"/>
    <n v="24000"/>
    <n v="150000"/>
    <n v="120000"/>
    <n v="30000"/>
    <n v="112"/>
  </r>
  <r>
    <s v="2025-03-09"/>
    <x v="3"/>
    <x v="3"/>
    <x v="0"/>
    <s v="Retail"/>
    <x v="1"/>
    <x v="6"/>
    <x v="2"/>
    <n v="150000"/>
    <n v="4"/>
    <x v="4"/>
    <n v="120000"/>
    <n v="600000"/>
    <n v="480000"/>
    <n v="120000"/>
    <n v="113"/>
  </r>
  <r>
    <s v="2025-03-26"/>
    <x v="3"/>
    <x v="2"/>
    <x v="0"/>
    <s v="Corporate"/>
    <x v="1"/>
    <x v="6"/>
    <x v="2"/>
    <n v="150000"/>
    <n v="6"/>
    <x v="4"/>
    <n v="120000"/>
    <n v="900000"/>
    <n v="720000"/>
    <n v="180000"/>
    <n v="114"/>
  </r>
  <r>
    <s v="2025-04-19"/>
    <x v="1"/>
    <x v="3"/>
    <x v="1"/>
    <s v="Corporate"/>
    <x v="1"/>
    <x v="6"/>
    <x v="2"/>
    <n v="150000"/>
    <n v="8"/>
    <x v="4"/>
    <n v="120000"/>
    <n v="1200000"/>
    <n v="960000"/>
    <n v="240000"/>
    <n v="115"/>
  </r>
  <r>
    <s v="2025-01-16"/>
    <x v="0"/>
    <x v="2"/>
    <x v="1"/>
    <s v="Retail"/>
    <x v="1"/>
    <x v="1"/>
    <x v="1"/>
    <n v="30000"/>
    <n v="6"/>
    <x v="0"/>
    <n v="24000"/>
    <n v="180000"/>
    <n v="144000"/>
    <n v="36000"/>
    <n v="116"/>
  </r>
  <r>
    <s v="2025-01-21"/>
    <x v="0"/>
    <x v="0"/>
    <x v="1"/>
    <s v="Retail"/>
    <x v="0"/>
    <x v="8"/>
    <x v="2"/>
    <n v="250000"/>
    <n v="3"/>
    <x v="3"/>
    <n v="200000"/>
    <n v="750000"/>
    <n v="600000"/>
    <n v="150000"/>
    <n v="117"/>
  </r>
  <r>
    <s v="2025-03-14"/>
    <x v="3"/>
    <x v="2"/>
    <x v="1"/>
    <s v="Corporate"/>
    <x v="0"/>
    <x v="6"/>
    <x v="2"/>
    <n v="150000"/>
    <n v="5"/>
    <x v="0"/>
    <n v="120000"/>
    <n v="750000"/>
    <n v="600000"/>
    <n v="150000"/>
    <n v="118"/>
  </r>
  <r>
    <s v="2025-03-18"/>
    <x v="3"/>
    <x v="0"/>
    <x v="1"/>
    <s v="Retail"/>
    <x v="0"/>
    <x v="9"/>
    <x v="1"/>
    <n v="220000"/>
    <n v="1"/>
    <x v="4"/>
    <n v="176000"/>
    <n v="220000"/>
    <n v="176000"/>
    <n v="44000"/>
    <n v="119"/>
  </r>
  <r>
    <s v="2025-01-13"/>
    <x v="0"/>
    <x v="3"/>
    <x v="1"/>
    <s v="Retail"/>
    <x v="1"/>
    <x v="5"/>
    <x v="0"/>
    <n v="320000"/>
    <n v="10"/>
    <x v="3"/>
    <n v="256000"/>
    <n v="3200000"/>
    <n v="2560000"/>
    <n v="640000"/>
    <n v="120"/>
  </r>
  <r>
    <s v="2025-01-26"/>
    <x v="0"/>
    <x v="2"/>
    <x v="0"/>
    <s v="Corporate"/>
    <x v="1"/>
    <x v="2"/>
    <x v="1"/>
    <n v="60000"/>
    <n v="5"/>
    <x v="1"/>
    <n v="48000"/>
    <n v="300000"/>
    <n v="240000"/>
    <n v="60000"/>
    <n v="121"/>
  </r>
  <r>
    <s v="2025-04-10"/>
    <x v="1"/>
    <x v="1"/>
    <x v="3"/>
    <s v="Retail"/>
    <x v="1"/>
    <x v="6"/>
    <x v="2"/>
    <n v="150000"/>
    <n v="7"/>
    <x v="5"/>
    <n v="120000"/>
    <n v="1050000"/>
    <n v="840000"/>
    <n v="210000"/>
    <n v="122"/>
  </r>
  <r>
    <s v="2025-04-27"/>
    <x v="1"/>
    <x v="3"/>
    <x v="2"/>
    <s v="Retail"/>
    <x v="0"/>
    <x v="2"/>
    <x v="1"/>
    <n v="60000"/>
    <n v="7"/>
    <x v="2"/>
    <n v="48000"/>
    <n v="420000"/>
    <n v="336000"/>
    <n v="84000"/>
    <n v="123"/>
  </r>
  <r>
    <s v="2025-02-10"/>
    <x v="2"/>
    <x v="3"/>
    <x v="0"/>
    <s v="Corporate"/>
    <x v="1"/>
    <x v="9"/>
    <x v="1"/>
    <n v="220000"/>
    <n v="4"/>
    <x v="3"/>
    <n v="176000"/>
    <n v="880000"/>
    <n v="704000"/>
    <n v="176000"/>
    <n v="124"/>
  </r>
  <r>
    <s v="2025-02-21"/>
    <x v="2"/>
    <x v="1"/>
    <x v="2"/>
    <s v="Corporate"/>
    <x v="1"/>
    <x v="8"/>
    <x v="2"/>
    <n v="250000"/>
    <n v="6"/>
    <x v="1"/>
    <n v="200000"/>
    <n v="1500000"/>
    <n v="1200000"/>
    <n v="300000"/>
    <n v="125"/>
  </r>
  <r>
    <s v="2025-03-07"/>
    <x v="3"/>
    <x v="3"/>
    <x v="0"/>
    <s v="Corporate"/>
    <x v="0"/>
    <x v="7"/>
    <x v="2"/>
    <n v="420000"/>
    <n v="10"/>
    <x v="0"/>
    <n v="336000"/>
    <n v="4200000"/>
    <n v="3360000"/>
    <n v="840000"/>
    <n v="126"/>
  </r>
  <r>
    <s v="2025-03-30"/>
    <x v="3"/>
    <x v="1"/>
    <x v="0"/>
    <s v="Retail"/>
    <x v="0"/>
    <x v="1"/>
    <x v="1"/>
    <n v="30000"/>
    <n v="9"/>
    <x v="5"/>
    <n v="24000"/>
    <n v="270000"/>
    <n v="216000"/>
    <n v="54000"/>
    <n v="127"/>
  </r>
  <r>
    <s v="2025-03-21"/>
    <x v="3"/>
    <x v="0"/>
    <x v="2"/>
    <s v="Retail"/>
    <x v="1"/>
    <x v="4"/>
    <x v="1"/>
    <n v="180000"/>
    <n v="8"/>
    <x v="2"/>
    <n v="144000"/>
    <n v="1440000"/>
    <n v="1152000"/>
    <n v="288000"/>
    <n v="128"/>
  </r>
  <r>
    <s v="2025-01-23"/>
    <x v="0"/>
    <x v="3"/>
    <x v="1"/>
    <s v="Retail"/>
    <x v="0"/>
    <x v="7"/>
    <x v="2"/>
    <n v="420000"/>
    <n v="5"/>
    <x v="4"/>
    <n v="336000"/>
    <n v="2100000"/>
    <n v="1680000"/>
    <n v="420000"/>
    <n v="129"/>
  </r>
  <r>
    <s v="2025-01-09"/>
    <x v="0"/>
    <x v="0"/>
    <x v="0"/>
    <s v="Corporate"/>
    <x v="0"/>
    <x v="2"/>
    <x v="1"/>
    <n v="60000"/>
    <n v="9"/>
    <x v="0"/>
    <n v="48000"/>
    <n v="540000"/>
    <n v="432000"/>
    <n v="108000"/>
    <n v="130"/>
  </r>
  <r>
    <s v="2025-02-12"/>
    <x v="2"/>
    <x v="2"/>
    <x v="2"/>
    <s v="Corporate"/>
    <x v="1"/>
    <x v="0"/>
    <x v="0"/>
    <n v="85000"/>
    <n v="5"/>
    <x v="1"/>
    <n v="68000"/>
    <n v="425000"/>
    <n v="340000"/>
    <n v="85000"/>
    <n v="131"/>
  </r>
  <r>
    <s v="2025-04-05"/>
    <x v="1"/>
    <x v="2"/>
    <x v="2"/>
    <s v="Corporate"/>
    <x v="0"/>
    <x v="0"/>
    <x v="0"/>
    <n v="85000"/>
    <n v="1"/>
    <x v="2"/>
    <n v="68000"/>
    <n v="85000"/>
    <n v="68000"/>
    <n v="17000"/>
    <n v="132"/>
  </r>
  <r>
    <s v="2025-01-26"/>
    <x v="0"/>
    <x v="1"/>
    <x v="1"/>
    <s v="Retail"/>
    <x v="1"/>
    <x v="2"/>
    <x v="1"/>
    <n v="60000"/>
    <n v="8"/>
    <x v="3"/>
    <n v="48000"/>
    <n v="480000"/>
    <n v="384000"/>
    <n v="96000"/>
    <n v="133"/>
  </r>
  <r>
    <s v="2025-04-27"/>
    <x v="1"/>
    <x v="0"/>
    <x v="2"/>
    <s v="Corporate"/>
    <x v="0"/>
    <x v="6"/>
    <x v="2"/>
    <n v="150000"/>
    <n v="5"/>
    <x v="4"/>
    <n v="120000"/>
    <n v="750000"/>
    <n v="600000"/>
    <n v="150000"/>
    <n v="134"/>
  </r>
  <r>
    <s v="2025-03-30"/>
    <x v="3"/>
    <x v="0"/>
    <x v="3"/>
    <s v="Retail"/>
    <x v="0"/>
    <x v="5"/>
    <x v="0"/>
    <n v="320000"/>
    <n v="10"/>
    <x v="3"/>
    <n v="256000"/>
    <n v="3200000"/>
    <n v="2560000"/>
    <n v="640000"/>
    <n v="135"/>
  </r>
  <r>
    <s v="2025-01-29"/>
    <x v="0"/>
    <x v="0"/>
    <x v="3"/>
    <s v="Corporate"/>
    <x v="0"/>
    <x v="8"/>
    <x v="2"/>
    <n v="250000"/>
    <n v="6"/>
    <x v="5"/>
    <n v="200000"/>
    <n v="1500000"/>
    <n v="1200000"/>
    <n v="300000"/>
    <n v="136"/>
  </r>
  <r>
    <s v="2025-01-21"/>
    <x v="0"/>
    <x v="2"/>
    <x v="2"/>
    <s v="Corporate"/>
    <x v="0"/>
    <x v="6"/>
    <x v="2"/>
    <n v="150000"/>
    <n v="3"/>
    <x v="0"/>
    <n v="120000"/>
    <n v="450000"/>
    <n v="360000"/>
    <n v="90000"/>
    <n v="137"/>
  </r>
  <r>
    <s v="2025-03-21"/>
    <x v="3"/>
    <x v="0"/>
    <x v="1"/>
    <s v="Corporate"/>
    <x v="0"/>
    <x v="2"/>
    <x v="1"/>
    <n v="60000"/>
    <n v="10"/>
    <x v="4"/>
    <n v="48000"/>
    <n v="600000"/>
    <n v="480000"/>
    <n v="120000"/>
    <n v="138"/>
  </r>
  <r>
    <s v="2025-04-11"/>
    <x v="1"/>
    <x v="3"/>
    <x v="2"/>
    <s v="Retail"/>
    <x v="0"/>
    <x v="6"/>
    <x v="2"/>
    <n v="150000"/>
    <n v="8"/>
    <x v="2"/>
    <n v="120000"/>
    <n v="1200000"/>
    <n v="960000"/>
    <n v="240000"/>
    <n v="139"/>
  </r>
  <r>
    <s v="2025-04-28"/>
    <x v="1"/>
    <x v="2"/>
    <x v="0"/>
    <s v="Retail"/>
    <x v="0"/>
    <x v="8"/>
    <x v="2"/>
    <n v="250000"/>
    <n v="7"/>
    <x v="4"/>
    <n v="200000"/>
    <n v="1750000"/>
    <n v="1400000"/>
    <n v="350000"/>
    <n v="140"/>
  </r>
  <r>
    <s v="2025-04-27"/>
    <x v="1"/>
    <x v="2"/>
    <x v="3"/>
    <s v="Corporate"/>
    <x v="0"/>
    <x v="0"/>
    <x v="0"/>
    <n v="85000"/>
    <n v="6"/>
    <x v="3"/>
    <n v="68000"/>
    <n v="510000"/>
    <n v="408000"/>
    <n v="102000"/>
    <n v="141"/>
  </r>
  <r>
    <s v="2025-02-11"/>
    <x v="2"/>
    <x v="3"/>
    <x v="0"/>
    <s v="Corporate"/>
    <x v="0"/>
    <x v="4"/>
    <x v="1"/>
    <n v="180000"/>
    <n v="9"/>
    <x v="4"/>
    <n v="144000"/>
    <n v="1620000"/>
    <n v="1296000"/>
    <n v="324000"/>
    <n v="142"/>
  </r>
  <r>
    <s v="2025-03-24"/>
    <x v="3"/>
    <x v="0"/>
    <x v="3"/>
    <s v="Corporate"/>
    <x v="0"/>
    <x v="1"/>
    <x v="1"/>
    <n v="30000"/>
    <n v="8"/>
    <x v="4"/>
    <n v="24000"/>
    <n v="240000"/>
    <n v="192000"/>
    <n v="48000"/>
    <n v="143"/>
  </r>
  <r>
    <s v="2025-01-22"/>
    <x v="0"/>
    <x v="2"/>
    <x v="0"/>
    <s v="Corporate"/>
    <x v="1"/>
    <x v="0"/>
    <x v="0"/>
    <n v="85000"/>
    <n v="1"/>
    <x v="1"/>
    <n v="68000"/>
    <n v="85000"/>
    <n v="68000"/>
    <n v="17000"/>
    <n v="144"/>
  </r>
  <r>
    <s v="2025-02-05"/>
    <x v="2"/>
    <x v="0"/>
    <x v="3"/>
    <s v="Corporate"/>
    <x v="0"/>
    <x v="1"/>
    <x v="1"/>
    <n v="30000"/>
    <n v="8"/>
    <x v="5"/>
    <n v="24000"/>
    <n v="240000"/>
    <n v="192000"/>
    <n v="48000"/>
    <n v="145"/>
  </r>
  <r>
    <s v="2025-01-16"/>
    <x v="0"/>
    <x v="3"/>
    <x v="2"/>
    <s v="Retail"/>
    <x v="0"/>
    <x v="5"/>
    <x v="0"/>
    <n v="320000"/>
    <n v="2"/>
    <x v="4"/>
    <n v="256000"/>
    <n v="640000"/>
    <n v="512000"/>
    <n v="128000"/>
    <n v="146"/>
  </r>
  <r>
    <s v="2025-03-15"/>
    <x v="3"/>
    <x v="1"/>
    <x v="0"/>
    <s v="Retail"/>
    <x v="0"/>
    <x v="6"/>
    <x v="2"/>
    <n v="150000"/>
    <n v="5"/>
    <x v="4"/>
    <n v="120000"/>
    <n v="750000"/>
    <n v="600000"/>
    <n v="150000"/>
    <n v="147"/>
  </r>
  <r>
    <s v="2025-03-23"/>
    <x v="3"/>
    <x v="1"/>
    <x v="2"/>
    <s v="Corporate"/>
    <x v="0"/>
    <x v="8"/>
    <x v="2"/>
    <n v="250000"/>
    <n v="5"/>
    <x v="5"/>
    <n v="200000"/>
    <n v="1250000"/>
    <n v="1000000"/>
    <n v="250000"/>
    <n v="148"/>
  </r>
  <r>
    <s v="2025-01-19"/>
    <x v="0"/>
    <x v="3"/>
    <x v="3"/>
    <s v="Corporate"/>
    <x v="0"/>
    <x v="9"/>
    <x v="1"/>
    <n v="220000"/>
    <n v="10"/>
    <x v="1"/>
    <n v="176000"/>
    <n v="2200000"/>
    <n v="1760000"/>
    <n v="440000"/>
    <n v="149"/>
  </r>
  <r>
    <s v="2025-04-13"/>
    <x v="1"/>
    <x v="3"/>
    <x v="2"/>
    <s v="Corporate"/>
    <x v="0"/>
    <x v="2"/>
    <x v="1"/>
    <n v="60000"/>
    <n v="2"/>
    <x v="3"/>
    <n v="48000"/>
    <n v="120000"/>
    <n v="96000"/>
    <n v="24000"/>
    <n v="150"/>
  </r>
  <r>
    <s v="2025-01-16"/>
    <x v="0"/>
    <x v="3"/>
    <x v="2"/>
    <s v="Corporate"/>
    <x v="1"/>
    <x v="8"/>
    <x v="2"/>
    <n v="250000"/>
    <n v="1"/>
    <x v="4"/>
    <n v="200000"/>
    <n v="250000"/>
    <n v="200000"/>
    <n v="50000"/>
    <n v="151"/>
  </r>
  <r>
    <s v="2025-01-15"/>
    <x v="0"/>
    <x v="0"/>
    <x v="0"/>
    <s v="Retail"/>
    <x v="0"/>
    <x v="4"/>
    <x v="1"/>
    <n v="180000"/>
    <n v="8"/>
    <x v="5"/>
    <n v="144000"/>
    <n v="1440000"/>
    <n v="1152000"/>
    <n v="288000"/>
    <n v="152"/>
  </r>
  <r>
    <s v="2025-01-01"/>
    <x v="0"/>
    <x v="3"/>
    <x v="1"/>
    <s v="Retail"/>
    <x v="0"/>
    <x v="6"/>
    <x v="2"/>
    <n v="150000"/>
    <n v="1"/>
    <x v="0"/>
    <n v="120000"/>
    <n v="150000"/>
    <n v="120000"/>
    <n v="30000"/>
    <n v="153"/>
  </r>
  <r>
    <s v="2025-02-01"/>
    <x v="2"/>
    <x v="3"/>
    <x v="3"/>
    <s v="Retail"/>
    <x v="0"/>
    <x v="1"/>
    <x v="1"/>
    <n v="30000"/>
    <n v="6"/>
    <x v="1"/>
    <n v="24000"/>
    <n v="180000"/>
    <n v="144000"/>
    <n v="36000"/>
    <n v="154"/>
  </r>
  <r>
    <s v="2025-01-21"/>
    <x v="0"/>
    <x v="0"/>
    <x v="0"/>
    <s v="Corporate"/>
    <x v="0"/>
    <x v="9"/>
    <x v="1"/>
    <n v="220000"/>
    <n v="10"/>
    <x v="5"/>
    <n v="176000"/>
    <n v="2200000"/>
    <n v="1760000"/>
    <n v="440000"/>
    <n v="155"/>
  </r>
  <r>
    <s v="2025-01-17"/>
    <x v="0"/>
    <x v="0"/>
    <x v="0"/>
    <s v="Retail"/>
    <x v="1"/>
    <x v="7"/>
    <x v="2"/>
    <n v="420000"/>
    <n v="1"/>
    <x v="1"/>
    <n v="336000"/>
    <n v="420000"/>
    <n v="336000"/>
    <n v="84000"/>
    <n v="156"/>
  </r>
  <r>
    <s v="2025-01-14"/>
    <x v="0"/>
    <x v="0"/>
    <x v="1"/>
    <s v="Corporate"/>
    <x v="1"/>
    <x v="3"/>
    <x v="2"/>
    <n v="300000"/>
    <n v="8"/>
    <x v="1"/>
    <n v="240000"/>
    <n v="2400000"/>
    <n v="1920000"/>
    <n v="480000"/>
    <n v="157"/>
  </r>
  <r>
    <s v="2025-02-26"/>
    <x v="2"/>
    <x v="3"/>
    <x v="3"/>
    <s v="Corporate"/>
    <x v="0"/>
    <x v="8"/>
    <x v="2"/>
    <n v="250000"/>
    <n v="3"/>
    <x v="0"/>
    <n v="200000"/>
    <n v="750000"/>
    <n v="600000"/>
    <n v="150000"/>
    <n v="158"/>
  </r>
  <r>
    <s v="2025-03-13"/>
    <x v="3"/>
    <x v="0"/>
    <x v="3"/>
    <s v="Corporate"/>
    <x v="0"/>
    <x v="3"/>
    <x v="2"/>
    <n v="300000"/>
    <n v="4"/>
    <x v="3"/>
    <n v="240000"/>
    <n v="1200000"/>
    <n v="960000"/>
    <n v="240000"/>
    <n v="159"/>
  </r>
  <r>
    <s v="2025-04-02"/>
    <x v="1"/>
    <x v="0"/>
    <x v="2"/>
    <s v="Retail"/>
    <x v="0"/>
    <x v="6"/>
    <x v="2"/>
    <n v="150000"/>
    <n v="6"/>
    <x v="3"/>
    <n v="120000"/>
    <n v="900000"/>
    <n v="720000"/>
    <n v="180000"/>
    <n v="160"/>
  </r>
  <r>
    <s v="2025-04-14"/>
    <x v="1"/>
    <x v="0"/>
    <x v="3"/>
    <s v="Retail"/>
    <x v="0"/>
    <x v="7"/>
    <x v="2"/>
    <n v="420000"/>
    <n v="2"/>
    <x v="0"/>
    <n v="336000"/>
    <n v="840000"/>
    <n v="672000"/>
    <n v="168000"/>
    <n v="161"/>
  </r>
  <r>
    <s v="2025-01-27"/>
    <x v="0"/>
    <x v="2"/>
    <x v="1"/>
    <s v="Retail"/>
    <x v="0"/>
    <x v="9"/>
    <x v="1"/>
    <n v="220000"/>
    <n v="1"/>
    <x v="1"/>
    <n v="176000"/>
    <n v="220000"/>
    <n v="176000"/>
    <n v="44000"/>
    <n v="162"/>
  </r>
  <r>
    <s v="2025-04-17"/>
    <x v="1"/>
    <x v="2"/>
    <x v="3"/>
    <s v="Retail"/>
    <x v="1"/>
    <x v="9"/>
    <x v="1"/>
    <n v="220000"/>
    <n v="8"/>
    <x v="4"/>
    <n v="176000"/>
    <n v="1760000"/>
    <n v="1408000"/>
    <n v="352000"/>
    <n v="163"/>
  </r>
  <r>
    <s v="2025-03-19"/>
    <x v="3"/>
    <x v="3"/>
    <x v="2"/>
    <s v="Retail"/>
    <x v="1"/>
    <x v="1"/>
    <x v="1"/>
    <n v="30000"/>
    <n v="10"/>
    <x v="5"/>
    <n v="24000"/>
    <n v="300000"/>
    <n v="240000"/>
    <n v="60000"/>
    <n v="164"/>
  </r>
  <r>
    <s v="2025-03-02"/>
    <x v="3"/>
    <x v="3"/>
    <x v="1"/>
    <s v="Corporate"/>
    <x v="0"/>
    <x v="1"/>
    <x v="1"/>
    <n v="30000"/>
    <n v="4"/>
    <x v="5"/>
    <n v="24000"/>
    <n v="120000"/>
    <n v="96000"/>
    <n v="24000"/>
    <n v="165"/>
  </r>
  <r>
    <s v="2025-04-07"/>
    <x v="1"/>
    <x v="0"/>
    <x v="0"/>
    <s v="Corporate"/>
    <x v="0"/>
    <x v="4"/>
    <x v="1"/>
    <n v="180000"/>
    <n v="6"/>
    <x v="0"/>
    <n v="144000"/>
    <n v="1080000"/>
    <n v="864000"/>
    <n v="216000"/>
    <n v="166"/>
  </r>
  <r>
    <s v="2025-04-03"/>
    <x v="1"/>
    <x v="0"/>
    <x v="3"/>
    <s v="Corporate"/>
    <x v="0"/>
    <x v="3"/>
    <x v="2"/>
    <n v="300000"/>
    <n v="2"/>
    <x v="5"/>
    <n v="240000"/>
    <n v="600000"/>
    <n v="480000"/>
    <n v="120000"/>
    <n v="167"/>
  </r>
  <r>
    <s v="2025-01-27"/>
    <x v="0"/>
    <x v="1"/>
    <x v="1"/>
    <s v="Retail"/>
    <x v="0"/>
    <x v="6"/>
    <x v="2"/>
    <n v="150000"/>
    <n v="9"/>
    <x v="0"/>
    <n v="120000"/>
    <n v="1350000"/>
    <n v="1080000"/>
    <n v="270000"/>
    <n v="168"/>
  </r>
  <r>
    <s v="2025-03-30"/>
    <x v="3"/>
    <x v="3"/>
    <x v="0"/>
    <s v="Retail"/>
    <x v="1"/>
    <x v="6"/>
    <x v="2"/>
    <n v="150000"/>
    <n v="9"/>
    <x v="1"/>
    <n v="120000"/>
    <n v="1350000"/>
    <n v="1080000"/>
    <n v="270000"/>
    <n v="169"/>
  </r>
  <r>
    <s v="2025-02-07"/>
    <x v="2"/>
    <x v="0"/>
    <x v="0"/>
    <s v="Retail"/>
    <x v="0"/>
    <x v="1"/>
    <x v="1"/>
    <n v="30000"/>
    <n v="4"/>
    <x v="0"/>
    <n v="24000"/>
    <n v="120000"/>
    <n v="96000"/>
    <n v="24000"/>
    <n v="170"/>
  </r>
  <r>
    <s v="2025-05-01"/>
    <x v="4"/>
    <x v="1"/>
    <x v="2"/>
    <s v="Corporate"/>
    <x v="0"/>
    <x v="2"/>
    <x v="1"/>
    <n v="60000"/>
    <n v="9"/>
    <x v="2"/>
    <n v="48000"/>
    <n v="540000"/>
    <n v="432000"/>
    <n v="108000"/>
    <n v="171"/>
  </r>
  <r>
    <s v="2025-01-10"/>
    <x v="0"/>
    <x v="2"/>
    <x v="1"/>
    <s v="Retail"/>
    <x v="1"/>
    <x v="3"/>
    <x v="2"/>
    <n v="300000"/>
    <n v="9"/>
    <x v="2"/>
    <n v="240000"/>
    <n v="2700000"/>
    <n v="2160000"/>
    <n v="540000"/>
    <n v="172"/>
  </r>
  <r>
    <s v="2025-04-21"/>
    <x v="1"/>
    <x v="3"/>
    <x v="3"/>
    <s v="Retail"/>
    <x v="0"/>
    <x v="5"/>
    <x v="0"/>
    <n v="320000"/>
    <n v="3"/>
    <x v="5"/>
    <n v="256000"/>
    <n v="960000"/>
    <n v="768000"/>
    <n v="192000"/>
    <n v="173"/>
  </r>
  <r>
    <s v="2025-04-25"/>
    <x v="1"/>
    <x v="0"/>
    <x v="0"/>
    <s v="Retail"/>
    <x v="0"/>
    <x v="6"/>
    <x v="2"/>
    <n v="150000"/>
    <n v="1"/>
    <x v="0"/>
    <n v="120000"/>
    <n v="150000"/>
    <n v="120000"/>
    <n v="30000"/>
    <n v="174"/>
  </r>
  <r>
    <s v="2025-04-02"/>
    <x v="1"/>
    <x v="3"/>
    <x v="1"/>
    <s v="Corporate"/>
    <x v="0"/>
    <x v="3"/>
    <x v="2"/>
    <n v="300000"/>
    <n v="9"/>
    <x v="2"/>
    <n v="240000"/>
    <n v="2700000"/>
    <n v="2160000"/>
    <n v="540000"/>
    <n v="175"/>
  </r>
  <r>
    <s v="2025-01-14"/>
    <x v="0"/>
    <x v="1"/>
    <x v="1"/>
    <s v="Retail"/>
    <x v="0"/>
    <x v="9"/>
    <x v="1"/>
    <n v="220000"/>
    <n v="3"/>
    <x v="1"/>
    <n v="176000"/>
    <n v="660000"/>
    <n v="528000"/>
    <n v="132000"/>
    <n v="176"/>
  </r>
  <r>
    <s v="2025-04-19"/>
    <x v="1"/>
    <x v="0"/>
    <x v="2"/>
    <s v="Corporate"/>
    <x v="0"/>
    <x v="9"/>
    <x v="1"/>
    <n v="220000"/>
    <n v="9"/>
    <x v="5"/>
    <n v="176000"/>
    <n v="1980000"/>
    <n v="1584000"/>
    <n v="396000"/>
    <n v="177"/>
  </r>
  <r>
    <s v="2025-01-07"/>
    <x v="0"/>
    <x v="1"/>
    <x v="2"/>
    <s v="Corporate"/>
    <x v="1"/>
    <x v="2"/>
    <x v="1"/>
    <n v="60000"/>
    <n v="6"/>
    <x v="5"/>
    <n v="48000"/>
    <n v="360000"/>
    <n v="288000"/>
    <n v="72000"/>
    <n v="178"/>
  </r>
  <r>
    <s v="2025-02-04"/>
    <x v="2"/>
    <x v="3"/>
    <x v="2"/>
    <s v="Retail"/>
    <x v="1"/>
    <x v="1"/>
    <x v="1"/>
    <n v="30000"/>
    <n v="10"/>
    <x v="3"/>
    <n v="24000"/>
    <n v="300000"/>
    <n v="240000"/>
    <n v="60000"/>
    <n v="179"/>
  </r>
  <r>
    <s v="2025-01-02"/>
    <x v="0"/>
    <x v="2"/>
    <x v="2"/>
    <s v="Corporate"/>
    <x v="1"/>
    <x v="7"/>
    <x v="2"/>
    <n v="420000"/>
    <n v="8"/>
    <x v="5"/>
    <n v="336000"/>
    <n v="3360000"/>
    <n v="2688000"/>
    <n v="672000"/>
    <n v="180"/>
  </r>
  <r>
    <s v="2025-03-26"/>
    <x v="3"/>
    <x v="2"/>
    <x v="2"/>
    <s v="Corporate"/>
    <x v="0"/>
    <x v="2"/>
    <x v="1"/>
    <n v="60000"/>
    <n v="9"/>
    <x v="0"/>
    <n v="48000"/>
    <n v="540000"/>
    <n v="432000"/>
    <n v="108000"/>
    <n v="181"/>
  </r>
  <r>
    <s v="2025-01-18"/>
    <x v="0"/>
    <x v="1"/>
    <x v="2"/>
    <s v="Corporate"/>
    <x v="0"/>
    <x v="8"/>
    <x v="2"/>
    <n v="250000"/>
    <n v="1"/>
    <x v="3"/>
    <n v="200000"/>
    <n v="250000"/>
    <n v="200000"/>
    <n v="50000"/>
    <n v="182"/>
  </r>
  <r>
    <s v="2025-02-23"/>
    <x v="2"/>
    <x v="2"/>
    <x v="2"/>
    <s v="Retail"/>
    <x v="0"/>
    <x v="2"/>
    <x v="1"/>
    <n v="60000"/>
    <n v="1"/>
    <x v="5"/>
    <n v="48000"/>
    <n v="60000"/>
    <n v="48000"/>
    <n v="12000"/>
    <n v="183"/>
  </r>
  <r>
    <s v="2025-04-16"/>
    <x v="1"/>
    <x v="2"/>
    <x v="3"/>
    <s v="Retail"/>
    <x v="0"/>
    <x v="7"/>
    <x v="2"/>
    <n v="420000"/>
    <n v="8"/>
    <x v="5"/>
    <n v="336000"/>
    <n v="3360000"/>
    <n v="2688000"/>
    <n v="672000"/>
    <n v="184"/>
  </r>
  <r>
    <s v="2025-02-03"/>
    <x v="2"/>
    <x v="2"/>
    <x v="0"/>
    <s v="Corporate"/>
    <x v="1"/>
    <x v="4"/>
    <x v="1"/>
    <n v="180000"/>
    <n v="4"/>
    <x v="5"/>
    <n v="144000"/>
    <n v="720000"/>
    <n v="576000"/>
    <n v="144000"/>
    <n v="185"/>
  </r>
  <r>
    <s v="2025-03-17"/>
    <x v="3"/>
    <x v="1"/>
    <x v="2"/>
    <s v="Retail"/>
    <x v="1"/>
    <x v="4"/>
    <x v="1"/>
    <n v="180000"/>
    <n v="7"/>
    <x v="5"/>
    <n v="144000"/>
    <n v="1260000"/>
    <n v="1008000"/>
    <n v="252000"/>
    <n v="186"/>
  </r>
  <r>
    <s v="2025-01-03"/>
    <x v="0"/>
    <x v="3"/>
    <x v="2"/>
    <s v="Retail"/>
    <x v="0"/>
    <x v="1"/>
    <x v="1"/>
    <n v="30000"/>
    <n v="6"/>
    <x v="4"/>
    <n v="24000"/>
    <n v="180000"/>
    <n v="144000"/>
    <n v="36000"/>
    <n v="187"/>
  </r>
  <r>
    <s v="2025-02-20"/>
    <x v="2"/>
    <x v="1"/>
    <x v="0"/>
    <s v="Retail"/>
    <x v="0"/>
    <x v="4"/>
    <x v="1"/>
    <n v="180000"/>
    <n v="4"/>
    <x v="1"/>
    <n v="144000"/>
    <n v="720000"/>
    <n v="576000"/>
    <n v="144000"/>
    <n v="188"/>
  </r>
  <r>
    <s v="2025-04-25"/>
    <x v="1"/>
    <x v="1"/>
    <x v="3"/>
    <s v="Corporate"/>
    <x v="1"/>
    <x v="3"/>
    <x v="2"/>
    <n v="300000"/>
    <n v="3"/>
    <x v="2"/>
    <n v="240000"/>
    <n v="900000"/>
    <n v="720000"/>
    <n v="180000"/>
    <n v="189"/>
  </r>
  <r>
    <s v="2025-01-21"/>
    <x v="0"/>
    <x v="0"/>
    <x v="1"/>
    <s v="Retail"/>
    <x v="0"/>
    <x v="2"/>
    <x v="1"/>
    <n v="60000"/>
    <n v="3"/>
    <x v="0"/>
    <n v="48000"/>
    <n v="180000"/>
    <n v="144000"/>
    <n v="36000"/>
    <n v="190"/>
  </r>
  <r>
    <s v="2025-02-20"/>
    <x v="2"/>
    <x v="1"/>
    <x v="0"/>
    <s v="Corporate"/>
    <x v="0"/>
    <x v="9"/>
    <x v="1"/>
    <n v="220000"/>
    <n v="1"/>
    <x v="2"/>
    <n v="176000"/>
    <n v="220000"/>
    <n v="176000"/>
    <n v="44000"/>
    <n v="191"/>
  </r>
  <r>
    <s v="2025-02-05"/>
    <x v="2"/>
    <x v="3"/>
    <x v="1"/>
    <s v="Retail"/>
    <x v="0"/>
    <x v="3"/>
    <x v="2"/>
    <n v="300000"/>
    <n v="2"/>
    <x v="1"/>
    <n v="240000"/>
    <n v="600000"/>
    <n v="480000"/>
    <n v="120000"/>
    <n v="192"/>
  </r>
  <r>
    <s v="2025-03-05"/>
    <x v="3"/>
    <x v="2"/>
    <x v="2"/>
    <s v="Retail"/>
    <x v="0"/>
    <x v="6"/>
    <x v="2"/>
    <n v="150000"/>
    <n v="3"/>
    <x v="1"/>
    <n v="120000"/>
    <n v="450000"/>
    <n v="360000"/>
    <n v="90000"/>
    <n v="193"/>
  </r>
  <r>
    <s v="2025-02-04"/>
    <x v="2"/>
    <x v="3"/>
    <x v="1"/>
    <s v="Corporate"/>
    <x v="0"/>
    <x v="0"/>
    <x v="0"/>
    <n v="85000"/>
    <n v="1"/>
    <x v="1"/>
    <n v="68000"/>
    <n v="85000"/>
    <n v="68000"/>
    <n v="17000"/>
    <n v="194"/>
  </r>
  <r>
    <s v="2025-01-02"/>
    <x v="0"/>
    <x v="2"/>
    <x v="1"/>
    <s v="Retail"/>
    <x v="1"/>
    <x v="1"/>
    <x v="1"/>
    <n v="30000"/>
    <n v="6"/>
    <x v="0"/>
    <n v="24000"/>
    <n v="180000"/>
    <n v="144000"/>
    <n v="36000"/>
    <n v="195"/>
  </r>
  <r>
    <s v="2025-03-02"/>
    <x v="3"/>
    <x v="0"/>
    <x v="2"/>
    <s v="Corporate"/>
    <x v="0"/>
    <x v="6"/>
    <x v="2"/>
    <n v="150000"/>
    <n v="5"/>
    <x v="2"/>
    <n v="120000"/>
    <n v="750000"/>
    <n v="600000"/>
    <n v="150000"/>
    <n v="196"/>
  </r>
  <r>
    <s v="2025-04-19"/>
    <x v="1"/>
    <x v="0"/>
    <x v="1"/>
    <s v="Retail"/>
    <x v="1"/>
    <x v="1"/>
    <x v="1"/>
    <n v="30000"/>
    <n v="5"/>
    <x v="4"/>
    <n v="24000"/>
    <n v="150000"/>
    <n v="120000"/>
    <n v="30000"/>
    <n v="197"/>
  </r>
  <r>
    <s v="2025-04-12"/>
    <x v="1"/>
    <x v="1"/>
    <x v="1"/>
    <s v="Retail"/>
    <x v="1"/>
    <x v="4"/>
    <x v="1"/>
    <n v="180000"/>
    <n v="9"/>
    <x v="5"/>
    <n v="144000"/>
    <n v="1620000"/>
    <n v="1296000"/>
    <n v="324000"/>
    <n v="198"/>
  </r>
  <r>
    <s v="2025-02-05"/>
    <x v="2"/>
    <x v="3"/>
    <x v="2"/>
    <s v="Corporate"/>
    <x v="1"/>
    <x v="2"/>
    <x v="1"/>
    <n v="60000"/>
    <n v="6"/>
    <x v="2"/>
    <n v="48000"/>
    <n v="360000"/>
    <n v="288000"/>
    <n v="72000"/>
    <n v="199"/>
  </r>
  <r>
    <s v="2025-03-19"/>
    <x v="3"/>
    <x v="3"/>
    <x v="1"/>
    <s v="Retail"/>
    <x v="1"/>
    <x v="8"/>
    <x v="2"/>
    <n v="250000"/>
    <n v="10"/>
    <x v="1"/>
    <n v="200000"/>
    <n v="2500000"/>
    <n v="2000000"/>
    <n v="500000"/>
    <n v="200"/>
  </r>
  <r>
    <s v="2025-02-04"/>
    <x v="2"/>
    <x v="2"/>
    <x v="2"/>
    <s v="Retail"/>
    <x v="1"/>
    <x v="7"/>
    <x v="2"/>
    <n v="420000"/>
    <n v="3"/>
    <x v="1"/>
    <n v="336000"/>
    <n v="1260000"/>
    <n v="1008000"/>
    <n v="252000"/>
    <n v="201"/>
  </r>
  <r>
    <s v="2025-01-12"/>
    <x v="0"/>
    <x v="3"/>
    <x v="0"/>
    <s v="Corporate"/>
    <x v="1"/>
    <x v="6"/>
    <x v="2"/>
    <n v="150000"/>
    <n v="3"/>
    <x v="1"/>
    <n v="120000"/>
    <n v="450000"/>
    <n v="360000"/>
    <n v="90000"/>
    <n v="202"/>
  </r>
  <r>
    <s v="2025-03-31"/>
    <x v="3"/>
    <x v="2"/>
    <x v="3"/>
    <s v="Corporate"/>
    <x v="1"/>
    <x v="9"/>
    <x v="1"/>
    <n v="220000"/>
    <n v="4"/>
    <x v="1"/>
    <n v="176000"/>
    <n v="880000"/>
    <n v="704000"/>
    <n v="176000"/>
    <n v="203"/>
  </r>
  <r>
    <s v="2025-01-01"/>
    <x v="0"/>
    <x v="2"/>
    <x v="1"/>
    <s v="Corporate"/>
    <x v="1"/>
    <x v="0"/>
    <x v="0"/>
    <n v="85000"/>
    <n v="10"/>
    <x v="1"/>
    <n v="68000"/>
    <n v="850000"/>
    <n v="680000"/>
    <n v="170000"/>
    <n v="204"/>
  </r>
  <r>
    <s v="2025-03-20"/>
    <x v="3"/>
    <x v="3"/>
    <x v="2"/>
    <s v="Retail"/>
    <x v="1"/>
    <x v="3"/>
    <x v="2"/>
    <n v="300000"/>
    <n v="6"/>
    <x v="5"/>
    <n v="240000"/>
    <n v="1800000"/>
    <n v="1440000"/>
    <n v="360000"/>
    <n v="205"/>
  </r>
  <r>
    <s v="2025-02-25"/>
    <x v="2"/>
    <x v="0"/>
    <x v="0"/>
    <s v="Retail"/>
    <x v="0"/>
    <x v="3"/>
    <x v="2"/>
    <n v="300000"/>
    <n v="8"/>
    <x v="4"/>
    <n v="240000"/>
    <n v="2400000"/>
    <n v="1920000"/>
    <n v="480000"/>
    <n v="206"/>
  </r>
  <r>
    <s v="2025-02-03"/>
    <x v="2"/>
    <x v="2"/>
    <x v="3"/>
    <s v="Corporate"/>
    <x v="1"/>
    <x v="5"/>
    <x v="0"/>
    <n v="320000"/>
    <n v="4"/>
    <x v="2"/>
    <n v="256000"/>
    <n v="1280000"/>
    <n v="1024000"/>
    <n v="256000"/>
    <n v="207"/>
  </r>
  <r>
    <s v="2025-04-06"/>
    <x v="1"/>
    <x v="2"/>
    <x v="1"/>
    <s v="Corporate"/>
    <x v="0"/>
    <x v="4"/>
    <x v="1"/>
    <n v="180000"/>
    <n v="5"/>
    <x v="5"/>
    <n v="144000"/>
    <n v="900000"/>
    <n v="720000"/>
    <n v="180000"/>
    <n v="208"/>
  </r>
  <r>
    <s v="2025-01-01"/>
    <x v="0"/>
    <x v="0"/>
    <x v="0"/>
    <s v="Retail"/>
    <x v="1"/>
    <x v="4"/>
    <x v="1"/>
    <n v="180000"/>
    <n v="6"/>
    <x v="3"/>
    <n v="144000"/>
    <n v="1080000"/>
    <n v="864000"/>
    <n v="216000"/>
    <n v="209"/>
  </r>
  <r>
    <s v="2025-03-15"/>
    <x v="3"/>
    <x v="1"/>
    <x v="2"/>
    <s v="Corporate"/>
    <x v="1"/>
    <x v="6"/>
    <x v="2"/>
    <n v="150000"/>
    <n v="9"/>
    <x v="2"/>
    <n v="120000"/>
    <n v="1350000"/>
    <n v="1080000"/>
    <n v="270000"/>
    <n v="210"/>
  </r>
  <r>
    <s v="2025-01-31"/>
    <x v="0"/>
    <x v="0"/>
    <x v="0"/>
    <s v="Retail"/>
    <x v="0"/>
    <x v="6"/>
    <x v="2"/>
    <n v="150000"/>
    <n v="1"/>
    <x v="3"/>
    <n v="120000"/>
    <n v="150000"/>
    <n v="120000"/>
    <n v="30000"/>
    <n v="211"/>
  </r>
  <r>
    <s v="2025-01-12"/>
    <x v="0"/>
    <x v="1"/>
    <x v="2"/>
    <s v="Retail"/>
    <x v="0"/>
    <x v="4"/>
    <x v="1"/>
    <n v="180000"/>
    <n v="8"/>
    <x v="3"/>
    <n v="144000"/>
    <n v="1440000"/>
    <n v="1152000"/>
    <n v="288000"/>
    <n v="212"/>
  </r>
  <r>
    <s v="2025-03-11"/>
    <x v="3"/>
    <x v="0"/>
    <x v="0"/>
    <s v="Retail"/>
    <x v="1"/>
    <x v="4"/>
    <x v="1"/>
    <n v="180000"/>
    <n v="6"/>
    <x v="2"/>
    <n v="144000"/>
    <n v="1080000"/>
    <n v="864000"/>
    <n v="216000"/>
    <n v="213"/>
  </r>
  <r>
    <s v="2025-04-11"/>
    <x v="1"/>
    <x v="3"/>
    <x v="3"/>
    <s v="Corporate"/>
    <x v="0"/>
    <x v="4"/>
    <x v="1"/>
    <n v="180000"/>
    <n v="3"/>
    <x v="4"/>
    <n v="144000"/>
    <n v="540000"/>
    <n v="432000"/>
    <n v="108000"/>
    <n v="214"/>
  </r>
  <r>
    <s v="2025-03-14"/>
    <x v="3"/>
    <x v="3"/>
    <x v="2"/>
    <s v="Retail"/>
    <x v="0"/>
    <x v="6"/>
    <x v="2"/>
    <n v="150000"/>
    <n v="10"/>
    <x v="0"/>
    <n v="120000"/>
    <n v="1500000"/>
    <n v="1200000"/>
    <n v="300000"/>
    <n v="215"/>
  </r>
  <r>
    <s v="2025-04-12"/>
    <x v="1"/>
    <x v="2"/>
    <x v="2"/>
    <s v="Retail"/>
    <x v="1"/>
    <x v="4"/>
    <x v="1"/>
    <n v="180000"/>
    <n v="8"/>
    <x v="4"/>
    <n v="144000"/>
    <n v="1440000"/>
    <n v="1152000"/>
    <n v="288000"/>
    <n v="216"/>
  </r>
  <r>
    <s v="2025-02-20"/>
    <x v="2"/>
    <x v="0"/>
    <x v="2"/>
    <s v="Retail"/>
    <x v="1"/>
    <x v="3"/>
    <x v="2"/>
    <n v="300000"/>
    <n v="8"/>
    <x v="2"/>
    <n v="240000"/>
    <n v="2400000"/>
    <n v="1920000"/>
    <n v="480000"/>
    <n v="217"/>
  </r>
  <r>
    <s v="2025-02-05"/>
    <x v="2"/>
    <x v="0"/>
    <x v="2"/>
    <s v="Retail"/>
    <x v="1"/>
    <x v="5"/>
    <x v="0"/>
    <n v="320000"/>
    <n v="9"/>
    <x v="3"/>
    <n v="256000"/>
    <n v="2880000"/>
    <n v="2304000"/>
    <n v="576000"/>
    <n v="218"/>
  </r>
  <r>
    <s v="2025-01-18"/>
    <x v="0"/>
    <x v="2"/>
    <x v="2"/>
    <s v="Retail"/>
    <x v="0"/>
    <x v="5"/>
    <x v="0"/>
    <n v="320000"/>
    <n v="7"/>
    <x v="5"/>
    <n v="256000"/>
    <n v="2240000"/>
    <n v="1792000"/>
    <n v="448000"/>
    <n v="219"/>
  </r>
  <r>
    <s v="2025-04-26"/>
    <x v="1"/>
    <x v="1"/>
    <x v="3"/>
    <s v="Retail"/>
    <x v="0"/>
    <x v="6"/>
    <x v="2"/>
    <n v="150000"/>
    <n v="7"/>
    <x v="1"/>
    <n v="120000"/>
    <n v="1050000"/>
    <n v="840000"/>
    <n v="210000"/>
    <n v="220"/>
  </r>
  <r>
    <s v="2025-01-21"/>
    <x v="0"/>
    <x v="1"/>
    <x v="3"/>
    <s v="Retail"/>
    <x v="1"/>
    <x v="9"/>
    <x v="1"/>
    <n v="220000"/>
    <n v="6"/>
    <x v="5"/>
    <n v="176000"/>
    <n v="1320000"/>
    <n v="1056000"/>
    <n v="264000"/>
    <n v="221"/>
  </r>
  <r>
    <s v="2025-03-16"/>
    <x v="3"/>
    <x v="3"/>
    <x v="1"/>
    <s v="Retail"/>
    <x v="0"/>
    <x v="8"/>
    <x v="2"/>
    <n v="250000"/>
    <n v="1"/>
    <x v="3"/>
    <n v="200000"/>
    <n v="250000"/>
    <n v="200000"/>
    <n v="50000"/>
    <n v="222"/>
  </r>
  <r>
    <s v="2025-03-18"/>
    <x v="3"/>
    <x v="0"/>
    <x v="1"/>
    <s v="Retail"/>
    <x v="0"/>
    <x v="2"/>
    <x v="1"/>
    <n v="60000"/>
    <n v="4"/>
    <x v="1"/>
    <n v="48000"/>
    <n v="240000"/>
    <n v="192000"/>
    <n v="48000"/>
    <n v="223"/>
  </r>
  <r>
    <s v="2025-01-02"/>
    <x v="0"/>
    <x v="3"/>
    <x v="1"/>
    <s v="Retail"/>
    <x v="0"/>
    <x v="0"/>
    <x v="0"/>
    <n v="85000"/>
    <n v="9"/>
    <x v="1"/>
    <n v="68000"/>
    <n v="765000"/>
    <n v="612000"/>
    <n v="153000"/>
    <n v="224"/>
  </r>
  <r>
    <s v="2025-03-02"/>
    <x v="3"/>
    <x v="0"/>
    <x v="0"/>
    <s v="Retail"/>
    <x v="0"/>
    <x v="4"/>
    <x v="1"/>
    <n v="180000"/>
    <n v="5"/>
    <x v="0"/>
    <n v="144000"/>
    <n v="900000"/>
    <n v="720000"/>
    <n v="180000"/>
    <n v="225"/>
  </r>
  <r>
    <s v="2025-01-24"/>
    <x v="0"/>
    <x v="0"/>
    <x v="1"/>
    <s v="Retail"/>
    <x v="1"/>
    <x v="6"/>
    <x v="2"/>
    <n v="150000"/>
    <n v="4"/>
    <x v="0"/>
    <n v="120000"/>
    <n v="600000"/>
    <n v="480000"/>
    <n v="120000"/>
    <n v="226"/>
  </r>
  <r>
    <s v="2025-02-15"/>
    <x v="2"/>
    <x v="3"/>
    <x v="1"/>
    <s v="Retail"/>
    <x v="0"/>
    <x v="6"/>
    <x v="2"/>
    <n v="150000"/>
    <n v="4"/>
    <x v="2"/>
    <n v="120000"/>
    <n v="600000"/>
    <n v="480000"/>
    <n v="120000"/>
    <n v="227"/>
  </r>
  <r>
    <s v="2025-04-16"/>
    <x v="1"/>
    <x v="1"/>
    <x v="1"/>
    <s v="Corporate"/>
    <x v="0"/>
    <x v="1"/>
    <x v="1"/>
    <n v="30000"/>
    <n v="2"/>
    <x v="2"/>
    <n v="24000"/>
    <n v="60000"/>
    <n v="48000"/>
    <n v="12000"/>
    <n v="228"/>
  </r>
  <r>
    <s v="2025-04-24"/>
    <x v="1"/>
    <x v="2"/>
    <x v="3"/>
    <s v="Corporate"/>
    <x v="0"/>
    <x v="4"/>
    <x v="1"/>
    <n v="180000"/>
    <n v="6"/>
    <x v="4"/>
    <n v="144000"/>
    <n v="1080000"/>
    <n v="864000"/>
    <n v="216000"/>
    <n v="229"/>
  </r>
  <r>
    <s v="2025-04-10"/>
    <x v="1"/>
    <x v="3"/>
    <x v="2"/>
    <s v="Corporate"/>
    <x v="1"/>
    <x v="2"/>
    <x v="1"/>
    <n v="60000"/>
    <n v="9"/>
    <x v="5"/>
    <n v="48000"/>
    <n v="540000"/>
    <n v="432000"/>
    <n v="108000"/>
    <n v="230"/>
  </r>
  <r>
    <s v="2025-03-03"/>
    <x v="3"/>
    <x v="2"/>
    <x v="0"/>
    <s v="Retail"/>
    <x v="0"/>
    <x v="6"/>
    <x v="2"/>
    <n v="150000"/>
    <n v="3"/>
    <x v="1"/>
    <n v="120000"/>
    <n v="450000"/>
    <n v="360000"/>
    <n v="90000"/>
    <n v="231"/>
  </r>
  <r>
    <s v="2025-04-18"/>
    <x v="1"/>
    <x v="3"/>
    <x v="1"/>
    <s v="Retail"/>
    <x v="0"/>
    <x v="0"/>
    <x v="0"/>
    <n v="85000"/>
    <n v="3"/>
    <x v="2"/>
    <n v="68000"/>
    <n v="255000"/>
    <n v="204000"/>
    <n v="51000"/>
    <n v="232"/>
  </r>
  <r>
    <s v="2025-04-03"/>
    <x v="1"/>
    <x v="1"/>
    <x v="0"/>
    <s v="Corporate"/>
    <x v="1"/>
    <x v="1"/>
    <x v="1"/>
    <n v="30000"/>
    <n v="3"/>
    <x v="3"/>
    <n v="24000"/>
    <n v="90000"/>
    <n v="72000"/>
    <n v="18000"/>
    <n v="233"/>
  </r>
  <r>
    <s v="2025-03-08"/>
    <x v="3"/>
    <x v="1"/>
    <x v="2"/>
    <s v="Corporate"/>
    <x v="0"/>
    <x v="0"/>
    <x v="0"/>
    <n v="85000"/>
    <n v="2"/>
    <x v="0"/>
    <n v="68000"/>
    <n v="170000"/>
    <n v="136000"/>
    <n v="34000"/>
    <n v="234"/>
  </r>
  <r>
    <s v="2025-01-10"/>
    <x v="0"/>
    <x v="0"/>
    <x v="3"/>
    <s v="Corporate"/>
    <x v="0"/>
    <x v="1"/>
    <x v="1"/>
    <n v="30000"/>
    <n v="6"/>
    <x v="0"/>
    <n v="24000"/>
    <n v="180000"/>
    <n v="144000"/>
    <n v="36000"/>
    <n v="235"/>
  </r>
  <r>
    <s v="2025-04-28"/>
    <x v="1"/>
    <x v="0"/>
    <x v="3"/>
    <s v="Corporate"/>
    <x v="0"/>
    <x v="5"/>
    <x v="0"/>
    <n v="320000"/>
    <n v="1"/>
    <x v="0"/>
    <n v="256000"/>
    <n v="320000"/>
    <n v="256000"/>
    <n v="64000"/>
    <n v="236"/>
  </r>
  <r>
    <s v="2025-04-19"/>
    <x v="1"/>
    <x v="2"/>
    <x v="1"/>
    <s v="Retail"/>
    <x v="1"/>
    <x v="7"/>
    <x v="2"/>
    <n v="420000"/>
    <n v="5"/>
    <x v="4"/>
    <n v="336000"/>
    <n v="2100000"/>
    <n v="1680000"/>
    <n v="420000"/>
    <n v="237"/>
  </r>
  <r>
    <s v="2025-04-02"/>
    <x v="1"/>
    <x v="0"/>
    <x v="3"/>
    <s v="Retail"/>
    <x v="1"/>
    <x v="1"/>
    <x v="1"/>
    <n v="30000"/>
    <n v="9"/>
    <x v="5"/>
    <n v="24000"/>
    <n v="270000"/>
    <n v="216000"/>
    <n v="54000"/>
    <n v="238"/>
  </r>
  <r>
    <s v="2025-01-18"/>
    <x v="0"/>
    <x v="2"/>
    <x v="3"/>
    <s v="Retail"/>
    <x v="0"/>
    <x v="2"/>
    <x v="1"/>
    <n v="60000"/>
    <n v="8"/>
    <x v="4"/>
    <n v="48000"/>
    <n v="480000"/>
    <n v="384000"/>
    <n v="96000"/>
    <n v="239"/>
  </r>
  <r>
    <s v="2025-01-10"/>
    <x v="0"/>
    <x v="0"/>
    <x v="2"/>
    <s v="Retail"/>
    <x v="0"/>
    <x v="3"/>
    <x v="2"/>
    <n v="300000"/>
    <n v="2"/>
    <x v="2"/>
    <n v="240000"/>
    <n v="600000"/>
    <n v="480000"/>
    <n v="120000"/>
    <n v="240"/>
  </r>
  <r>
    <s v="2025-03-16"/>
    <x v="3"/>
    <x v="2"/>
    <x v="0"/>
    <s v="Retail"/>
    <x v="0"/>
    <x v="9"/>
    <x v="1"/>
    <n v="220000"/>
    <n v="7"/>
    <x v="2"/>
    <n v="176000"/>
    <n v="1540000"/>
    <n v="1232000"/>
    <n v="308000"/>
    <n v="241"/>
  </r>
  <r>
    <s v="2025-02-08"/>
    <x v="2"/>
    <x v="3"/>
    <x v="1"/>
    <s v="Corporate"/>
    <x v="1"/>
    <x v="3"/>
    <x v="2"/>
    <n v="300000"/>
    <n v="8"/>
    <x v="0"/>
    <n v="240000"/>
    <n v="2400000"/>
    <n v="1920000"/>
    <n v="480000"/>
    <n v="242"/>
  </r>
  <r>
    <s v="2025-02-12"/>
    <x v="2"/>
    <x v="1"/>
    <x v="1"/>
    <s v="Corporate"/>
    <x v="1"/>
    <x v="7"/>
    <x v="2"/>
    <n v="420000"/>
    <n v="10"/>
    <x v="3"/>
    <n v="336000"/>
    <n v="4200000"/>
    <n v="3360000"/>
    <n v="840000"/>
    <n v="243"/>
  </r>
  <r>
    <s v="2025-04-10"/>
    <x v="1"/>
    <x v="1"/>
    <x v="3"/>
    <s v="Corporate"/>
    <x v="0"/>
    <x v="3"/>
    <x v="2"/>
    <n v="300000"/>
    <n v="2"/>
    <x v="3"/>
    <n v="240000"/>
    <n v="600000"/>
    <n v="480000"/>
    <n v="120000"/>
    <n v="244"/>
  </r>
  <r>
    <s v="2025-02-07"/>
    <x v="2"/>
    <x v="1"/>
    <x v="1"/>
    <s v="Corporate"/>
    <x v="0"/>
    <x v="9"/>
    <x v="1"/>
    <n v="220000"/>
    <n v="3"/>
    <x v="2"/>
    <n v="176000"/>
    <n v="660000"/>
    <n v="528000"/>
    <n v="132000"/>
    <n v="245"/>
  </r>
  <r>
    <s v="2025-02-03"/>
    <x v="2"/>
    <x v="1"/>
    <x v="2"/>
    <s v="Corporate"/>
    <x v="1"/>
    <x v="0"/>
    <x v="0"/>
    <n v="85000"/>
    <n v="6"/>
    <x v="1"/>
    <n v="68000"/>
    <n v="510000"/>
    <n v="408000"/>
    <n v="102000"/>
    <n v="246"/>
  </r>
  <r>
    <s v="2025-02-24"/>
    <x v="2"/>
    <x v="3"/>
    <x v="3"/>
    <s v="Corporate"/>
    <x v="0"/>
    <x v="5"/>
    <x v="0"/>
    <n v="320000"/>
    <n v="10"/>
    <x v="5"/>
    <n v="256000"/>
    <n v="3200000"/>
    <n v="2560000"/>
    <n v="640000"/>
    <n v="247"/>
  </r>
  <r>
    <s v="2025-01-03"/>
    <x v="0"/>
    <x v="1"/>
    <x v="0"/>
    <s v="Corporate"/>
    <x v="0"/>
    <x v="3"/>
    <x v="2"/>
    <n v="300000"/>
    <n v="2"/>
    <x v="1"/>
    <n v="240000"/>
    <n v="600000"/>
    <n v="480000"/>
    <n v="120000"/>
    <n v="248"/>
  </r>
  <r>
    <s v="2025-03-19"/>
    <x v="3"/>
    <x v="2"/>
    <x v="0"/>
    <s v="Corporate"/>
    <x v="1"/>
    <x v="1"/>
    <x v="1"/>
    <n v="30000"/>
    <n v="6"/>
    <x v="5"/>
    <n v="24000"/>
    <n v="180000"/>
    <n v="144000"/>
    <n v="36000"/>
    <n v="249"/>
  </r>
  <r>
    <s v="2025-02-14"/>
    <x v="2"/>
    <x v="2"/>
    <x v="0"/>
    <s v="Corporate"/>
    <x v="1"/>
    <x v="2"/>
    <x v="1"/>
    <n v="60000"/>
    <n v="2"/>
    <x v="2"/>
    <n v="48000"/>
    <n v="120000"/>
    <n v="96000"/>
    <n v="24000"/>
    <n v="250"/>
  </r>
  <r>
    <s v="2025-01-03"/>
    <x v="0"/>
    <x v="3"/>
    <x v="2"/>
    <s v="Retail"/>
    <x v="0"/>
    <x v="9"/>
    <x v="1"/>
    <n v="220000"/>
    <n v="5"/>
    <x v="0"/>
    <n v="176000"/>
    <n v="1100000"/>
    <n v="880000"/>
    <n v="220000"/>
    <n v="251"/>
  </r>
  <r>
    <s v="2025-02-05"/>
    <x v="2"/>
    <x v="0"/>
    <x v="3"/>
    <s v="Retail"/>
    <x v="1"/>
    <x v="4"/>
    <x v="1"/>
    <n v="180000"/>
    <n v="6"/>
    <x v="5"/>
    <n v="144000"/>
    <n v="1080000"/>
    <n v="864000"/>
    <n v="216000"/>
    <n v="252"/>
  </r>
  <r>
    <s v="2025-04-15"/>
    <x v="1"/>
    <x v="3"/>
    <x v="0"/>
    <s v="Retail"/>
    <x v="0"/>
    <x v="8"/>
    <x v="2"/>
    <n v="250000"/>
    <n v="4"/>
    <x v="3"/>
    <n v="200000"/>
    <n v="1000000"/>
    <n v="800000"/>
    <n v="200000"/>
    <n v="253"/>
  </r>
  <r>
    <s v="2025-03-09"/>
    <x v="3"/>
    <x v="3"/>
    <x v="2"/>
    <s v="Corporate"/>
    <x v="0"/>
    <x v="0"/>
    <x v="0"/>
    <n v="85000"/>
    <n v="10"/>
    <x v="1"/>
    <n v="68000"/>
    <n v="850000"/>
    <n v="680000"/>
    <n v="170000"/>
    <n v="254"/>
  </r>
  <r>
    <s v="2025-03-18"/>
    <x v="3"/>
    <x v="0"/>
    <x v="1"/>
    <s v="Retail"/>
    <x v="0"/>
    <x v="3"/>
    <x v="2"/>
    <n v="300000"/>
    <n v="6"/>
    <x v="1"/>
    <n v="240000"/>
    <n v="1800000"/>
    <n v="1440000"/>
    <n v="360000"/>
    <n v="255"/>
  </r>
  <r>
    <s v="2025-01-15"/>
    <x v="0"/>
    <x v="3"/>
    <x v="1"/>
    <s v="Corporate"/>
    <x v="1"/>
    <x v="9"/>
    <x v="1"/>
    <n v="220000"/>
    <n v="3"/>
    <x v="0"/>
    <n v="176000"/>
    <n v="660000"/>
    <n v="528000"/>
    <n v="132000"/>
    <n v="256"/>
  </r>
  <r>
    <s v="2025-01-06"/>
    <x v="0"/>
    <x v="3"/>
    <x v="2"/>
    <s v="Retail"/>
    <x v="1"/>
    <x v="1"/>
    <x v="1"/>
    <n v="30000"/>
    <n v="8"/>
    <x v="5"/>
    <n v="24000"/>
    <n v="240000"/>
    <n v="192000"/>
    <n v="48000"/>
    <n v="257"/>
  </r>
  <r>
    <s v="2025-03-11"/>
    <x v="3"/>
    <x v="3"/>
    <x v="0"/>
    <s v="Corporate"/>
    <x v="0"/>
    <x v="0"/>
    <x v="0"/>
    <n v="85000"/>
    <n v="2"/>
    <x v="0"/>
    <n v="68000"/>
    <n v="170000"/>
    <n v="136000"/>
    <n v="34000"/>
    <n v="258"/>
  </r>
  <r>
    <s v="2025-02-01"/>
    <x v="2"/>
    <x v="2"/>
    <x v="3"/>
    <s v="Retail"/>
    <x v="1"/>
    <x v="6"/>
    <x v="2"/>
    <n v="150000"/>
    <n v="3"/>
    <x v="3"/>
    <n v="120000"/>
    <n v="450000"/>
    <n v="360000"/>
    <n v="90000"/>
    <n v="259"/>
  </r>
  <r>
    <s v="2025-03-26"/>
    <x v="3"/>
    <x v="1"/>
    <x v="3"/>
    <s v="Retail"/>
    <x v="1"/>
    <x v="0"/>
    <x v="0"/>
    <n v="85000"/>
    <n v="1"/>
    <x v="4"/>
    <n v="68000"/>
    <n v="85000"/>
    <n v="68000"/>
    <n v="17000"/>
    <n v="260"/>
  </r>
  <r>
    <s v="2025-02-24"/>
    <x v="2"/>
    <x v="2"/>
    <x v="0"/>
    <s v="Corporate"/>
    <x v="1"/>
    <x v="8"/>
    <x v="2"/>
    <n v="250000"/>
    <n v="3"/>
    <x v="5"/>
    <n v="200000"/>
    <n v="750000"/>
    <n v="600000"/>
    <n v="150000"/>
    <n v="261"/>
  </r>
  <r>
    <s v="2025-04-01"/>
    <x v="1"/>
    <x v="1"/>
    <x v="0"/>
    <s v="Corporate"/>
    <x v="1"/>
    <x v="7"/>
    <x v="2"/>
    <n v="420000"/>
    <n v="2"/>
    <x v="0"/>
    <n v="336000"/>
    <n v="840000"/>
    <n v="672000"/>
    <n v="168000"/>
    <n v="262"/>
  </r>
  <r>
    <s v="2025-03-08"/>
    <x v="3"/>
    <x v="0"/>
    <x v="2"/>
    <s v="Retail"/>
    <x v="0"/>
    <x v="6"/>
    <x v="2"/>
    <n v="150000"/>
    <n v="9"/>
    <x v="2"/>
    <n v="120000"/>
    <n v="1350000"/>
    <n v="1080000"/>
    <n v="270000"/>
    <n v="263"/>
  </r>
  <r>
    <s v="2025-01-16"/>
    <x v="0"/>
    <x v="3"/>
    <x v="3"/>
    <s v="Retail"/>
    <x v="1"/>
    <x v="1"/>
    <x v="1"/>
    <n v="30000"/>
    <n v="9"/>
    <x v="1"/>
    <n v="24000"/>
    <n v="270000"/>
    <n v="216000"/>
    <n v="54000"/>
    <n v="264"/>
  </r>
  <r>
    <s v="2025-04-03"/>
    <x v="1"/>
    <x v="1"/>
    <x v="1"/>
    <s v="Corporate"/>
    <x v="1"/>
    <x v="9"/>
    <x v="1"/>
    <n v="220000"/>
    <n v="6"/>
    <x v="5"/>
    <n v="176000"/>
    <n v="1320000"/>
    <n v="1056000"/>
    <n v="264000"/>
    <n v="265"/>
  </r>
  <r>
    <s v="2025-04-02"/>
    <x v="1"/>
    <x v="3"/>
    <x v="2"/>
    <s v="Corporate"/>
    <x v="1"/>
    <x v="1"/>
    <x v="1"/>
    <n v="30000"/>
    <n v="3"/>
    <x v="5"/>
    <n v="24000"/>
    <n v="90000"/>
    <n v="72000"/>
    <n v="18000"/>
    <n v="266"/>
  </r>
  <r>
    <s v="2025-02-01"/>
    <x v="2"/>
    <x v="0"/>
    <x v="2"/>
    <s v="Retail"/>
    <x v="0"/>
    <x v="7"/>
    <x v="2"/>
    <n v="420000"/>
    <n v="10"/>
    <x v="1"/>
    <n v="336000"/>
    <n v="4200000"/>
    <n v="3360000"/>
    <n v="840000"/>
    <n v="267"/>
  </r>
  <r>
    <s v="2025-04-12"/>
    <x v="1"/>
    <x v="3"/>
    <x v="3"/>
    <s v="Corporate"/>
    <x v="0"/>
    <x v="1"/>
    <x v="1"/>
    <n v="30000"/>
    <n v="2"/>
    <x v="4"/>
    <n v="24000"/>
    <n v="60000"/>
    <n v="48000"/>
    <n v="12000"/>
    <n v="268"/>
  </r>
  <r>
    <s v="2025-02-03"/>
    <x v="2"/>
    <x v="1"/>
    <x v="0"/>
    <s v="Corporate"/>
    <x v="1"/>
    <x v="6"/>
    <x v="2"/>
    <n v="150000"/>
    <n v="5"/>
    <x v="1"/>
    <n v="120000"/>
    <n v="750000"/>
    <n v="600000"/>
    <n v="150000"/>
    <n v="269"/>
  </r>
  <r>
    <s v="2025-04-16"/>
    <x v="1"/>
    <x v="2"/>
    <x v="3"/>
    <s v="Retail"/>
    <x v="1"/>
    <x v="6"/>
    <x v="2"/>
    <n v="150000"/>
    <n v="10"/>
    <x v="4"/>
    <n v="120000"/>
    <n v="1500000"/>
    <n v="1200000"/>
    <n v="300000"/>
    <n v="270"/>
  </r>
  <r>
    <s v="2025-01-11"/>
    <x v="0"/>
    <x v="0"/>
    <x v="3"/>
    <s v="Corporate"/>
    <x v="0"/>
    <x v="4"/>
    <x v="1"/>
    <n v="180000"/>
    <n v="3"/>
    <x v="1"/>
    <n v="144000"/>
    <n v="540000"/>
    <n v="432000"/>
    <n v="108000"/>
    <n v="271"/>
  </r>
  <r>
    <s v="2025-02-02"/>
    <x v="2"/>
    <x v="1"/>
    <x v="2"/>
    <s v="Corporate"/>
    <x v="0"/>
    <x v="1"/>
    <x v="1"/>
    <n v="30000"/>
    <n v="10"/>
    <x v="2"/>
    <n v="24000"/>
    <n v="300000"/>
    <n v="240000"/>
    <n v="60000"/>
    <n v="272"/>
  </r>
  <r>
    <s v="2025-01-04"/>
    <x v="0"/>
    <x v="1"/>
    <x v="0"/>
    <s v="Retail"/>
    <x v="0"/>
    <x v="7"/>
    <x v="2"/>
    <n v="420000"/>
    <n v="2"/>
    <x v="2"/>
    <n v="336000"/>
    <n v="840000"/>
    <n v="672000"/>
    <n v="168000"/>
    <n v="273"/>
  </r>
  <r>
    <s v="2025-03-14"/>
    <x v="3"/>
    <x v="2"/>
    <x v="0"/>
    <s v="Corporate"/>
    <x v="0"/>
    <x v="5"/>
    <x v="0"/>
    <n v="320000"/>
    <n v="1"/>
    <x v="3"/>
    <n v="256000"/>
    <n v="320000"/>
    <n v="256000"/>
    <n v="64000"/>
    <n v="274"/>
  </r>
  <r>
    <s v="2025-03-27"/>
    <x v="3"/>
    <x v="3"/>
    <x v="1"/>
    <s v="Retail"/>
    <x v="0"/>
    <x v="6"/>
    <x v="2"/>
    <n v="150000"/>
    <n v="2"/>
    <x v="2"/>
    <n v="120000"/>
    <n v="300000"/>
    <n v="240000"/>
    <n v="60000"/>
    <n v="275"/>
  </r>
  <r>
    <s v="2025-04-25"/>
    <x v="1"/>
    <x v="1"/>
    <x v="1"/>
    <s v="Corporate"/>
    <x v="1"/>
    <x v="1"/>
    <x v="1"/>
    <n v="30000"/>
    <n v="9"/>
    <x v="5"/>
    <n v="24000"/>
    <n v="270000"/>
    <n v="216000"/>
    <n v="54000"/>
    <n v="276"/>
  </r>
  <r>
    <s v="2025-02-26"/>
    <x v="2"/>
    <x v="0"/>
    <x v="1"/>
    <s v="Retail"/>
    <x v="0"/>
    <x v="0"/>
    <x v="0"/>
    <n v="85000"/>
    <n v="7"/>
    <x v="3"/>
    <n v="68000"/>
    <n v="595000"/>
    <n v="476000"/>
    <n v="119000"/>
    <n v="277"/>
  </r>
  <r>
    <s v="2025-02-02"/>
    <x v="2"/>
    <x v="3"/>
    <x v="0"/>
    <s v="Corporate"/>
    <x v="0"/>
    <x v="6"/>
    <x v="2"/>
    <n v="150000"/>
    <n v="5"/>
    <x v="1"/>
    <n v="120000"/>
    <n v="750000"/>
    <n v="600000"/>
    <n v="150000"/>
    <n v="278"/>
  </r>
  <r>
    <s v="2025-01-01"/>
    <x v="0"/>
    <x v="0"/>
    <x v="2"/>
    <s v="Retail"/>
    <x v="1"/>
    <x v="5"/>
    <x v="0"/>
    <n v="320000"/>
    <n v="9"/>
    <x v="0"/>
    <n v="256000"/>
    <n v="2880000"/>
    <n v="2304000"/>
    <n v="576000"/>
    <n v="279"/>
  </r>
  <r>
    <s v="2025-03-06"/>
    <x v="3"/>
    <x v="3"/>
    <x v="1"/>
    <s v="Retail"/>
    <x v="0"/>
    <x v="5"/>
    <x v="0"/>
    <n v="320000"/>
    <n v="10"/>
    <x v="3"/>
    <n v="256000"/>
    <n v="3200000"/>
    <n v="2560000"/>
    <n v="640000"/>
    <n v="280"/>
  </r>
  <r>
    <s v="2025-01-03"/>
    <x v="0"/>
    <x v="3"/>
    <x v="2"/>
    <s v="Corporate"/>
    <x v="0"/>
    <x v="0"/>
    <x v="0"/>
    <n v="85000"/>
    <n v="7"/>
    <x v="3"/>
    <n v="68000"/>
    <n v="595000"/>
    <n v="476000"/>
    <n v="119000"/>
    <n v="281"/>
  </r>
  <r>
    <s v="2025-04-21"/>
    <x v="1"/>
    <x v="2"/>
    <x v="2"/>
    <s v="Retail"/>
    <x v="0"/>
    <x v="2"/>
    <x v="1"/>
    <n v="60000"/>
    <n v="4"/>
    <x v="3"/>
    <n v="48000"/>
    <n v="240000"/>
    <n v="192000"/>
    <n v="48000"/>
    <n v="282"/>
  </r>
  <r>
    <s v="2025-04-04"/>
    <x v="1"/>
    <x v="1"/>
    <x v="2"/>
    <s v="Retail"/>
    <x v="1"/>
    <x v="2"/>
    <x v="1"/>
    <n v="60000"/>
    <n v="7"/>
    <x v="1"/>
    <n v="48000"/>
    <n v="420000"/>
    <n v="336000"/>
    <n v="84000"/>
    <n v="283"/>
  </r>
  <r>
    <s v="2025-04-08"/>
    <x v="1"/>
    <x v="2"/>
    <x v="1"/>
    <s v="Corporate"/>
    <x v="0"/>
    <x v="6"/>
    <x v="2"/>
    <n v="150000"/>
    <n v="7"/>
    <x v="5"/>
    <n v="120000"/>
    <n v="1050000"/>
    <n v="840000"/>
    <n v="210000"/>
    <n v="284"/>
  </r>
  <r>
    <s v="2025-04-22"/>
    <x v="1"/>
    <x v="0"/>
    <x v="1"/>
    <s v="Retail"/>
    <x v="0"/>
    <x v="0"/>
    <x v="0"/>
    <n v="85000"/>
    <n v="3"/>
    <x v="1"/>
    <n v="68000"/>
    <n v="255000"/>
    <n v="204000"/>
    <n v="51000"/>
    <n v="285"/>
  </r>
  <r>
    <s v="2025-03-19"/>
    <x v="3"/>
    <x v="2"/>
    <x v="3"/>
    <s v="Retail"/>
    <x v="0"/>
    <x v="0"/>
    <x v="0"/>
    <n v="85000"/>
    <n v="10"/>
    <x v="2"/>
    <n v="68000"/>
    <n v="850000"/>
    <n v="680000"/>
    <n v="170000"/>
    <n v="286"/>
  </r>
  <r>
    <s v="2025-04-22"/>
    <x v="1"/>
    <x v="1"/>
    <x v="1"/>
    <s v="Corporate"/>
    <x v="1"/>
    <x v="3"/>
    <x v="2"/>
    <n v="300000"/>
    <n v="10"/>
    <x v="1"/>
    <n v="240000"/>
    <n v="3000000"/>
    <n v="2400000"/>
    <n v="600000"/>
    <n v="287"/>
  </r>
  <r>
    <s v="2025-03-20"/>
    <x v="3"/>
    <x v="2"/>
    <x v="3"/>
    <s v="Retail"/>
    <x v="1"/>
    <x v="2"/>
    <x v="1"/>
    <n v="60000"/>
    <n v="3"/>
    <x v="0"/>
    <n v="48000"/>
    <n v="180000"/>
    <n v="144000"/>
    <n v="36000"/>
    <n v="288"/>
  </r>
  <r>
    <s v="2025-02-27"/>
    <x v="2"/>
    <x v="1"/>
    <x v="0"/>
    <s v="Corporate"/>
    <x v="0"/>
    <x v="2"/>
    <x v="1"/>
    <n v="60000"/>
    <n v="3"/>
    <x v="1"/>
    <n v="48000"/>
    <n v="180000"/>
    <n v="144000"/>
    <n v="36000"/>
    <n v="289"/>
  </r>
  <r>
    <s v="2025-01-20"/>
    <x v="0"/>
    <x v="0"/>
    <x v="1"/>
    <s v="Retail"/>
    <x v="0"/>
    <x v="0"/>
    <x v="0"/>
    <n v="85000"/>
    <n v="6"/>
    <x v="1"/>
    <n v="68000"/>
    <n v="510000"/>
    <n v="408000"/>
    <n v="102000"/>
    <n v="290"/>
  </r>
  <r>
    <s v="2025-04-24"/>
    <x v="1"/>
    <x v="1"/>
    <x v="2"/>
    <s v="Corporate"/>
    <x v="1"/>
    <x v="7"/>
    <x v="2"/>
    <n v="420000"/>
    <n v="2"/>
    <x v="4"/>
    <n v="336000"/>
    <n v="840000"/>
    <n v="672000"/>
    <n v="168000"/>
    <n v="291"/>
  </r>
  <r>
    <s v="2025-02-15"/>
    <x v="2"/>
    <x v="3"/>
    <x v="3"/>
    <s v="Retail"/>
    <x v="1"/>
    <x v="8"/>
    <x v="2"/>
    <n v="250000"/>
    <n v="6"/>
    <x v="5"/>
    <n v="200000"/>
    <n v="1500000"/>
    <n v="1200000"/>
    <n v="300000"/>
    <n v="292"/>
  </r>
  <r>
    <s v="2025-03-11"/>
    <x v="3"/>
    <x v="3"/>
    <x v="0"/>
    <s v="Retail"/>
    <x v="0"/>
    <x v="6"/>
    <x v="2"/>
    <n v="150000"/>
    <n v="8"/>
    <x v="1"/>
    <n v="120000"/>
    <n v="1200000"/>
    <n v="960000"/>
    <n v="240000"/>
    <n v="293"/>
  </r>
  <r>
    <s v="2025-04-28"/>
    <x v="1"/>
    <x v="1"/>
    <x v="2"/>
    <s v="Corporate"/>
    <x v="0"/>
    <x v="6"/>
    <x v="2"/>
    <n v="150000"/>
    <n v="10"/>
    <x v="1"/>
    <n v="120000"/>
    <n v="1500000"/>
    <n v="1200000"/>
    <n v="300000"/>
    <n v="294"/>
  </r>
  <r>
    <s v="2025-04-22"/>
    <x v="1"/>
    <x v="1"/>
    <x v="2"/>
    <s v="Retail"/>
    <x v="0"/>
    <x v="8"/>
    <x v="2"/>
    <n v="250000"/>
    <n v="5"/>
    <x v="5"/>
    <n v="200000"/>
    <n v="1250000"/>
    <n v="1000000"/>
    <n v="250000"/>
    <n v="295"/>
  </r>
  <r>
    <s v="2025-02-16"/>
    <x v="2"/>
    <x v="0"/>
    <x v="2"/>
    <s v="Retail"/>
    <x v="1"/>
    <x v="5"/>
    <x v="0"/>
    <n v="320000"/>
    <n v="9"/>
    <x v="0"/>
    <n v="256000"/>
    <n v="2880000"/>
    <n v="2304000"/>
    <n v="576000"/>
    <n v="296"/>
  </r>
  <r>
    <s v="2025-03-19"/>
    <x v="3"/>
    <x v="0"/>
    <x v="0"/>
    <s v="Corporate"/>
    <x v="1"/>
    <x v="4"/>
    <x v="1"/>
    <n v="180000"/>
    <n v="10"/>
    <x v="5"/>
    <n v="144000"/>
    <n v="1800000"/>
    <n v="1440000"/>
    <n v="360000"/>
    <n v="297"/>
  </r>
  <r>
    <s v="2025-02-07"/>
    <x v="2"/>
    <x v="0"/>
    <x v="2"/>
    <s v="Corporate"/>
    <x v="1"/>
    <x v="2"/>
    <x v="1"/>
    <n v="60000"/>
    <n v="6"/>
    <x v="4"/>
    <n v="48000"/>
    <n v="360000"/>
    <n v="288000"/>
    <n v="72000"/>
    <n v="298"/>
  </r>
  <r>
    <s v="2025-01-16"/>
    <x v="0"/>
    <x v="0"/>
    <x v="2"/>
    <s v="Corporate"/>
    <x v="0"/>
    <x v="6"/>
    <x v="2"/>
    <n v="150000"/>
    <n v="10"/>
    <x v="2"/>
    <n v="120000"/>
    <n v="1500000"/>
    <n v="1200000"/>
    <n v="300000"/>
    <n v="299"/>
  </r>
  <r>
    <s v="2025-02-26"/>
    <x v="2"/>
    <x v="1"/>
    <x v="0"/>
    <s v="Retail"/>
    <x v="0"/>
    <x v="8"/>
    <x v="2"/>
    <n v="250000"/>
    <n v="5"/>
    <x v="4"/>
    <n v="200000"/>
    <n v="1250000"/>
    <n v="1000000"/>
    <n v="250000"/>
    <n v="300"/>
  </r>
  <r>
    <s v="2025-01-22"/>
    <x v="0"/>
    <x v="0"/>
    <x v="2"/>
    <s v="Retail"/>
    <x v="0"/>
    <x v="4"/>
    <x v="1"/>
    <n v="180000"/>
    <n v="3"/>
    <x v="0"/>
    <n v="144000"/>
    <n v="540000"/>
    <n v="432000"/>
    <n v="108000"/>
    <n v="301"/>
  </r>
  <r>
    <s v="2025-02-14"/>
    <x v="2"/>
    <x v="0"/>
    <x v="2"/>
    <s v="Corporate"/>
    <x v="1"/>
    <x v="5"/>
    <x v="0"/>
    <n v="320000"/>
    <n v="5"/>
    <x v="4"/>
    <n v="256000"/>
    <n v="1600000"/>
    <n v="1280000"/>
    <n v="320000"/>
    <n v="302"/>
  </r>
  <r>
    <s v="2025-02-05"/>
    <x v="2"/>
    <x v="2"/>
    <x v="0"/>
    <s v="Retail"/>
    <x v="1"/>
    <x v="5"/>
    <x v="0"/>
    <n v="320000"/>
    <n v="10"/>
    <x v="1"/>
    <n v="256000"/>
    <n v="3200000"/>
    <n v="2560000"/>
    <n v="640000"/>
    <n v="303"/>
  </r>
  <r>
    <s v="2025-02-26"/>
    <x v="2"/>
    <x v="1"/>
    <x v="0"/>
    <s v="Corporate"/>
    <x v="0"/>
    <x v="1"/>
    <x v="1"/>
    <n v="30000"/>
    <n v="5"/>
    <x v="0"/>
    <n v="24000"/>
    <n v="150000"/>
    <n v="120000"/>
    <n v="30000"/>
    <n v="304"/>
  </r>
  <r>
    <s v="2025-02-19"/>
    <x v="2"/>
    <x v="3"/>
    <x v="0"/>
    <s v="Corporate"/>
    <x v="1"/>
    <x v="7"/>
    <x v="2"/>
    <n v="420000"/>
    <n v="3"/>
    <x v="0"/>
    <n v="336000"/>
    <n v="1260000"/>
    <n v="1008000"/>
    <n v="252000"/>
    <n v="305"/>
  </r>
  <r>
    <s v="2025-03-08"/>
    <x v="3"/>
    <x v="1"/>
    <x v="2"/>
    <s v="Retail"/>
    <x v="0"/>
    <x v="1"/>
    <x v="1"/>
    <n v="30000"/>
    <n v="4"/>
    <x v="3"/>
    <n v="24000"/>
    <n v="120000"/>
    <n v="96000"/>
    <n v="24000"/>
    <n v="306"/>
  </r>
  <r>
    <s v="2025-04-08"/>
    <x v="1"/>
    <x v="1"/>
    <x v="0"/>
    <s v="Retail"/>
    <x v="0"/>
    <x v="4"/>
    <x v="1"/>
    <n v="180000"/>
    <n v="4"/>
    <x v="0"/>
    <n v="144000"/>
    <n v="720000"/>
    <n v="576000"/>
    <n v="144000"/>
    <n v="307"/>
  </r>
  <r>
    <s v="2025-02-23"/>
    <x v="2"/>
    <x v="1"/>
    <x v="1"/>
    <s v="Retail"/>
    <x v="0"/>
    <x v="8"/>
    <x v="2"/>
    <n v="250000"/>
    <n v="5"/>
    <x v="5"/>
    <n v="200000"/>
    <n v="1250000"/>
    <n v="1000000"/>
    <n v="250000"/>
    <n v="308"/>
  </r>
  <r>
    <s v="2025-03-25"/>
    <x v="3"/>
    <x v="0"/>
    <x v="3"/>
    <s v="Corporate"/>
    <x v="1"/>
    <x v="4"/>
    <x v="1"/>
    <n v="180000"/>
    <n v="3"/>
    <x v="3"/>
    <n v="144000"/>
    <n v="540000"/>
    <n v="432000"/>
    <n v="108000"/>
    <n v="309"/>
  </r>
  <r>
    <s v="2025-03-20"/>
    <x v="3"/>
    <x v="1"/>
    <x v="0"/>
    <s v="Retail"/>
    <x v="0"/>
    <x v="3"/>
    <x v="2"/>
    <n v="300000"/>
    <n v="5"/>
    <x v="5"/>
    <n v="240000"/>
    <n v="1500000"/>
    <n v="1200000"/>
    <n v="300000"/>
    <n v="310"/>
  </r>
  <r>
    <s v="2025-01-19"/>
    <x v="0"/>
    <x v="0"/>
    <x v="2"/>
    <s v="Retail"/>
    <x v="1"/>
    <x v="0"/>
    <x v="0"/>
    <n v="85000"/>
    <n v="8"/>
    <x v="3"/>
    <n v="68000"/>
    <n v="680000"/>
    <n v="544000"/>
    <n v="136000"/>
    <n v="311"/>
  </r>
  <r>
    <s v="2025-04-20"/>
    <x v="1"/>
    <x v="1"/>
    <x v="1"/>
    <s v="Corporate"/>
    <x v="0"/>
    <x v="4"/>
    <x v="1"/>
    <n v="180000"/>
    <n v="6"/>
    <x v="5"/>
    <n v="144000"/>
    <n v="1080000"/>
    <n v="864000"/>
    <n v="216000"/>
    <n v="312"/>
  </r>
  <r>
    <s v="2025-01-23"/>
    <x v="0"/>
    <x v="1"/>
    <x v="1"/>
    <s v="Corporate"/>
    <x v="0"/>
    <x v="7"/>
    <x v="2"/>
    <n v="420000"/>
    <n v="7"/>
    <x v="4"/>
    <n v="336000"/>
    <n v="2940000"/>
    <n v="2352000"/>
    <n v="588000"/>
    <n v="313"/>
  </r>
  <r>
    <s v="2025-03-06"/>
    <x v="3"/>
    <x v="2"/>
    <x v="2"/>
    <s v="Corporate"/>
    <x v="0"/>
    <x v="6"/>
    <x v="2"/>
    <n v="150000"/>
    <n v="8"/>
    <x v="0"/>
    <n v="120000"/>
    <n v="1200000"/>
    <n v="960000"/>
    <n v="240000"/>
    <n v="314"/>
  </r>
  <r>
    <s v="2025-04-12"/>
    <x v="1"/>
    <x v="1"/>
    <x v="2"/>
    <s v="Retail"/>
    <x v="0"/>
    <x v="0"/>
    <x v="0"/>
    <n v="85000"/>
    <n v="6"/>
    <x v="4"/>
    <n v="68000"/>
    <n v="510000"/>
    <n v="408000"/>
    <n v="102000"/>
    <n v="315"/>
  </r>
  <r>
    <s v="2025-04-21"/>
    <x v="1"/>
    <x v="2"/>
    <x v="0"/>
    <s v="Retail"/>
    <x v="1"/>
    <x v="4"/>
    <x v="1"/>
    <n v="180000"/>
    <n v="9"/>
    <x v="2"/>
    <n v="144000"/>
    <n v="1620000"/>
    <n v="1296000"/>
    <n v="324000"/>
    <n v="316"/>
  </r>
  <r>
    <s v="2025-03-11"/>
    <x v="3"/>
    <x v="0"/>
    <x v="2"/>
    <s v="Corporate"/>
    <x v="0"/>
    <x v="8"/>
    <x v="2"/>
    <n v="250000"/>
    <n v="5"/>
    <x v="4"/>
    <n v="200000"/>
    <n v="1250000"/>
    <n v="1000000"/>
    <n v="250000"/>
    <n v="317"/>
  </r>
  <r>
    <s v="2025-01-04"/>
    <x v="0"/>
    <x v="3"/>
    <x v="2"/>
    <s v="Retail"/>
    <x v="1"/>
    <x v="5"/>
    <x v="0"/>
    <n v="320000"/>
    <n v="9"/>
    <x v="2"/>
    <n v="256000"/>
    <n v="2880000"/>
    <n v="2304000"/>
    <n v="576000"/>
    <n v="318"/>
  </r>
  <r>
    <s v="2025-01-19"/>
    <x v="0"/>
    <x v="3"/>
    <x v="1"/>
    <s v="Corporate"/>
    <x v="1"/>
    <x v="6"/>
    <x v="2"/>
    <n v="150000"/>
    <n v="7"/>
    <x v="1"/>
    <n v="120000"/>
    <n v="1050000"/>
    <n v="840000"/>
    <n v="210000"/>
    <n v="319"/>
  </r>
  <r>
    <s v="2025-03-19"/>
    <x v="3"/>
    <x v="1"/>
    <x v="0"/>
    <s v="Retail"/>
    <x v="0"/>
    <x v="7"/>
    <x v="2"/>
    <n v="420000"/>
    <n v="9"/>
    <x v="4"/>
    <n v="336000"/>
    <n v="3780000"/>
    <n v="3024000"/>
    <n v="756000"/>
    <n v="320"/>
  </r>
  <r>
    <s v="2025-01-10"/>
    <x v="0"/>
    <x v="2"/>
    <x v="1"/>
    <s v="Corporate"/>
    <x v="1"/>
    <x v="2"/>
    <x v="1"/>
    <n v="60000"/>
    <n v="4"/>
    <x v="1"/>
    <n v="48000"/>
    <n v="240000"/>
    <n v="192000"/>
    <n v="48000"/>
    <n v="321"/>
  </r>
  <r>
    <s v="2025-04-28"/>
    <x v="1"/>
    <x v="0"/>
    <x v="2"/>
    <s v="Retail"/>
    <x v="1"/>
    <x v="8"/>
    <x v="2"/>
    <n v="250000"/>
    <n v="5"/>
    <x v="1"/>
    <n v="200000"/>
    <n v="1250000"/>
    <n v="1000000"/>
    <n v="250000"/>
    <n v="322"/>
  </r>
  <r>
    <s v="2025-01-09"/>
    <x v="0"/>
    <x v="0"/>
    <x v="2"/>
    <s v="Corporate"/>
    <x v="0"/>
    <x v="3"/>
    <x v="2"/>
    <n v="300000"/>
    <n v="8"/>
    <x v="3"/>
    <n v="240000"/>
    <n v="2400000"/>
    <n v="1920000"/>
    <n v="480000"/>
    <n v="323"/>
  </r>
  <r>
    <s v="2025-01-30"/>
    <x v="0"/>
    <x v="0"/>
    <x v="2"/>
    <s v="Corporate"/>
    <x v="0"/>
    <x v="7"/>
    <x v="2"/>
    <n v="420000"/>
    <n v="4"/>
    <x v="5"/>
    <n v="336000"/>
    <n v="1680000"/>
    <n v="1344000"/>
    <n v="336000"/>
    <n v="324"/>
  </r>
  <r>
    <s v="2025-03-17"/>
    <x v="3"/>
    <x v="0"/>
    <x v="2"/>
    <s v="Corporate"/>
    <x v="1"/>
    <x v="1"/>
    <x v="1"/>
    <n v="30000"/>
    <n v="4"/>
    <x v="1"/>
    <n v="24000"/>
    <n v="120000"/>
    <n v="96000"/>
    <n v="24000"/>
    <n v="325"/>
  </r>
  <r>
    <s v="2025-01-10"/>
    <x v="0"/>
    <x v="1"/>
    <x v="3"/>
    <s v="Retail"/>
    <x v="0"/>
    <x v="5"/>
    <x v="0"/>
    <n v="320000"/>
    <n v="7"/>
    <x v="1"/>
    <n v="256000"/>
    <n v="2240000"/>
    <n v="1792000"/>
    <n v="448000"/>
    <n v="326"/>
  </r>
  <r>
    <s v="2025-01-02"/>
    <x v="0"/>
    <x v="2"/>
    <x v="1"/>
    <s v="Retail"/>
    <x v="0"/>
    <x v="6"/>
    <x v="2"/>
    <n v="150000"/>
    <n v="8"/>
    <x v="4"/>
    <n v="120000"/>
    <n v="1200000"/>
    <n v="960000"/>
    <n v="240000"/>
    <n v="327"/>
  </r>
  <r>
    <s v="2025-03-14"/>
    <x v="3"/>
    <x v="0"/>
    <x v="1"/>
    <s v="Retail"/>
    <x v="1"/>
    <x v="2"/>
    <x v="1"/>
    <n v="60000"/>
    <n v="7"/>
    <x v="2"/>
    <n v="48000"/>
    <n v="420000"/>
    <n v="336000"/>
    <n v="84000"/>
    <n v="328"/>
  </r>
  <r>
    <s v="2025-04-19"/>
    <x v="1"/>
    <x v="2"/>
    <x v="2"/>
    <s v="Retail"/>
    <x v="0"/>
    <x v="4"/>
    <x v="1"/>
    <n v="180000"/>
    <n v="4"/>
    <x v="1"/>
    <n v="144000"/>
    <n v="720000"/>
    <n v="576000"/>
    <n v="144000"/>
    <n v="329"/>
  </r>
  <r>
    <s v="2025-04-26"/>
    <x v="1"/>
    <x v="0"/>
    <x v="2"/>
    <s v="Corporate"/>
    <x v="1"/>
    <x v="7"/>
    <x v="2"/>
    <n v="420000"/>
    <n v="8"/>
    <x v="4"/>
    <n v="336000"/>
    <n v="3360000"/>
    <n v="2688000"/>
    <n v="672000"/>
    <n v="330"/>
  </r>
  <r>
    <s v="2025-02-17"/>
    <x v="2"/>
    <x v="0"/>
    <x v="2"/>
    <s v="Retail"/>
    <x v="1"/>
    <x v="3"/>
    <x v="2"/>
    <n v="300000"/>
    <n v="2"/>
    <x v="5"/>
    <n v="240000"/>
    <n v="600000"/>
    <n v="480000"/>
    <n v="120000"/>
    <n v="331"/>
  </r>
  <r>
    <s v="2025-03-27"/>
    <x v="3"/>
    <x v="2"/>
    <x v="1"/>
    <s v="Corporate"/>
    <x v="0"/>
    <x v="7"/>
    <x v="2"/>
    <n v="420000"/>
    <n v="3"/>
    <x v="4"/>
    <n v="336000"/>
    <n v="1260000"/>
    <n v="1008000"/>
    <n v="252000"/>
    <n v="332"/>
  </r>
  <r>
    <s v="2025-03-06"/>
    <x v="3"/>
    <x v="3"/>
    <x v="2"/>
    <s v="Retail"/>
    <x v="0"/>
    <x v="0"/>
    <x v="0"/>
    <n v="85000"/>
    <n v="3"/>
    <x v="2"/>
    <n v="68000"/>
    <n v="255000"/>
    <n v="204000"/>
    <n v="51000"/>
    <n v="333"/>
  </r>
  <r>
    <s v="2025-01-17"/>
    <x v="0"/>
    <x v="0"/>
    <x v="3"/>
    <s v="Corporate"/>
    <x v="1"/>
    <x v="2"/>
    <x v="1"/>
    <n v="60000"/>
    <n v="8"/>
    <x v="1"/>
    <n v="48000"/>
    <n v="480000"/>
    <n v="384000"/>
    <n v="96000"/>
    <n v="334"/>
  </r>
  <r>
    <s v="2025-01-07"/>
    <x v="0"/>
    <x v="0"/>
    <x v="1"/>
    <s v="Corporate"/>
    <x v="1"/>
    <x v="4"/>
    <x v="1"/>
    <n v="180000"/>
    <n v="10"/>
    <x v="3"/>
    <n v="144000"/>
    <n v="1800000"/>
    <n v="1440000"/>
    <n v="360000"/>
    <n v="335"/>
  </r>
  <r>
    <s v="2025-03-19"/>
    <x v="3"/>
    <x v="1"/>
    <x v="3"/>
    <s v="Corporate"/>
    <x v="0"/>
    <x v="4"/>
    <x v="1"/>
    <n v="180000"/>
    <n v="7"/>
    <x v="0"/>
    <n v="144000"/>
    <n v="1260000"/>
    <n v="1008000"/>
    <n v="252000"/>
    <n v="336"/>
  </r>
  <r>
    <s v="2025-01-11"/>
    <x v="0"/>
    <x v="1"/>
    <x v="3"/>
    <s v="Retail"/>
    <x v="1"/>
    <x v="1"/>
    <x v="1"/>
    <n v="30000"/>
    <n v="3"/>
    <x v="2"/>
    <n v="24000"/>
    <n v="90000"/>
    <n v="72000"/>
    <n v="18000"/>
    <n v="337"/>
  </r>
  <r>
    <s v="2025-04-20"/>
    <x v="1"/>
    <x v="3"/>
    <x v="0"/>
    <s v="Corporate"/>
    <x v="1"/>
    <x v="1"/>
    <x v="1"/>
    <n v="30000"/>
    <n v="6"/>
    <x v="1"/>
    <n v="24000"/>
    <n v="180000"/>
    <n v="144000"/>
    <n v="36000"/>
    <n v="338"/>
  </r>
  <r>
    <s v="2025-04-12"/>
    <x v="1"/>
    <x v="3"/>
    <x v="1"/>
    <s v="Corporate"/>
    <x v="0"/>
    <x v="7"/>
    <x v="2"/>
    <n v="420000"/>
    <n v="4"/>
    <x v="4"/>
    <n v="336000"/>
    <n v="1680000"/>
    <n v="1344000"/>
    <n v="336000"/>
    <n v="339"/>
  </r>
  <r>
    <s v="2025-03-07"/>
    <x v="3"/>
    <x v="1"/>
    <x v="2"/>
    <s v="Retail"/>
    <x v="0"/>
    <x v="9"/>
    <x v="1"/>
    <n v="220000"/>
    <n v="8"/>
    <x v="5"/>
    <n v="176000"/>
    <n v="1760000"/>
    <n v="1408000"/>
    <n v="352000"/>
    <n v="340"/>
  </r>
  <r>
    <s v="2025-02-27"/>
    <x v="2"/>
    <x v="3"/>
    <x v="1"/>
    <s v="Corporate"/>
    <x v="1"/>
    <x v="0"/>
    <x v="0"/>
    <n v="85000"/>
    <n v="5"/>
    <x v="0"/>
    <n v="68000"/>
    <n v="425000"/>
    <n v="340000"/>
    <n v="85000"/>
    <n v="341"/>
  </r>
  <r>
    <s v="2025-04-12"/>
    <x v="1"/>
    <x v="0"/>
    <x v="1"/>
    <s v="Retail"/>
    <x v="0"/>
    <x v="5"/>
    <x v="0"/>
    <n v="320000"/>
    <n v="7"/>
    <x v="2"/>
    <n v="256000"/>
    <n v="2240000"/>
    <n v="1792000"/>
    <n v="448000"/>
    <n v="342"/>
  </r>
  <r>
    <s v="2025-04-03"/>
    <x v="1"/>
    <x v="2"/>
    <x v="1"/>
    <s v="Corporate"/>
    <x v="1"/>
    <x v="4"/>
    <x v="1"/>
    <n v="180000"/>
    <n v="6"/>
    <x v="0"/>
    <n v="144000"/>
    <n v="1080000"/>
    <n v="864000"/>
    <n v="216000"/>
    <n v="343"/>
  </r>
  <r>
    <s v="2025-01-19"/>
    <x v="0"/>
    <x v="1"/>
    <x v="3"/>
    <s v="Corporate"/>
    <x v="0"/>
    <x v="2"/>
    <x v="1"/>
    <n v="60000"/>
    <n v="2"/>
    <x v="4"/>
    <n v="48000"/>
    <n v="120000"/>
    <n v="96000"/>
    <n v="24000"/>
    <n v="344"/>
  </r>
  <r>
    <s v="2025-02-24"/>
    <x v="2"/>
    <x v="0"/>
    <x v="3"/>
    <s v="Corporate"/>
    <x v="1"/>
    <x v="4"/>
    <x v="1"/>
    <n v="180000"/>
    <n v="5"/>
    <x v="1"/>
    <n v="144000"/>
    <n v="900000"/>
    <n v="720000"/>
    <n v="180000"/>
    <n v="345"/>
  </r>
  <r>
    <s v="2025-04-28"/>
    <x v="1"/>
    <x v="1"/>
    <x v="3"/>
    <s v="Corporate"/>
    <x v="1"/>
    <x v="6"/>
    <x v="2"/>
    <n v="150000"/>
    <n v="6"/>
    <x v="4"/>
    <n v="120000"/>
    <n v="900000"/>
    <n v="720000"/>
    <n v="180000"/>
    <n v="346"/>
  </r>
  <r>
    <s v="2025-01-27"/>
    <x v="0"/>
    <x v="1"/>
    <x v="0"/>
    <s v="Corporate"/>
    <x v="1"/>
    <x v="1"/>
    <x v="1"/>
    <n v="30000"/>
    <n v="2"/>
    <x v="4"/>
    <n v="24000"/>
    <n v="60000"/>
    <n v="48000"/>
    <n v="12000"/>
    <n v="347"/>
  </r>
  <r>
    <s v="2025-04-23"/>
    <x v="1"/>
    <x v="3"/>
    <x v="0"/>
    <s v="Retail"/>
    <x v="0"/>
    <x v="8"/>
    <x v="2"/>
    <n v="250000"/>
    <n v="9"/>
    <x v="4"/>
    <n v="200000"/>
    <n v="2250000"/>
    <n v="1800000"/>
    <n v="450000"/>
    <n v="348"/>
  </r>
  <r>
    <s v="2025-01-21"/>
    <x v="0"/>
    <x v="0"/>
    <x v="2"/>
    <s v="Retail"/>
    <x v="1"/>
    <x v="2"/>
    <x v="1"/>
    <n v="60000"/>
    <n v="4"/>
    <x v="1"/>
    <n v="48000"/>
    <n v="240000"/>
    <n v="192000"/>
    <n v="48000"/>
    <n v="349"/>
  </r>
  <r>
    <s v="2025-03-27"/>
    <x v="3"/>
    <x v="1"/>
    <x v="0"/>
    <s v="Retail"/>
    <x v="0"/>
    <x v="6"/>
    <x v="2"/>
    <n v="150000"/>
    <n v="9"/>
    <x v="4"/>
    <n v="120000"/>
    <n v="1350000"/>
    <n v="1080000"/>
    <n v="270000"/>
    <n v="350"/>
  </r>
  <r>
    <s v="2025-01-18"/>
    <x v="0"/>
    <x v="3"/>
    <x v="1"/>
    <s v="Corporate"/>
    <x v="1"/>
    <x v="4"/>
    <x v="1"/>
    <n v="180000"/>
    <n v="3"/>
    <x v="0"/>
    <n v="144000"/>
    <n v="540000"/>
    <n v="432000"/>
    <n v="108000"/>
    <n v="351"/>
  </r>
  <r>
    <s v="2025-03-26"/>
    <x v="3"/>
    <x v="0"/>
    <x v="0"/>
    <s v="Retail"/>
    <x v="0"/>
    <x v="4"/>
    <x v="1"/>
    <n v="180000"/>
    <n v="10"/>
    <x v="0"/>
    <n v="144000"/>
    <n v="1800000"/>
    <n v="1440000"/>
    <n v="360000"/>
    <n v="352"/>
  </r>
  <r>
    <s v="2025-01-19"/>
    <x v="0"/>
    <x v="1"/>
    <x v="1"/>
    <s v="Retail"/>
    <x v="0"/>
    <x v="9"/>
    <x v="1"/>
    <n v="220000"/>
    <n v="2"/>
    <x v="0"/>
    <n v="176000"/>
    <n v="440000"/>
    <n v="352000"/>
    <n v="88000"/>
    <n v="353"/>
  </r>
  <r>
    <s v="2025-04-02"/>
    <x v="1"/>
    <x v="3"/>
    <x v="0"/>
    <s v="Corporate"/>
    <x v="0"/>
    <x v="7"/>
    <x v="2"/>
    <n v="420000"/>
    <n v="10"/>
    <x v="2"/>
    <n v="336000"/>
    <n v="4200000"/>
    <n v="3360000"/>
    <n v="840000"/>
    <n v="354"/>
  </r>
  <r>
    <s v="2025-03-20"/>
    <x v="3"/>
    <x v="0"/>
    <x v="0"/>
    <s v="Retail"/>
    <x v="1"/>
    <x v="1"/>
    <x v="1"/>
    <n v="30000"/>
    <n v="9"/>
    <x v="5"/>
    <n v="24000"/>
    <n v="270000"/>
    <n v="216000"/>
    <n v="54000"/>
    <n v="355"/>
  </r>
  <r>
    <s v="2025-01-19"/>
    <x v="0"/>
    <x v="0"/>
    <x v="3"/>
    <s v="Corporate"/>
    <x v="0"/>
    <x v="5"/>
    <x v="0"/>
    <n v="320000"/>
    <n v="6"/>
    <x v="3"/>
    <n v="256000"/>
    <n v="1920000"/>
    <n v="1536000"/>
    <n v="384000"/>
    <n v="356"/>
  </r>
  <r>
    <s v="2025-01-24"/>
    <x v="0"/>
    <x v="0"/>
    <x v="3"/>
    <s v="Retail"/>
    <x v="1"/>
    <x v="7"/>
    <x v="2"/>
    <n v="420000"/>
    <n v="2"/>
    <x v="5"/>
    <n v="336000"/>
    <n v="840000"/>
    <n v="672000"/>
    <n v="168000"/>
    <n v="357"/>
  </r>
  <r>
    <s v="2025-04-23"/>
    <x v="1"/>
    <x v="2"/>
    <x v="2"/>
    <s v="Corporate"/>
    <x v="0"/>
    <x v="5"/>
    <x v="0"/>
    <n v="320000"/>
    <n v="10"/>
    <x v="3"/>
    <n v="256000"/>
    <n v="3200000"/>
    <n v="2560000"/>
    <n v="640000"/>
    <n v="358"/>
  </r>
  <r>
    <s v="2025-02-06"/>
    <x v="2"/>
    <x v="1"/>
    <x v="2"/>
    <s v="Corporate"/>
    <x v="1"/>
    <x v="3"/>
    <x v="2"/>
    <n v="300000"/>
    <n v="8"/>
    <x v="5"/>
    <n v="240000"/>
    <n v="2400000"/>
    <n v="1920000"/>
    <n v="480000"/>
    <n v="359"/>
  </r>
  <r>
    <s v="2025-02-07"/>
    <x v="2"/>
    <x v="1"/>
    <x v="0"/>
    <s v="Corporate"/>
    <x v="0"/>
    <x v="2"/>
    <x v="1"/>
    <n v="60000"/>
    <n v="1"/>
    <x v="1"/>
    <n v="48000"/>
    <n v="60000"/>
    <n v="48000"/>
    <n v="12000"/>
    <n v="360"/>
  </r>
  <r>
    <s v="2025-03-21"/>
    <x v="3"/>
    <x v="2"/>
    <x v="1"/>
    <s v="Corporate"/>
    <x v="0"/>
    <x v="0"/>
    <x v="0"/>
    <n v="85000"/>
    <n v="3"/>
    <x v="1"/>
    <n v="68000"/>
    <n v="255000"/>
    <n v="204000"/>
    <n v="51000"/>
    <n v="361"/>
  </r>
  <r>
    <s v="2025-03-25"/>
    <x v="3"/>
    <x v="1"/>
    <x v="2"/>
    <s v="Corporate"/>
    <x v="1"/>
    <x v="1"/>
    <x v="1"/>
    <n v="30000"/>
    <n v="10"/>
    <x v="0"/>
    <n v="24000"/>
    <n v="300000"/>
    <n v="240000"/>
    <n v="60000"/>
    <n v="362"/>
  </r>
  <r>
    <s v="2025-01-22"/>
    <x v="0"/>
    <x v="1"/>
    <x v="2"/>
    <s v="Corporate"/>
    <x v="0"/>
    <x v="1"/>
    <x v="1"/>
    <n v="30000"/>
    <n v="4"/>
    <x v="3"/>
    <n v="24000"/>
    <n v="120000"/>
    <n v="96000"/>
    <n v="24000"/>
    <n v="363"/>
  </r>
  <r>
    <s v="2025-01-27"/>
    <x v="0"/>
    <x v="2"/>
    <x v="3"/>
    <s v="Corporate"/>
    <x v="1"/>
    <x v="6"/>
    <x v="2"/>
    <n v="150000"/>
    <n v="3"/>
    <x v="1"/>
    <n v="120000"/>
    <n v="450000"/>
    <n v="360000"/>
    <n v="90000"/>
    <n v="364"/>
  </r>
  <r>
    <s v="2025-04-14"/>
    <x v="1"/>
    <x v="0"/>
    <x v="0"/>
    <s v="Corporate"/>
    <x v="0"/>
    <x v="6"/>
    <x v="2"/>
    <n v="150000"/>
    <n v="3"/>
    <x v="0"/>
    <n v="120000"/>
    <n v="450000"/>
    <n v="360000"/>
    <n v="90000"/>
    <n v="365"/>
  </r>
  <r>
    <s v="2025-04-30"/>
    <x v="1"/>
    <x v="1"/>
    <x v="2"/>
    <s v="Corporate"/>
    <x v="1"/>
    <x v="0"/>
    <x v="0"/>
    <n v="85000"/>
    <n v="8"/>
    <x v="0"/>
    <n v="68000"/>
    <n v="680000"/>
    <n v="544000"/>
    <n v="136000"/>
    <n v="366"/>
  </r>
  <r>
    <s v="2025-04-07"/>
    <x v="1"/>
    <x v="2"/>
    <x v="2"/>
    <s v="Corporate"/>
    <x v="0"/>
    <x v="7"/>
    <x v="2"/>
    <n v="420000"/>
    <n v="7"/>
    <x v="0"/>
    <n v="336000"/>
    <n v="2940000"/>
    <n v="2352000"/>
    <n v="588000"/>
    <n v="367"/>
  </r>
  <r>
    <s v="2025-01-22"/>
    <x v="0"/>
    <x v="1"/>
    <x v="3"/>
    <s v="Corporate"/>
    <x v="1"/>
    <x v="6"/>
    <x v="2"/>
    <n v="150000"/>
    <n v="3"/>
    <x v="1"/>
    <n v="120000"/>
    <n v="450000"/>
    <n v="360000"/>
    <n v="90000"/>
    <n v="368"/>
  </r>
  <r>
    <s v="2025-04-25"/>
    <x v="1"/>
    <x v="0"/>
    <x v="3"/>
    <s v="Corporate"/>
    <x v="1"/>
    <x v="5"/>
    <x v="0"/>
    <n v="320000"/>
    <n v="1"/>
    <x v="2"/>
    <n v="256000"/>
    <n v="320000"/>
    <n v="256000"/>
    <n v="64000"/>
    <n v="369"/>
  </r>
  <r>
    <s v="2025-02-09"/>
    <x v="2"/>
    <x v="1"/>
    <x v="3"/>
    <s v="Corporate"/>
    <x v="0"/>
    <x v="4"/>
    <x v="1"/>
    <n v="180000"/>
    <n v="5"/>
    <x v="0"/>
    <n v="144000"/>
    <n v="900000"/>
    <n v="720000"/>
    <n v="180000"/>
    <n v="370"/>
  </r>
  <r>
    <s v="2025-03-28"/>
    <x v="3"/>
    <x v="3"/>
    <x v="2"/>
    <s v="Corporate"/>
    <x v="1"/>
    <x v="3"/>
    <x v="2"/>
    <n v="300000"/>
    <n v="1"/>
    <x v="2"/>
    <n v="240000"/>
    <n v="300000"/>
    <n v="240000"/>
    <n v="60000"/>
    <n v="371"/>
  </r>
  <r>
    <s v="2025-04-09"/>
    <x v="1"/>
    <x v="1"/>
    <x v="0"/>
    <s v="Corporate"/>
    <x v="0"/>
    <x v="4"/>
    <x v="1"/>
    <n v="180000"/>
    <n v="8"/>
    <x v="4"/>
    <n v="144000"/>
    <n v="1440000"/>
    <n v="1152000"/>
    <n v="288000"/>
    <n v="372"/>
  </r>
  <r>
    <s v="2025-04-05"/>
    <x v="1"/>
    <x v="2"/>
    <x v="2"/>
    <s v="Corporate"/>
    <x v="0"/>
    <x v="4"/>
    <x v="1"/>
    <n v="180000"/>
    <n v="3"/>
    <x v="3"/>
    <n v="144000"/>
    <n v="540000"/>
    <n v="432000"/>
    <n v="108000"/>
    <n v="373"/>
  </r>
  <r>
    <s v="2025-01-11"/>
    <x v="0"/>
    <x v="0"/>
    <x v="3"/>
    <s v="Corporate"/>
    <x v="1"/>
    <x v="5"/>
    <x v="0"/>
    <n v="320000"/>
    <n v="6"/>
    <x v="5"/>
    <n v="256000"/>
    <n v="1920000"/>
    <n v="1536000"/>
    <n v="384000"/>
    <n v="374"/>
  </r>
  <r>
    <s v="2025-01-18"/>
    <x v="0"/>
    <x v="0"/>
    <x v="3"/>
    <s v="Corporate"/>
    <x v="1"/>
    <x v="2"/>
    <x v="1"/>
    <n v="60000"/>
    <n v="10"/>
    <x v="0"/>
    <n v="48000"/>
    <n v="600000"/>
    <n v="480000"/>
    <n v="120000"/>
    <n v="375"/>
  </r>
  <r>
    <s v="2025-02-24"/>
    <x v="2"/>
    <x v="2"/>
    <x v="1"/>
    <s v="Corporate"/>
    <x v="1"/>
    <x v="3"/>
    <x v="2"/>
    <n v="300000"/>
    <n v="1"/>
    <x v="4"/>
    <n v="240000"/>
    <n v="300000"/>
    <n v="240000"/>
    <n v="60000"/>
    <n v="376"/>
  </r>
  <r>
    <s v="2025-03-11"/>
    <x v="3"/>
    <x v="0"/>
    <x v="1"/>
    <s v="Corporate"/>
    <x v="0"/>
    <x v="4"/>
    <x v="1"/>
    <n v="180000"/>
    <n v="1"/>
    <x v="1"/>
    <n v="144000"/>
    <n v="180000"/>
    <n v="144000"/>
    <n v="36000"/>
    <n v="377"/>
  </r>
  <r>
    <s v="2025-01-22"/>
    <x v="0"/>
    <x v="1"/>
    <x v="1"/>
    <s v="Retail"/>
    <x v="1"/>
    <x v="9"/>
    <x v="1"/>
    <n v="220000"/>
    <n v="8"/>
    <x v="4"/>
    <n v="176000"/>
    <n v="1760000"/>
    <n v="1408000"/>
    <n v="352000"/>
    <n v="378"/>
  </r>
  <r>
    <s v="2025-02-01"/>
    <x v="2"/>
    <x v="3"/>
    <x v="1"/>
    <s v="Corporate"/>
    <x v="1"/>
    <x v="0"/>
    <x v="0"/>
    <n v="85000"/>
    <n v="7"/>
    <x v="2"/>
    <n v="68000"/>
    <n v="595000"/>
    <n v="476000"/>
    <n v="119000"/>
    <n v="379"/>
  </r>
  <r>
    <s v="2025-02-09"/>
    <x v="2"/>
    <x v="0"/>
    <x v="0"/>
    <s v="Retail"/>
    <x v="1"/>
    <x v="4"/>
    <x v="1"/>
    <n v="180000"/>
    <n v="9"/>
    <x v="5"/>
    <n v="144000"/>
    <n v="1620000"/>
    <n v="1296000"/>
    <n v="324000"/>
    <n v="380"/>
  </r>
  <r>
    <s v="2025-02-03"/>
    <x v="2"/>
    <x v="3"/>
    <x v="0"/>
    <s v="Corporate"/>
    <x v="0"/>
    <x v="5"/>
    <x v="0"/>
    <n v="320000"/>
    <n v="3"/>
    <x v="3"/>
    <n v="256000"/>
    <n v="960000"/>
    <n v="768000"/>
    <n v="192000"/>
    <n v="381"/>
  </r>
  <r>
    <s v="2025-04-01"/>
    <x v="1"/>
    <x v="3"/>
    <x v="0"/>
    <s v="Corporate"/>
    <x v="0"/>
    <x v="6"/>
    <x v="2"/>
    <n v="150000"/>
    <n v="4"/>
    <x v="0"/>
    <n v="120000"/>
    <n v="600000"/>
    <n v="480000"/>
    <n v="120000"/>
    <n v="382"/>
  </r>
  <r>
    <s v="2025-04-02"/>
    <x v="1"/>
    <x v="1"/>
    <x v="1"/>
    <s v="Retail"/>
    <x v="0"/>
    <x v="9"/>
    <x v="1"/>
    <n v="220000"/>
    <n v="10"/>
    <x v="5"/>
    <n v="176000"/>
    <n v="2200000"/>
    <n v="1760000"/>
    <n v="440000"/>
    <n v="383"/>
  </r>
  <r>
    <s v="2025-02-15"/>
    <x v="2"/>
    <x v="2"/>
    <x v="0"/>
    <s v="Corporate"/>
    <x v="0"/>
    <x v="6"/>
    <x v="2"/>
    <n v="150000"/>
    <n v="6"/>
    <x v="0"/>
    <n v="120000"/>
    <n v="900000"/>
    <n v="720000"/>
    <n v="180000"/>
    <n v="384"/>
  </r>
  <r>
    <s v="2025-01-15"/>
    <x v="0"/>
    <x v="0"/>
    <x v="1"/>
    <s v="Corporate"/>
    <x v="1"/>
    <x v="4"/>
    <x v="1"/>
    <n v="180000"/>
    <n v="1"/>
    <x v="2"/>
    <n v="144000"/>
    <n v="180000"/>
    <n v="144000"/>
    <n v="36000"/>
    <n v="385"/>
  </r>
  <r>
    <s v="2025-04-21"/>
    <x v="1"/>
    <x v="1"/>
    <x v="2"/>
    <s v="Retail"/>
    <x v="0"/>
    <x v="1"/>
    <x v="1"/>
    <n v="30000"/>
    <n v="2"/>
    <x v="3"/>
    <n v="24000"/>
    <n v="60000"/>
    <n v="48000"/>
    <n v="12000"/>
    <n v="386"/>
  </r>
  <r>
    <s v="2025-03-01"/>
    <x v="3"/>
    <x v="3"/>
    <x v="3"/>
    <s v="Corporate"/>
    <x v="0"/>
    <x v="5"/>
    <x v="0"/>
    <n v="320000"/>
    <n v="7"/>
    <x v="0"/>
    <n v="256000"/>
    <n v="2240000"/>
    <n v="1792000"/>
    <n v="448000"/>
    <n v="387"/>
  </r>
  <r>
    <s v="2025-02-07"/>
    <x v="2"/>
    <x v="3"/>
    <x v="2"/>
    <s v="Retail"/>
    <x v="1"/>
    <x v="0"/>
    <x v="0"/>
    <n v="85000"/>
    <n v="10"/>
    <x v="1"/>
    <n v="68000"/>
    <n v="850000"/>
    <n v="680000"/>
    <n v="170000"/>
    <n v="388"/>
  </r>
  <r>
    <s v="2025-04-05"/>
    <x v="1"/>
    <x v="1"/>
    <x v="0"/>
    <s v="Corporate"/>
    <x v="0"/>
    <x v="4"/>
    <x v="1"/>
    <n v="180000"/>
    <n v="7"/>
    <x v="2"/>
    <n v="144000"/>
    <n v="1260000"/>
    <n v="1008000"/>
    <n v="252000"/>
    <n v="389"/>
  </r>
  <r>
    <s v="2025-03-24"/>
    <x v="3"/>
    <x v="2"/>
    <x v="1"/>
    <s v="Retail"/>
    <x v="0"/>
    <x v="7"/>
    <x v="2"/>
    <n v="420000"/>
    <n v="5"/>
    <x v="3"/>
    <n v="336000"/>
    <n v="2100000"/>
    <n v="1680000"/>
    <n v="420000"/>
    <n v="390"/>
  </r>
  <r>
    <s v="2025-04-04"/>
    <x v="1"/>
    <x v="2"/>
    <x v="3"/>
    <s v="Corporate"/>
    <x v="1"/>
    <x v="5"/>
    <x v="0"/>
    <n v="320000"/>
    <n v="8"/>
    <x v="1"/>
    <n v="256000"/>
    <n v="2560000"/>
    <n v="2048000"/>
    <n v="512000"/>
    <n v="391"/>
  </r>
  <r>
    <s v="2025-02-25"/>
    <x v="2"/>
    <x v="1"/>
    <x v="2"/>
    <s v="Corporate"/>
    <x v="1"/>
    <x v="4"/>
    <x v="1"/>
    <n v="180000"/>
    <n v="5"/>
    <x v="2"/>
    <n v="144000"/>
    <n v="900000"/>
    <n v="720000"/>
    <n v="180000"/>
    <n v="392"/>
  </r>
  <r>
    <s v="2025-03-23"/>
    <x v="3"/>
    <x v="3"/>
    <x v="0"/>
    <s v="Corporate"/>
    <x v="1"/>
    <x v="7"/>
    <x v="2"/>
    <n v="420000"/>
    <n v="2"/>
    <x v="0"/>
    <n v="336000"/>
    <n v="840000"/>
    <n v="672000"/>
    <n v="168000"/>
    <n v="393"/>
  </r>
  <r>
    <s v="2025-03-28"/>
    <x v="3"/>
    <x v="3"/>
    <x v="2"/>
    <s v="Retail"/>
    <x v="0"/>
    <x v="3"/>
    <x v="2"/>
    <n v="300000"/>
    <n v="8"/>
    <x v="1"/>
    <n v="240000"/>
    <n v="2400000"/>
    <n v="1920000"/>
    <n v="480000"/>
    <n v="394"/>
  </r>
  <r>
    <s v="2025-01-02"/>
    <x v="0"/>
    <x v="1"/>
    <x v="2"/>
    <s v="Retail"/>
    <x v="0"/>
    <x v="5"/>
    <x v="0"/>
    <n v="320000"/>
    <n v="1"/>
    <x v="1"/>
    <n v="256000"/>
    <n v="320000"/>
    <n v="256000"/>
    <n v="64000"/>
    <n v="395"/>
  </r>
  <r>
    <s v="2025-01-17"/>
    <x v="0"/>
    <x v="1"/>
    <x v="2"/>
    <s v="Retail"/>
    <x v="0"/>
    <x v="7"/>
    <x v="2"/>
    <n v="420000"/>
    <n v="9"/>
    <x v="0"/>
    <n v="336000"/>
    <n v="3780000"/>
    <n v="3024000"/>
    <n v="756000"/>
    <n v="396"/>
  </r>
  <r>
    <s v="2025-02-17"/>
    <x v="2"/>
    <x v="1"/>
    <x v="3"/>
    <s v="Corporate"/>
    <x v="1"/>
    <x v="0"/>
    <x v="0"/>
    <n v="85000"/>
    <n v="8"/>
    <x v="5"/>
    <n v="68000"/>
    <n v="680000"/>
    <n v="544000"/>
    <n v="136000"/>
    <n v="397"/>
  </r>
  <r>
    <s v="2025-02-03"/>
    <x v="2"/>
    <x v="3"/>
    <x v="0"/>
    <s v="Corporate"/>
    <x v="1"/>
    <x v="7"/>
    <x v="2"/>
    <n v="420000"/>
    <n v="10"/>
    <x v="3"/>
    <n v="336000"/>
    <n v="4200000"/>
    <n v="3360000"/>
    <n v="840000"/>
    <n v="398"/>
  </r>
  <r>
    <s v="2025-02-11"/>
    <x v="2"/>
    <x v="1"/>
    <x v="0"/>
    <s v="Retail"/>
    <x v="1"/>
    <x v="8"/>
    <x v="2"/>
    <n v="250000"/>
    <n v="1"/>
    <x v="3"/>
    <n v="200000"/>
    <n v="250000"/>
    <n v="200000"/>
    <n v="50000"/>
    <n v="399"/>
  </r>
  <r>
    <s v="2025-02-22"/>
    <x v="2"/>
    <x v="1"/>
    <x v="3"/>
    <s v="Corporate"/>
    <x v="0"/>
    <x v="9"/>
    <x v="1"/>
    <n v="220000"/>
    <n v="5"/>
    <x v="5"/>
    <n v="176000"/>
    <n v="1100000"/>
    <n v="880000"/>
    <n v="220000"/>
    <n v="400"/>
  </r>
  <r>
    <s v="2025-03-19"/>
    <x v="3"/>
    <x v="3"/>
    <x v="1"/>
    <s v="Retail"/>
    <x v="0"/>
    <x v="3"/>
    <x v="2"/>
    <n v="300000"/>
    <n v="1"/>
    <x v="0"/>
    <n v="240000"/>
    <n v="300000"/>
    <n v="240000"/>
    <n v="60000"/>
    <n v="401"/>
  </r>
  <r>
    <s v="2025-02-26"/>
    <x v="2"/>
    <x v="3"/>
    <x v="2"/>
    <s v="Corporate"/>
    <x v="1"/>
    <x v="2"/>
    <x v="1"/>
    <n v="60000"/>
    <n v="6"/>
    <x v="4"/>
    <n v="48000"/>
    <n v="360000"/>
    <n v="288000"/>
    <n v="72000"/>
    <n v="402"/>
  </r>
  <r>
    <s v="2025-03-04"/>
    <x v="3"/>
    <x v="2"/>
    <x v="3"/>
    <s v="Retail"/>
    <x v="0"/>
    <x v="2"/>
    <x v="1"/>
    <n v="60000"/>
    <n v="8"/>
    <x v="1"/>
    <n v="48000"/>
    <n v="480000"/>
    <n v="384000"/>
    <n v="96000"/>
    <n v="403"/>
  </r>
  <r>
    <s v="2025-04-03"/>
    <x v="1"/>
    <x v="2"/>
    <x v="2"/>
    <s v="Retail"/>
    <x v="1"/>
    <x v="9"/>
    <x v="1"/>
    <n v="220000"/>
    <n v="3"/>
    <x v="4"/>
    <n v="176000"/>
    <n v="660000"/>
    <n v="528000"/>
    <n v="132000"/>
    <n v="404"/>
  </r>
  <r>
    <s v="2025-03-23"/>
    <x v="3"/>
    <x v="3"/>
    <x v="3"/>
    <s v="Retail"/>
    <x v="0"/>
    <x v="2"/>
    <x v="1"/>
    <n v="60000"/>
    <n v="1"/>
    <x v="3"/>
    <n v="48000"/>
    <n v="60000"/>
    <n v="48000"/>
    <n v="12000"/>
    <n v="405"/>
  </r>
  <r>
    <s v="2025-03-16"/>
    <x v="3"/>
    <x v="1"/>
    <x v="1"/>
    <s v="Corporate"/>
    <x v="0"/>
    <x v="6"/>
    <x v="2"/>
    <n v="150000"/>
    <n v="1"/>
    <x v="2"/>
    <n v="120000"/>
    <n v="150000"/>
    <n v="120000"/>
    <n v="30000"/>
    <n v="406"/>
  </r>
  <r>
    <s v="2025-03-16"/>
    <x v="3"/>
    <x v="0"/>
    <x v="2"/>
    <s v="Corporate"/>
    <x v="0"/>
    <x v="5"/>
    <x v="0"/>
    <n v="320000"/>
    <n v="7"/>
    <x v="5"/>
    <n v="256000"/>
    <n v="2240000"/>
    <n v="1792000"/>
    <n v="448000"/>
    <n v="407"/>
  </r>
  <r>
    <s v="2025-02-21"/>
    <x v="2"/>
    <x v="2"/>
    <x v="2"/>
    <s v="Retail"/>
    <x v="1"/>
    <x v="0"/>
    <x v="0"/>
    <n v="85000"/>
    <n v="10"/>
    <x v="2"/>
    <n v="68000"/>
    <n v="850000"/>
    <n v="680000"/>
    <n v="170000"/>
    <n v="408"/>
  </r>
  <r>
    <s v="2025-04-20"/>
    <x v="1"/>
    <x v="0"/>
    <x v="0"/>
    <s v="Corporate"/>
    <x v="0"/>
    <x v="6"/>
    <x v="2"/>
    <n v="150000"/>
    <n v="10"/>
    <x v="0"/>
    <n v="120000"/>
    <n v="1500000"/>
    <n v="1200000"/>
    <n v="300000"/>
    <n v="409"/>
  </r>
  <r>
    <s v="2025-01-24"/>
    <x v="0"/>
    <x v="2"/>
    <x v="1"/>
    <s v="Corporate"/>
    <x v="0"/>
    <x v="2"/>
    <x v="1"/>
    <n v="60000"/>
    <n v="2"/>
    <x v="2"/>
    <n v="48000"/>
    <n v="120000"/>
    <n v="96000"/>
    <n v="24000"/>
    <n v="410"/>
  </r>
  <r>
    <s v="2025-03-08"/>
    <x v="3"/>
    <x v="3"/>
    <x v="3"/>
    <s v="Corporate"/>
    <x v="0"/>
    <x v="3"/>
    <x v="2"/>
    <n v="300000"/>
    <n v="6"/>
    <x v="0"/>
    <n v="240000"/>
    <n v="1800000"/>
    <n v="1440000"/>
    <n v="360000"/>
    <n v="411"/>
  </r>
  <r>
    <s v="2025-03-04"/>
    <x v="3"/>
    <x v="1"/>
    <x v="2"/>
    <s v="Retail"/>
    <x v="0"/>
    <x v="6"/>
    <x v="2"/>
    <n v="150000"/>
    <n v="3"/>
    <x v="4"/>
    <n v="120000"/>
    <n v="450000"/>
    <n v="360000"/>
    <n v="90000"/>
    <n v="412"/>
  </r>
  <r>
    <s v="2025-03-30"/>
    <x v="3"/>
    <x v="0"/>
    <x v="0"/>
    <s v="Corporate"/>
    <x v="0"/>
    <x v="1"/>
    <x v="1"/>
    <n v="30000"/>
    <n v="2"/>
    <x v="1"/>
    <n v="24000"/>
    <n v="60000"/>
    <n v="48000"/>
    <n v="12000"/>
    <n v="413"/>
  </r>
  <r>
    <s v="2025-01-11"/>
    <x v="0"/>
    <x v="1"/>
    <x v="1"/>
    <s v="Retail"/>
    <x v="0"/>
    <x v="4"/>
    <x v="1"/>
    <n v="180000"/>
    <n v="2"/>
    <x v="4"/>
    <n v="144000"/>
    <n v="360000"/>
    <n v="288000"/>
    <n v="72000"/>
    <n v="414"/>
  </r>
  <r>
    <s v="2025-01-23"/>
    <x v="0"/>
    <x v="0"/>
    <x v="2"/>
    <s v="Corporate"/>
    <x v="0"/>
    <x v="5"/>
    <x v="0"/>
    <n v="320000"/>
    <n v="3"/>
    <x v="2"/>
    <n v="256000"/>
    <n v="960000"/>
    <n v="768000"/>
    <n v="192000"/>
    <n v="415"/>
  </r>
  <r>
    <s v="2025-01-05"/>
    <x v="0"/>
    <x v="2"/>
    <x v="2"/>
    <s v="Corporate"/>
    <x v="1"/>
    <x v="1"/>
    <x v="1"/>
    <n v="30000"/>
    <n v="3"/>
    <x v="4"/>
    <n v="24000"/>
    <n v="90000"/>
    <n v="72000"/>
    <n v="18000"/>
    <n v="416"/>
  </r>
  <r>
    <s v="2025-04-17"/>
    <x v="1"/>
    <x v="0"/>
    <x v="3"/>
    <s v="Retail"/>
    <x v="1"/>
    <x v="0"/>
    <x v="0"/>
    <n v="85000"/>
    <n v="3"/>
    <x v="3"/>
    <n v="68000"/>
    <n v="255000"/>
    <n v="204000"/>
    <n v="51000"/>
    <n v="417"/>
  </r>
  <r>
    <s v="2025-02-26"/>
    <x v="2"/>
    <x v="3"/>
    <x v="2"/>
    <s v="Retail"/>
    <x v="1"/>
    <x v="0"/>
    <x v="0"/>
    <n v="85000"/>
    <n v="10"/>
    <x v="4"/>
    <n v="68000"/>
    <n v="850000"/>
    <n v="680000"/>
    <n v="170000"/>
    <n v="418"/>
  </r>
  <r>
    <s v="2025-03-06"/>
    <x v="3"/>
    <x v="1"/>
    <x v="0"/>
    <s v="Corporate"/>
    <x v="1"/>
    <x v="4"/>
    <x v="1"/>
    <n v="180000"/>
    <n v="10"/>
    <x v="0"/>
    <n v="144000"/>
    <n v="1800000"/>
    <n v="1440000"/>
    <n v="360000"/>
    <n v="419"/>
  </r>
  <r>
    <s v="2025-01-16"/>
    <x v="0"/>
    <x v="0"/>
    <x v="1"/>
    <s v="Retail"/>
    <x v="1"/>
    <x v="9"/>
    <x v="1"/>
    <n v="220000"/>
    <n v="9"/>
    <x v="2"/>
    <n v="176000"/>
    <n v="1980000"/>
    <n v="1584000"/>
    <n v="396000"/>
    <n v="420"/>
  </r>
  <r>
    <s v="2025-03-03"/>
    <x v="3"/>
    <x v="0"/>
    <x v="3"/>
    <s v="Corporate"/>
    <x v="1"/>
    <x v="7"/>
    <x v="2"/>
    <n v="420000"/>
    <n v="9"/>
    <x v="2"/>
    <n v="336000"/>
    <n v="3780000"/>
    <n v="3024000"/>
    <n v="756000"/>
    <n v="421"/>
  </r>
  <r>
    <s v="2025-02-24"/>
    <x v="2"/>
    <x v="1"/>
    <x v="0"/>
    <s v="Corporate"/>
    <x v="0"/>
    <x v="4"/>
    <x v="1"/>
    <n v="180000"/>
    <n v="2"/>
    <x v="4"/>
    <n v="144000"/>
    <n v="360000"/>
    <n v="288000"/>
    <n v="72000"/>
    <n v="422"/>
  </r>
  <r>
    <s v="2025-03-16"/>
    <x v="3"/>
    <x v="0"/>
    <x v="1"/>
    <s v="Corporate"/>
    <x v="0"/>
    <x v="3"/>
    <x v="2"/>
    <n v="300000"/>
    <n v="3"/>
    <x v="1"/>
    <n v="240000"/>
    <n v="900000"/>
    <n v="720000"/>
    <n v="180000"/>
    <n v="423"/>
  </r>
  <r>
    <s v="2025-02-25"/>
    <x v="2"/>
    <x v="3"/>
    <x v="2"/>
    <s v="Corporate"/>
    <x v="0"/>
    <x v="4"/>
    <x v="1"/>
    <n v="180000"/>
    <n v="1"/>
    <x v="5"/>
    <n v="144000"/>
    <n v="180000"/>
    <n v="144000"/>
    <n v="36000"/>
    <n v="424"/>
  </r>
  <r>
    <s v="2025-04-11"/>
    <x v="1"/>
    <x v="3"/>
    <x v="1"/>
    <s v="Retail"/>
    <x v="1"/>
    <x v="5"/>
    <x v="0"/>
    <n v="320000"/>
    <n v="9"/>
    <x v="3"/>
    <n v="256000"/>
    <n v="2880000"/>
    <n v="2304000"/>
    <n v="576000"/>
    <n v="425"/>
  </r>
  <r>
    <s v="2025-03-18"/>
    <x v="3"/>
    <x v="3"/>
    <x v="0"/>
    <s v="Retail"/>
    <x v="0"/>
    <x v="5"/>
    <x v="0"/>
    <n v="320000"/>
    <n v="5"/>
    <x v="1"/>
    <n v="256000"/>
    <n v="1600000"/>
    <n v="1280000"/>
    <n v="320000"/>
    <n v="426"/>
  </r>
  <r>
    <s v="2025-02-20"/>
    <x v="2"/>
    <x v="3"/>
    <x v="3"/>
    <s v="Retail"/>
    <x v="0"/>
    <x v="2"/>
    <x v="1"/>
    <n v="60000"/>
    <n v="8"/>
    <x v="5"/>
    <n v="48000"/>
    <n v="480000"/>
    <n v="384000"/>
    <n v="96000"/>
    <n v="427"/>
  </r>
  <r>
    <s v="2025-03-05"/>
    <x v="3"/>
    <x v="2"/>
    <x v="0"/>
    <s v="Corporate"/>
    <x v="0"/>
    <x v="0"/>
    <x v="0"/>
    <n v="85000"/>
    <n v="8"/>
    <x v="1"/>
    <n v="68000"/>
    <n v="680000"/>
    <n v="544000"/>
    <n v="136000"/>
    <n v="428"/>
  </r>
  <r>
    <s v="2025-03-31"/>
    <x v="3"/>
    <x v="1"/>
    <x v="0"/>
    <s v="Retail"/>
    <x v="1"/>
    <x v="5"/>
    <x v="0"/>
    <n v="320000"/>
    <n v="5"/>
    <x v="1"/>
    <n v="256000"/>
    <n v="1600000"/>
    <n v="1280000"/>
    <n v="320000"/>
    <n v="429"/>
  </r>
  <r>
    <s v="2025-02-18"/>
    <x v="2"/>
    <x v="3"/>
    <x v="2"/>
    <s v="Corporate"/>
    <x v="0"/>
    <x v="6"/>
    <x v="2"/>
    <n v="150000"/>
    <n v="3"/>
    <x v="4"/>
    <n v="120000"/>
    <n v="450000"/>
    <n v="360000"/>
    <n v="90000"/>
    <n v="430"/>
  </r>
  <r>
    <s v="2025-01-09"/>
    <x v="0"/>
    <x v="3"/>
    <x v="2"/>
    <s v="Retail"/>
    <x v="1"/>
    <x v="6"/>
    <x v="2"/>
    <n v="150000"/>
    <n v="1"/>
    <x v="0"/>
    <n v="120000"/>
    <n v="150000"/>
    <n v="120000"/>
    <n v="30000"/>
    <n v="431"/>
  </r>
  <r>
    <s v="2025-04-21"/>
    <x v="1"/>
    <x v="2"/>
    <x v="2"/>
    <s v="Corporate"/>
    <x v="0"/>
    <x v="2"/>
    <x v="1"/>
    <n v="60000"/>
    <n v="7"/>
    <x v="1"/>
    <n v="48000"/>
    <n v="420000"/>
    <n v="336000"/>
    <n v="84000"/>
    <n v="432"/>
  </r>
  <r>
    <s v="2025-03-09"/>
    <x v="3"/>
    <x v="0"/>
    <x v="0"/>
    <s v="Retail"/>
    <x v="0"/>
    <x v="4"/>
    <x v="1"/>
    <n v="180000"/>
    <n v="1"/>
    <x v="1"/>
    <n v="144000"/>
    <n v="180000"/>
    <n v="144000"/>
    <n v="36000"/>
    <n v="433"/>
  </r>
  <r>
    <s v="2025-04-29"/>
    <x v="1"/>
    <x v="2"/>
    <x v="0"/>
    <s v="Corporate"/>
    <x v="0"/>
    <x v="4"/>
    <x v="1"/>
    <n v="180000"/>
    <n v="1"/>
    <x v="3"/>
    <n v="144000"/>
    <n v="180000"/>
    <n v="144000"/>
    <n v="36000"/>
    <n v="434"/>
  </r>
  <r>
    <s v="2025-02-08"/>
    <x v="2"/>
    <x v="2"/>
    <x v="0"/>
    <s v="Retail"/>
    <x v="1"/>
    <x v="8"/>
    <x v="2"/>
    <n v="250000"/>
    <n v="9"/>
    <x v="0"/>
    <n v="200000"/>
    <n v="2250000"/>
    <n v="1800000"/>
    <n v="450000"/>
    <n v="435"/>
  </r>
  <r>
    <s v="2025-03-20"/>
    <x v="3"/>
    <x v="0"/>
    <x v="2"/>
    <s v="Corporate"/>
    <x v="0"/>
    <x v="5"/>
    <x v="0"/>
    <n v="320000"/>
    <n v="1"/>
    <x v="1"/>
    <n v="256000"/>
    <n v="320000"/>
    <n v="256000"/>
    <n v="64000"/>
    <n v="436"/>
  </r>
  <r>
    <s v="2025-02-07"/>
    <x v="2"/>
    <x v="2"/>
    <x v="1"/>
    <s v="Retail"/>
    <x v="1"/>
    <x v="4"/>
    <x v="1"/>
    <n v="180000"/>
    <n v="10"/>
    <x v="0"/>
    <n v="144000"/>
    <n v="1800000"/>
    <n v="1440000"/>
    <n v="360000"/>
    <n v="437"/>
  </r>
  <r>
    <s v="2025-04-07"/>
    <x v="1"/>
    <x v="1"/>
    <x v="2"/>
    <s v="Retail"/>
    <x v="1"/>
    <x v="3"/>
    <x v="2"/>
    <n v="300000"/>
    <n v="10"/>
    <x v="3"/>
    <n v="240000"/>
    <n v="3000000"/>
    <n v="2400000"/>
    <n v="600000"/>
    <n v="438"/>
  </r>
  <r>
    <s v="2025-04-15"/>
    <x v="1"/>
    <x v="2"/>
    <x v="0"/>
    <s v="Retail"/>
    <x v="0"/>
    <x v="7"/>
    <x v="2"/>
    <n v="420000"/>
    <n v="4"/>
    <x v="4"/>
    <n v="336000"/>
    <n v="1680000"/>
    <n v="1344000"/>
    <n v="336000"/>
    <n v="439"/>
  </r>
  <r>
    <s v="2025-04-20"/>
    <x v="1"/>
    <x v="0"/>
    <x v="0"/>
    <s v="Corporate"/>
    <x v="1"/>
    <x v="1"/>
    <x v="1"/>
    <n v="30000"/>
    <n v="4"/>
    <x v="2"/>
    <n v="24000"/>
    <n v="120000"/>
    <n v="96000"/>
    <n v="24000"/>
    <n v="440"/>
  </r>
  <r>
    <s v="2025-03-25"/>
    <x v="3"/>
    <x v="3"/>
    <x v="2"/>
    <s v="Retail"/>
    <x v="0"/>
    <x v="1"/>
    <x v="1"/>
    <n v="30000"/>
    <n v="10"/>
    <x v="3"/>
    <n v="24000"/>
    <n v="300000"/>
    <n v="240000"/>
    <n v="60000"/>
    <n v="441"/>
  </r>
  <r>
    <s v="2025-04-08"/>
    <x v="1"/>
    <x v="2"/>
    <x v="0"/>
    <s v="Corporate"/>
    <x v="1"/>
    <x v="2"/>
    <x v="1"/>
    <n v="60000"/>
    <n v="7"/>
    <x v="0"/>
    <n v="48000"/>
    <n v="420000"/>
    <n v="336000"/>
    <n v="84000"/>
    <n v="442"/>
  </r>
  <r>
    <s v="2025-03-19"/>
    <x v="3"/>
    <x v="3"/>
    <x v="0"/>
    <s v="Corporate"/>
    <x v="1"/>
    <x v="4"/>
    <x v="1"/>
    <n v="180000"/>
    <n v="4"/>
    <x v="5"/>
    <n v="144000"/>
    <n v="720000"/>
    <n v="576000"/>
    <n v="144000"/>
    <n v="443"/>
  </r>
  <r>
    <s v="2025-02-02"/>
    <x v="2"/>
    <x v="0"/>
    <x v="3"/>
    <s v="Retail"/>
    <x v="1"/>
    <x v="1"/>
    <x v="1"/>
    <n v="30000"/>
    <n v="7"/>
    <x v="3"/>
    <n v="24000"/>
    <n v="210000"/>
    <n v="168000"/>
    <n v="42000"/>
    <n v="444"/>
  </r>
  <r>
    <s v="2025-03-05"/>
    <x v="3"/>
    <x v="2"/>
    <x v="1"/>
    <s v="Corporate"/>
    <x v="1"/>
    <x v="7"/>
    <x v="2"/>
    <n v="420000"/>
    <n v="10"/>
    <x v="0"/>
    <n v="336000"/>
    <n v="4200000"/>
    <n v="3360000"/>
    <n v="840000"/>
    <n v="445"/>
  </r>
  <r>
    <s v="2025-02-23"/>
    <x v="2"/>
    <x v="1"/>
    <x v="0"/>
    <s v="Corporate"/>
    <x v="0"/>
    <x v="7"/>
    <x v="2"/>
    <n v="420000"/>
    <n v="7"/>
    <x v="3"/>
    <n v="336000"/>
    <n v="2940000"/>
    <n v="2352000"/>
    <n v="588000"/>
    <n v="446"/>
  </r>
  <r>
    <s v="2025-04-27"/>
    <x v="1"/>
    <x v="2"/>
    <x v="2"/>
    <s v="Retail"/>
    <x v="1"/>
    <x v="8"/>
    <x v="2"/>
    <n v="250000"/>
    <n v="5"/>
    <x v="1"/>
    <n v="200000"/>
    <n v="1250000"/>
    <n v="1000000"/>
    <n v="250000"/>
    <n v="447"/>
  </r>
  <r>
    <s v="2025-01-12"/>
    <x v="0"/>
    <x v="0"/>
    <x v="3"/>
    <s v="Corporate"/>
    <x v="0"/>
    <x v="7"/>
    <x v="2"/>
    <n v="420000"/>
    <n v="5"/>
    <x v="2"/>
    <n v="336000"/>
    <n v="2100000"/>
    <n v="1680000"/>
    <n v="420000"/>
    <n v="448"/>
  </r>
  <r>
    <s v="2025-04-13"/>
    <x v="1"/>
    <x v="1"/>
    <x v="2"/>
    <s v="Corporate"/>
    <x v="1"/>
    <x v="5"/>
    <x v="0"/>
    <n v="320000"/>
    <n v="2"/>
    <x v="2"/>
    <n v="256000"/>
    <n v="640000"/>
    <n v="512000"/>
    <n v="128000"/>
    <n v="449"/>
  </r>
  <r>
    <s v="2025-04-15"/>
    <x v="1"/>
    <x v="3"/>
    <x v="0"/>
    <s v="Retail"/>
    <x v="1"/>
    <x v="3"/>
    <x v="2"/>
    <n v="300000"/>
    <n v="10"/>
    <x v="4"/>
    <n v="240000"/>
    <n v="3000000"/>
    <n v="2400000"/>
    <n v="600000"/>
    <n v="450"/>
  </r>
  <r>
    <s v="2025-01-23"/>
    <x v="0"/>
    <x v="1"/>
    <x v="0"/>
    <s v="Retail"/>
    <x v="0"/>
    <x v="8"/>
    <x v="2"/>
    <n v="250000"/>
    <n v="5"/>
    <x v="4"/>
    <n v="200000"/>
    <n v="1250000"/>
    <n v="1000000"/>
    <n v="250000"/>
    <n v="451"/>
  </r>
  <r>
    <s v="2025-04-08"/>
    <x v="1"/>
    <x v="2"/>
    <x v="2"/>
    <s v="Corporate"/>
    <x v="1"/>
    <x v="8"/>
    <x v="2"/>
    <n v="250000"/>
    <n v="2"/>
    <x v="1"/>
    <n v="200000"/>
    <n v="500000"/>
    <n v="400000"/>
    <n v="100000"/>
    <n v="452"/>
  </r>
  <r>
    <s v="2025-01-21"/>
    <x v="0"/>
    <x v="3"/>
    <x v="1"/>
    <s v="Retail"/>
    <x v="1"/>
    <x v="4"/>
    <x v="1"/>
    <n v="180000"/>
    <n v="1"/>
    <x v="0"/>
    <n v="144000"/>
    <n v="180000"/>
    <n v="144000"/>
    <n v="36000"/>
    <n v="453"/>
  </r>
  <r>
    <s v="2025-03-30"/>
    <x v="3"/>
    <x v="1"/>
    <x v="1"/>
    <s v="Retail"/>
    <x v="1"/>
    <x v="5"/>
    <x v="0"/>
    <n v="320000"/>
    <n v="10"/>
    <x v="3"/>
    <n v="256000"/>
    <n v="3200000"/>
    <n v="2560000"/>
    <n v="640000"/>
    <n v="454"/>
  </r>
  <r>
    <s v="2025-02-11"/>
    <x v="2"/>
    <x v="2"/>
    <x v="2"/>
    <s v="Corporate"/>
    <x v="1"/>
    <x v="6"/>
    <x v="2"/>
    <n v="150000"/>
    <n v="2"/>
    <x v="0"/>
    <n v="120000"/>
    <n v="300000"/>
    <n v="240000"/>
    <n v="60000"/>
    <n v="455"/>
  </r>
  <r>
    <s v="2025-03-13"/>
    <x v="3"/>
    <x v="1"/>
    <x v="1"/>
    <s v="Retail"/>
    <x v="1"/>
    <x v="4"/>
    <x v="1"/>
    <n v="180000"/>
    <n v="10"/>
    <x v="2"/>
    <n v="144000"/>
    <n v="1800000"/>
    <n v="1440000"/>
    <n v="360000"/>
    <n v="456"/>
  </r>
  <r>
    <s v="2025-04-19"/>
    <x v="1"/>
    <x v="0"/>
    <x v="1"/>
    <s v="Retail"/>
    <x v="0"/>
    <x v="6"/>
    <x v="2"/>
    <n v="150000"/>
    <n v="2"/>
    <x v="2"/>
    <n v="120000"/>
    <n v="300000"/>
    <n v="240000"/>
    <n v="60000"/>
    <n v="457"/>
  </r>
  <r>
    <s v="2025-04-19"/>
    <x v="1"/>
    <x v="2"/>
    <x v="2"/>
    <s v="Corporate"/>
    <x v="1"/>
    <x v="2"/>
    <x v="1"/>
    <n v="60000"/>
    <n v="10"/>
    <x v="2"/>
    <n v="48000"/>
    <n v="600000"/>
    <n v="480000"/>
    <n v="120000"/>
    <n v="458"/>
  </r>
  <r>
    <s v="2025-03-18"/>
    <x v="3"/>
    <x v="0"/>
    <x v="3"/>
    <s v="Corporate"/>
    <x v="0"/>
    <x v="9"/>
    <x v="1"/>
    <n v="220000"/>
    <n v="4"/>
    <x v="3"/>
    <n v="176000"/>
    <n v="880000"/>
    <n v="704000"/>
    <n v="176000"/>
    <n v="459"/>
  </r>
  <r>
    <s v="2025-04-27"/>
    <x v="1"/>
    <x v="2"/>
    <x v="1"/>
    <s v="Retail"/>
    <x v="0"/>
    <x v="2"/>
    <x v="1"/>
    <n v="60000"/>
    <n v="5"/>
    <x v="3"/>
    <n v="48000"/>
    <n v="300000"/>
    <n v="240000"/>
    <n v="60000"/>
    <n v="460"/>
  </r>
  <r>
    <s v="2025-02-11"/>
    <x v="2"/>
    <x v="2"/>
    <x v="3"/>
    <s v="Corporate"/>
    <x v="0"/>
    <x v="8"/>
    <x v="2"/>
    <n v="250000"/>
    <n v="3"/>
    <x v="1"/>
    <n v="200000"/>
    <n v="750000"/>
    <n v="600000"/>
    <n v="150000"/>
    <n v="461"/>
  </r>
  <r>
    <s v="2025-01-16"/>
    <x v="0"/>
    <x v="2"/>
    <x v="1"/>
    <s v="Corporate"/>
    <x v="1"/>
    <x v="6"/>
    <x v="2"/>
    <n v="150000"/>
    <n v="1"/>
    <x v="4"/>
    <n v="120000"/>
    <n v="150000"/>
    <n v="120000"/>
    <n v="30000"/>
    <n v="462"/>
  </r>
  <r>
    <s v="2025-02-24"/>
    <x v="2"/>
    <x v="3"/>
    <x v="3"/>
    <s v="Corporate"/>
    <x v="1"/>
    <x v="9"/>
    <x v="1"/>
    <n v="220000"/>
    <n v="1"/>
    <x v="1"/>
    <n v="176000"/>
    <n v="220000"/>
    <n v="176000"/>
    <n v="44000"/>
    <n v="463"/>
  </r>
  <r>
    <s v="2025-01-04"/>
    <x v="0"/>
    <x v="1"/>
    <x v="2"/>
    <s v="Retail"/>
    <x v="1"/>
    <x v="8"/>
    <x v="2"/>
    <n v="250000"/>
    <n v="6"/>
    <x v="4"/>
    <n v="200000"/>
    <n v="1500000"/>
    <n v="1200000"/>
    <n v="300000"/>
    <n v="464"/>
  </r>
  <r>
    <s v="2025-03-19"/>
    <x v="3"/>
    <x v="0"/>
    <x v="3"/>
    <s v="Retail"/>
    <x v="1"/>
    <x v="9"/>
    <x v="1"/>
    <n v="220000"/>
    <n v="10"/>
    <x v="3"/>
    <n v="176000"/>
    <n v="2200000"/>
    <n v="1760000"/>
    <n v="440000"/>
    <n v="465"/>
  </r>
  <r>
    <s v="2025-04-26"/>
    <x v="1"/>
    <x v="1"/>
    <x v="0"/>
    <s v="Retail"/>
    <x v="1"/>
    <x v="4"/>
    <x v="1"/>
    <n v="180000"/>
    <n v="10"/>
    <x v="1"/>
    <n v="144000"/>
    <n v="1800000"/>
    <n v="1440000"/>
    <n v="360000"/>
    <n v="466"/>
  </r>
  <r>
    <s v="2025-03-10"/>
    <x v="3"/>
    <x v="0"/>
    <x v="0"/>
    <s v="Corporate"/>
    <x v="0"/>
    <x v="2"/>
    <x v="1"/>
    <n v="60000"/>
    <n v="6"/>
    <x v="5"/>
    <n v="48000"/>
    <n v="360000"/>
    <n v="288000"/>
    <n v="72000"/>
    <n v="467"/>
  </r>
  <r>
    <s v="2025-04-20"/>
    <x v="1"/>
    <x v="3"/>
    <x v="2"/>
    <s v="Retail"/>
    <x v="1"/>
    <x v="9"/>
    <x v="1"/>
    <n v="220000"/>
    <n v="4"/>
    <x v="1"/>
    <n v="176000"/>
    <n v="880000"/>
    <n v="704000"/>
    <n v="176000"/>
    <n v="468"/>
  </r>
  <r>
    <s v="2025-02-13"/>
    <x v="2"/>
    <x v="2"/>
    <x v="3"/>
    <s v="Corporate"/>
    <x v="0"/>
    <x v="6"/>
    <x v="2"/>
    <n v="150000"/>
    <n v="1"/>
    <x v="1"/>
    <n v="120000"/>
    <n v="150000"/>
    <n v="120000"/>
    <n v="30000"/>
    <n v="469"/>
  </r>
  <r>
    <s v="2025-02-03"/>
    <x v="2"/>
    <x v="2"/>
    <x v="2"/>
    <s v="Retail"/>
    <x v="1"/>
    <x v="4"/>
    <x v="1"/>
    <n v="180000"/>
    <n v="1"/>
    <x v="2"/>
    <n v="144000"/>
    <n v="180000"/>
    <n v="144000"/>
    <n v="36000"/>
    <n v="470"/>
  </r>
  <r>
    <s v="2025-04-11"/>
    <x v="1"/>
    <x v="1"/>
    <x v="3"/>
    <s v="Corporate"/>
    <x v="1"/>
    <x v="9"/>
    <x v="1"/>
    <n v="220000"/>
    <n v="8"/>
    <x v="2"/>
    <n v="176000"/>
    <n v="1760000"/>
    <n v="1408000"/>
    <n v="352000"/>
    <n v="471"/>
  </r>
  <r>
    <s v="2025-01-26"/>
    <x v="0"/>
    <x v="0"/>
    <x v="1"/>
    <s v="Retail"/>
    <x v="1"/>
    <x v="8"/>
    <x v="2"/>
    <n v="250000"/>
    <n v="3"/>
    <x v="1"/>
    <n v="200000"/>
    <n v="750000"/>
    <n v="600000"/>
    <n v="150000"/>
    <n v="472"/>
  </r>
  <r>
    <s v="2025-03-05"/>
    <x v="3"/>
    <x v="3"/>
    <x v="1"/>
    <s v="Corporate"/>
    <x v="1"/>
    <x v="2"/>
    <x v="1"/>
    <n v="60000"/>
    <n v="1"/>
    <x v="3"/>
    <n v="48000"/>
    <n v="60000"/>
    <n v="48000"/>
    <n v="12000"/>
    <n v="473"/>
  </r>
  <r>
    <s v="2025-04-13"/>
    <x v="1"/>
    <x v="1"/>
    <x v="3"/>
    <s v="Retail"/>
    <x v="1"/>
    <x v="5"/>
    <x v="0"/>
    <n v="320000"/>
    <n v="4"/>
    <x v="0"/>
    <n v="256000"/>
    <n v="1280000"/>
    <n v="1024000"/>
    <n v="256000"/>
    <n v="474"/>
  </r>
  <r>
    <s v="2025-03-15"/>
    <x v="3"/>
    <x v="2"/>
    <x v="2"/>
    <s v="Corporate"/>
    <x v="1"/>
    <x v="7"/>
    <x v="2"/>
    <n v="420000"/>
    <n v="8"/>
    <x v="1"/>
    <n v="336000"/>
    <n v="3360000"/>
    <n v="2688000"/>
    <n v="672000"/>
    <n v="475"/>
  </r>
  <r>
    <s v="2025-02-21"/>
    <x v="2"/>
    <x v="2"/>
    <x v="1"/>
    <s v="Corporate"/>
    <x v="1"/>
    <x v="7"/>
    <x v="2"/>
    <n v="420000"/>
    <n v="8"/>
    <x v="3"/>
    <n v="336000"/>
    <n v="3360000"/>
    <n v="2688000"/>
    <n v="672000"/>
    <n v="476"/>
  </r>
  <r>
    <s v="2025-01-30"/>
    <x v="0"/>
    <x v="3"/>
    <x v="1"/>
    <s v="Retail"/>
    <x v="1"/>
    <x v="2"/>
    <x v="1"/>
    <n v="60000"/>
    <n v="1"/>
    <x v="5"/>
    <n v="48000"/>
    <n v="60000"/>
    <n v="48000"/>
    <n v="12000"/>
    <n v="477"/>
  </r>
  <r>
    <s v="2025-03-04"/>
    <x v="3"/>
    <x v="1"/>
    <x v="0"/>
    <s v="Corporate"/>
    <x v="1"/>
    <x v="4"/>
    <x v="1"/>
    <n v="180000"/>
    <n v="8"/>
    <x v="1"/>
    <n v="144000"/>
    <n v="1440000"/>
    <n v="1152000"/>
    <n v="288000"/>
    <n v="478"/>
  </r>
  <r>
    <s v="2025-01-02"/>
    <x v="0"/>
    <x v="0"/>
    <x v="1"/>
    <s v="Corporate"/>
    <x v="1"/>
    <x v="4"/>
    <x v="1"/>
    <n v="180000"/>
    <n v="2"/>
    <x v="1"/>
    <n v="144000"/>
    <n v="360000"/>
    <n v="288000"/>
    <n v="72000"/>
    <n v="479"/>
  </r>
  <r>
    <s v="2025-04-20"/>
    <x v="1"/>
    <x v="2"/>
    <x v="1"/>
    <s v="Corporate"/>
    <x v="0"/>
    <x v="3"/>
    <x v="2"/>
    <n v="300000"/>
    <n v="7"/>
    <x v="3"/>
    <n v="240000"/>
    <n v="2100000"/>
    <n v="1680000"/>
    <n v="420000"/>
    <n v="480"/>
  </r>
  <r>
    <s v="2025-01-10"/>
    <x v="0"/>
    <x v="0"/>
    <x v="2"/>
    <s v="Retail"/>
    <x v="0"/>
    <x v="8"/>
    <x v="2"/>
    <n v="250000"/>
    <n v="6"/>
    <x v="3"/>
    <n v="200000"/>
    <n v="1500000"/>
    <n v="1200000"/>
    <n v="300000"/>
    <n v="481"/>
  </r>
  <r>
    <s v="2025-04-10"/>
    <x v="1"/>
    <x v="3"/>
    <x v="2"/>
    <s v="Retail"/>
    <x v="1"/>
    <x v="6"/>
    <x v="2"/>
    <n v="150000"/>
    <n v="5"/>
    <x v="1"/>
    <n v="120000"/>
    <n v="750000"/>
    <n v="600000"/>
    <n v="150000"/>
    <n v="482"/>
  </r>
  <r>
    <s v="2025-03-09"/>
    <x v="3"/>
    <x v="0"/>
    <x v="3"/>
    <s v="Retail"/>
    <x v="0"/>
    <x v="0"/>
    <x v="0"/>
    <n v="85000"/>
    <n v="10"/>
    <x v="1"/>
    <n v="68000"/>
    <n v="850000"/>
    <n v="680000"/>
    <n v="170000"/>
    <n v="483"/>
  </r>
  <r>
    <s v="2025-01-15"/>
    <x v="0"/>
    <x v="3"/>
    <x v="3"/>
    <s v="Retail"/>
    <x v="0"/>
    <x v="0"/>
    <x v="0"/>
    <n v="85000"/>
    <n v="8"/>
    <x v="3"/>
    <n v="68000"/>
    <n v="680000"/>
    <n v="544000"/>
    <n v="136000"/>
    <n v="484"/>
  </r>
  <r>
    <s v="2025-05-01"/>
    <x v="4"/>
    <x v="2"/>
    <x v="0"/>
    <s v="Retail"/>
    <x v="0"/>
    <x v="0"/>
    <x v="0"/>
    <n v="85000"/>
    <n v="2"/>
    <x v="2"/>
    <n v="68000"/>
    <n v="170000"/>
    <n v="136000"/>
    <n v="34000"/>
    <n v="485"/>
  </r>
  <r>
    <s v="2025-03-05"/>
    <x v="3"/>
    <x v="0"/>
    <x v="3"/>
    <s v="Retail"/>
    <x v="0"/>
    <x v="8"/>
    <x v="2"/>
    <n v="250000"/>
    <n v="4"/>
    <x v="0"/>
    <n v="200000"/>
    <n v="1000000"/>
    <n v="800000"/>
    <n v="200000"/>
    <n v="486"/>
  </r>
  <r>
    <s v="2025-04-26"/>
    <x v="1"/>
    <x v="2"/>
    <x v="0"/>
    <s v="Retail"/>
    <x v="0"/>
    <x v="6"/>
    <x v="2"/>
    <n v="150000"/>
    <n v="6"/>
    <x v="5"/>
    <n v="120000"/>
    <n v="900000"/>
    <n v="720000"/>
    <n v="180000"/>
    <n v="487"/>
  </r>
  <r>
    <s v="2025-02-27"/>
    <x v="2"/>
    <x v="2"/>
    <x v="3"/>
    <s v="Corporate"/>
    <x v="1"/>
    <x v="4"/>
    <x v="1"/>
    <n v="180000"/>
    <n v="10"/>
    <x v="4"/>
    <n v="144000"/>
    <n v="1800000"/>
    <n v="1440000"/>
    <n v="360000"/>
    <n v="488"/>
  </r>
  <r>
    <s v="2025-03-25"/>
    <x v="3"/>
    <x v="2"/>
    <x v="3"/>
    <s v="Retail"/>
    <x v="0"/>
    <x v="6"/>
    <x v="2"/>
    <n v="150000"/>
    <n v="8"/>
    <x v="0"/>
    <n v="120000"/>
    <n v="1200000"/>
    <n v="960000"/>
    <n v="240000"/>
    <n v="489"/>
  </r>
  <r>
    <s v="2025-01-22"/>
    <x v="0"/>
    <x v="2"/>
    <x v="1"/>
    <s v="Retail"/>
    <x v="0"/>
    <x v="4"/>
    <x v="1"/>
    <n v="180000"/>
    <n v="8"/>
    <x v="1"/>
    <n v="144000"/>
    <n v="1440000"/>
    <n v="1152000"/>
    <n v="288000"/>
    <n v="490"/>
  </r>
  <r>
    <s v="2025-02-20"/>
    <x v="2"/>
    <x v="1"/>
    <x v="2"/>
    <s v="Corporate"/>
    <x v="0"/>
    <x v="6"/>
    <x v="2"/>
    <n v="150000"/>
    <n v="6"/>
    <x v="3"/>
    <n v="120000"/>
    <n v="900000"/>
    <n v="720000"/>
    <n v="180000"/>
    <n v="491"/>
  </r>
  <r>
    <s v="2025-04-13"/>
    <x v="1"/>
    <x v="2"/>
    <x v="3"/>
    <s v="Corporate"/>
    <x v="1"/>
    <x v="6"/>
    <x v="2"/>
    <n v="150000"/>
    <n v="4"/>
    <x v="5"/>
    <n v="120000"/>
    <n v="600000"/>
    <n v="480000"/>
    <n v="120000"/>
    <n v="492"/>
  </r>
  <r>
    <s v="2025-01-03"/>
    <x v="0"/>
    <x v="0"/>
    <x v="1"/>
    <s v="Retail"/>
    <x v="0"/>
    <x v="4"/>
    <x v="1"/>
    <n v="180000"/>
    <n v="1"/>
    <x v="3"/>
    <n v="144000"/>
    <n v="180000"/>
    <n v="144000"/>
    <n v="36000"/>
    <n v="493"/>
  </r>
  <r>
    <s v="2025-04-13"/>
    <x v="1"/>
    <x v="3"/>
    <x v="1"/>
    <s v="Retail"/>
    <x v="0"/>
    <x v="8"/>
    <x v="2"/>
    <n v="250000"/>
    <n v="6"/>
    <x v="5"/>
    <n v="200000"/>
    <n v="1500000"/>
    <n v="1200000"/>
    <n v="300000"/>
    <n v="494"/>
  </r>
  <r>
    <s v="2025-03-05"/>
    <x v="3"/>
    <x v="2"/>
    <x v="0"/>
    <s v="Retail"/>
    <x v="0"/>
    <x v="2"/>
    <x v="1"/>
    <n v="60000"/>
    <n v="6"/>
    <x v="1"/>
    <n v="48000"/>
    <n v="360000"/>
    <n v="288000"/>
    <n v="72000"/>
    <n v="495"/>
  </r>
  <r>
    <s v="2025-01-26"/>
    <x v="0"/>
    <x v="3"/>
    <x v="3"/>
    <s v="Corporate"/>
    <x v="1"/>
    <x v="6"/>
    <x v="2"/>
    <n v="150000"/>
    <n v="2"/>
    <x v="1"/>
    <n v="120000"/>
    <n v="300000"/>
    <n v="240000"/>
    <n v="60000"/>
    <n v="496"/>
  </r>
  <r>
    <s v="2025-02-04"/>
    <x v="2"/>
    <x v="1"/>
    <x v="2"/>
    <s v="Corporate"/>
    <x v="0"/>
    <x v="0"/>
    <x v="0"/>
    <n v="85000"/>
    <n v="2"/>
    <x v="0"/>
    <n v="68000"/>
    <n v="170000"/>
    <n v="136000"/>
    <n v="34000"/>
    <n v="497"/>
  </r>
  <r>
    <s v="2025-02-24"/>
    <x v="2"/>
    <x v="2"/>
    <x v="1"/>
    <s v="Retail"/>
    <x v="1"/>
    <x v="3"/>
    <x v="2"/>
    <n v="300000"/>
    <n v="5"/>
    <x v="3"/>
    <n v="240000"/>
    <n v="1500000"/>
    <n v="1200000"/>
    <n v="300000"/>
    <n v="498"/>
  </r>
  <r>
    <s v="2025-04-16"/>
    <x v="1"/>
    <x v="1"/>
    <x v="2"/>
    <s v="Corporate"/>
    <x v="0"/>
    <x v="7"/>
    <x v="2"/>
    <n v="420000"/>
    <n v="10"/>
    <x v="3"/>
    <n v="336000"/>
    <n v="4200000"/>
    <n v="3360000"/>
    <n v="840000"/>
    <n v="499"/>
  </r>
  <r>
    <s v="2025-01-14"/>
    <x v="0"/>
    <x v="0"/>
    <x v="3"/>
    <s v="Corporate"/>
    <x v="0"/>
    <x v="4"/>
    <x v="1"/>
    <n v="180000"/>
    <n v="6"/>
    <x v="1"/>
    <n v="144000"/>
    <n v="1080000"/>
    <n v="864000"/>
    <n v="216000"/>
    <n v="500"/>
  </r>
  <r>
    <s v="2025-03-08"/>
    <x v="3"/>
    <x v="1"/>
    <x v="3"/>
    <s v="Retail"/>
    <x v="1"/>
    <x v="0"/>
    <x v="0"/>
    <n v="85000"/>
    <n v="4"/>
    <x v="3"/>
    <n v="68000"/>
    <n v="340000"/>
    <n v="272000"/>
    <n v="68000"/>
    <n v="501"/>
  </r>
  <r>
    <s v="2025-02-20"/>
    <x v="2"/>
    <x v="3"/>
    <x v="2"/>
    <s v="Corporate"/>
    <x v="0"/>
    <x v="3"/>
    <x v="2"/>
    <n v="300000"/>
    <n v="4"/>
    <x v="4"/>
    <n v="240000"/>
    <n v="1200000"/>
    <n v="960000"/>
    <n v="240000"/>
    <n v="502"/>
  </r>
  <r>
    <s v="2025-01-28"/>
    <x v="0"/>
    <x v="2"/>
    <x v="3"/>
    <s v="Retail"/>
    <x v="0"/>
    <x v="0"/>
    <x v="0"/>
    <n v="85000"/>
    <n v="3"/>
    <x v="3"/>
    <n v="68000"/>
    <n v="255000"/>
    <n v="204000"/>
    <n v="51000"/>
    <n v="503"/>
  </r>
  <r>
    <s v="2025-02-08"/>
    <x v="2"/>
    <x v="3"/>
    <x v="0"/>
    <s v="Retail"/>
    <x v="1"/>
    <x v="9"/>
    <x v="1"/>
    <n v="220000"/>
    <n v="9"/>
    <x v="4"/>
    <n v="176000"/>
    <n v="1980000"/>
    <n v="1584000"/>
    <n v="396000"/>
    <n v="504"/>
  </r>
  <r>
    <s v="2025-04-01"/>
    <x v="1"/>
    <x v="0"/>
    <x v="2"/>
    <s v="Corporate"/>
    <x v="0"/>
    <x v="4"/>
    <x v="1"/>
    <n v="180000"/>
    <n v="3"/>
    <x v="3"/>
    <n v="144000"/>
    <n v="540000"/>
    <n v="432000"/>
    <n v="108000"/>
    <n v="505"/>
  </r>
  <r>
    <s v="2025-03-22"/>
    <x v="3"/>
    <x v="1"/>
    <x v="1"/>
    <s v="Corporate"/>
    <x v="1"/>
    <x v="3"/>
    <x v="2"/>
    <n v="300000"/>
    <n v="9"/>
    <x v="1"/>
    <n v="240000"/>
    <n v="2700000"/>
    <n v="2160000"/>
    <n v="540000"/>
    <n v="506"/>
  </r>
  <r>
    <s v="2025-03-27"/>
    <x v="3"/>
    <x v="3"/>
    <x v="0"/>
    <s v="Corporate"/>
    <x v="1"/>
    <x v="6"/>
    <x v="2"/>
    <n v="150000"/>
    <n v="4"/>
    <x v="2"/>
    <n v="120000"/>
    <n v="600000"/>
    <n v="480000"/>
    <n v="120000"/>
    <n v="507"/>
  </r>
  <r>
    <s v="2025-01-28"/>
    <x v="0"/>
    <x v="1"/>
    <x v="3"/>
    <s v="Corporate"/>
    <x v="1"/>
    <x v="5"/>
    <x v="0"/>
    <n v="320000"/>
    <n v="8"/>
    <x v="4"/>
    <n v="256000"/>
    <n v="2560000"/>
    <n v="2048000"/>
    <n v="512000"/>
    <n v="508"/>
  </r>
  <r>
    <s v="2025-01-10"/>
    <x v="0"/>
    <x v="3"/>
    <x v="3"/>
    <s v="Retail"/>
    <x v="0"/>
    <x v="5"/>
    <x v="0"/>
    <n v="320000"/>
    <n v="7"/>
    <x v="5"/>
    <n v="256000"/>
    <n v="2240000"/>
    <n v="1792000"/>
    <n v="448000"/>
    <n v="509"/>
  </r>
  <r>
    <s v="2025-03-17"/>
    <x v="3"/>
    <x v="1"/>
    <x v="3"/>
    <s v="Retail"/>
    <x v="1"/>
    <x v="9"/>
    <x v="1"/>
    <n v="220000"/>
    <n v="10"/>
    <x v="2"/>
    <n v="176000"/>
    <n v="2200000"/>
    <n v="1760000"/>
    <n v="440000"/>
    <n v="510"/>
  </r>
  <r>
    <s v="2025-03-03"/>
    <x v="3"/>
    <x v="2"/>
    <x v="1"/>
    <s v="Retail"/>
    <x v="1"/>
    <x v="1"/>
    <x v="1"/>
    <n v="30000"/>
    <n v="7"/>
    <x v="2"/>
    <n v="24000"/>
    <n v="210000"/>
    <n v="168000"/>
    <n v="42000"/>
    <n v="511"/>
  </r>
  <r>
    <s v="2025-04-14"/>
    <x v="1"/>
    <x v="1"/>
    <x v="2"/>
    <s v="Retail"/>
    <x v="0"/>
    <x v="5"/>
    <x v="0"/>
    <n v="320000"/>
    <n v="2"/>
    <x v="2"/>
    <n v="256000"/>
    <n v="640000"/>
    <n v="512000"/>
    <n v="128000"/>
    <n v="512"/>
  </r>
  <r>
    <s v="2025-01-13"/>
    <x v="0"/>
    <x v="3"/>
    <x v="2"/>
    <s v="Corporate"/>
    <x v="1"/>
    <x v="3"/>
    <x v="2"/>
    <n v="300000"/>
    <n v="3"/>
    <x v="4"/>
    <n v="240000"/>
    <n v="900000"/>
    <n v="720000"/>
    <n v="180000"/>
    <n v="513"/>
  </r>
  <r>
    <s v="2025-04-29"/>
    <x v="1"/>
    <x v="2"/>
    <x v="0"/>
    <s v="Retail"/>
    <x v="0"/>
    <x v="3"/>
    <x v="2"/>
    <n v="300000"/>
    <n v="3"/>
    <x v="2"/>
    <n v="240000"/>
    <n v="900000"/>
    <n v="720000"/>
    <n v="180000"/>
    <n v="514"/>
  </r>
  <r>
    <s v="2025-02-12"/>
    <x v="2"/>
    <x v="2"/>
    <x v="3"/>
    <s v="Retail"/>
    <x v="1"/>
    <x v="6"/>
    <x v="2"/>
    <n v="150000"/>
    <n v="10"/>
    <x v="2"/>
    <n v="120000"/>
    <n v="1500000"/>
    <n v="1200000"/>
    <n v="300000"/>
    <n v="515"/>
  </r>
  <r>
    <s v="2025-04-05"/>
    <x v="1"/>
    <x v="2"/>
    <x v="1"/>
    <s v="Corporate"/>
    <x v="1"/>
    <x v="1"/>
    <x v="1"/>
    <n v="30000"/>
    <n v="7"/>
    <x v="3"/>
    <n v="24000"/>
    <n v="210000"/>
    <n v="168000"/>
    <n v="42000"/>
    <n v="516"/>
  </r>
  <r>
    <s v="2025-04-18"/>
    <x v="1"/>
    <x v="0"/>
    <x v="0"/>
    <s v="Retail"/>
    <x v="0"/>
    <x v="2"/>
    <x v="1"/>
    <n v="60000"/>
    <n v="2"/>
    <x v="4"/>
    <n v="48000"/>
    <n v="120000"/>
    <n v="96000"/>
    <n v="24000"/>
    <n v="517"/>
  </r>
  <r>
    <s v="2025-01-11"/>
    <x v="0"/>
    <x v="1"/>
    <x v="1"/>
    <s v="Retail"/>
    <x v="0"/>
    <x v="3"/>
    <x v="2"/>
    <n v="300000"/>
    <n v="8"/>
    <x v="0"/>
    <n v="240000"/>
    <n v="2400000"/>
    <n v="1920000"/>
    <n v="480000"/>
    <n v="518"/>
  </r>
  <r>
    <s v="2025-03-31"/>
    <x v="3"/>
    <x v="3"/>
    <x v="1"/>
    <s v="Corporate"/>
    <x v="1"/>
    <x v="1"/>
    <x v="1"/>
    <n v="30000"/>
    <n v="6"/>
    <x v="2"/>
    <n v="24000"/>
    <n v="180000"/>
    <n v="144000"/>
    <n v="36000"/>
    <n v="519"/>
  </r>
  <r>
    <s v="2025-02-12"/>
    <x v="2"/>
    <x v="0"/>
    <x v="1"/>
    <s v="Corporate"/>
    <x v="0"/>
    <x v="8"/>
    <x v="2"/>
    <n v="250000"/>
    <n v="6"/>
    <x v="1"/>
    <n v="200000"/>
    <n v="1500000"/>
    <n v="1200000"/>
    <n v="300000"/>
    <n v="520"/>
  </r>
  <r>
    <s v="2025-03-02"/>
    <x v="3"/>
    <x v="1"/>
    <x v="3"/>
    <s v="Retail"/>
    <x v="0"/>
    <x v="7"/>
    <x v="2"/>
    <n v="420000"/>
    <n v="10"/>
    <x v="3"/>
    <n v="336000"/>
    <n v="4200000"/>
    <n v="3360000"/>
    <n v="840000"/>
    <n v="521"/>
  </r>
  <r>
    <s v="2025-03-10"/>
    <x v="3"/>
    <x v="2"/>
    <x v="3"/>
    <s v="Retail"/>
    <x v="0"/>
    <x v="2"/>
    <x v="1"/>
    <n v="60000"/>
    <n v="9"/>
    <x v="5"/>
    <n v="48000"/>
    <n v="540000"/>
    <n v="432000"/>
    <n v="108000"/>
    <n v="522"/>
  </r>
  <r>
    <s v="2025-01-14"/>
    <x v="0"/>
    <x v="1"/>
    <x v="2"/>
    <s v="Corporate"/>
    <x v="1"/>
    <x v="4"/>
    <x v="1"/>
    <n v="180000"/>
    <n v="4"/>
    <x v="0"/>
    <n v="144000"/>
    <n v="720000"/>
    <n v="576000"/>
    <n v="144000"/>
    <n v="523"/>
  </r>
  <r>
    <s v="2025-02-17"/>
    <x v="2"/>
    <x v="3"/>
    <x v="2"/>
    <s v="Retail"/>
    <x v="1"/>
    <x v="4"/>
    <x v="1"/>
    <n v="180000"/>
    <n v="10"/>
    <x v="0"/>
    <n v="144000"/>
    <n v="1800000"/>
    <n v="1440000"/>
    <n v="360000"/>
    <n v="524"/>
  </r>
  <r>
    <s v="2025-04-03"/>
    <x v="1"/>
    <x v="3"/>
    <x v="1"/>
    <s v="Corporate"/>
    <x v="0"/>
    <x v="1"/>
    <x v="1"/>
    <n v="30000"/>
    <n v="1"/>
    <x v="4"/>
    <n v="24000"/>
    <n v="30000"/>
    <n v="24000"/>
    <n v="6000"/>
    <n v="525"/>
  </r>
  <r>
    <s v="2025-04-19"/>
    <x v="1"/>
    <x v="1"/>
    <x v="2"/>
    <s v="Retail"/>
    <x v="1"/>
    <x v="7"/>
    <x v="2"/>
    <n v="420000"/>
    <n v="3"/>
    <x v="3"/>
    <n v="336000"/>
    <n v="1260000"/>
    <n v="1008000"/>
    <n v="252000"/>
    <n v="526"/>
  </r>
  <r>
    <s v="2025-04-07"/>
    <x v="1"/>
    <x v="1"/>
    <x v="0"/>
    <s v="Retail"/>
    <x v="1"/>
    <x v="1"/>
    <x v="1"/>
    <n v="30000"/>
    <n v="8"/>
    <x v="3"/>
    <n v="24000"/>
    <n v="240000"/>
    <n v="192000"/>
    <n v="48000"/>
    <n v="527"/>
  </r>
  <r>
    <s v="2025-03-23"/>
    <x v="3"/>
    <x v="2"/>
    <x v="3"/>
    <s v="Corporate"/>
    <x v="0"/>
    <x v="5"/>
    <x v="0"/>
    <n v="320000"/>
    <n v="2"/>
    <x v="2"/>
    <n v="256000"/>
    <n v="640000"/>
    <n v="512000"/>
    <n v="128000"/>
    <n v="528"/>
  </r>
  <r>
    <s v="2025-04-28"/>
    <x v="1"/>
    <x v="0"/>
    <x v="1"/>
    <s v="Corporate"/>
    <x v="1"/>
    <x v="6"/>
    <x v="2"/>
    <n v="150000"/>
    <n v="10"/>
    <x v="2"/>
    <n v="120000"/>
    <n v="1500000"/>
    <n v="1200000"/>
    <n v="300000"/>
    <n v="529"/>
  </r>
  <r>
    <s v="2025-04-05"/>
    <x v="1"/>
    <x v="3"/>
    <x v="2"/>
    <s v="Corporate"/>
    <x v="0"/>
    <x v="8"/>
    <x v="2"/>
    <n v="250000"/>
    <n v="9"/>
    <x v="1"/>
    <n v="200000"/>
    <n v="2250000"/>
    <n v="1800000"/>
    <n v="450000"/>
    <n v="530"/>
  </r>
  <r>
    <s v="2025-04-12"/>
    <x v="1"/>
    <x v="2"/>
    <x v="2"/>
    <s v="Corporate"/>
    <x v="1"/>
    <x v="9"/>
    <x v="1"/>
    <n v="220000"/>
    <n v="5"/>
    <x v="1"/>
    <n v="176000"/>
    <n v="1100000"/>
    <n v="880000"/>
    <n v="220000"/>
    <n v="531"/>
  </r>
  <r>
    <s v="2025-03-29"/>
    <x v="3"/>
    <x v="0"/>
    <x v="2"/>
    <s v="Retail"/>
    <x v="1"/>
    <x v="6"/>
    <x v="2"/>
    <n v="150000"/>
    <n v="5"/>
    <x v="0"/>
    <n v="120000"/>
    <n v="750000"/>
    <n v="600000"/>
    <n v="150000"/>
    <n v="532"/>
  </r>
  <r>
    <s v="2025-02-02"/>
    <x v="2"/>
    <x v="1"/>
    <x v="3"/>
    <s v="Corporate"/>
    <x v="1"/>
    <x v="9"/>
    <x v="1"/>
    <n v="220000"/>
    <n v="8"/>
    <x v="4"/>
    <n v="176000"/>
    <n v="1760000"/>
    <n v="1408000"/>
    <n v="352000"/>
    <n v="533"/>
  </r>
  <r>
    <s v="2025-03-15"/>
    <x v="3"/>
    <x v="1"/>
    <x v="1"/>
    <s v="Retail"/>
    <x v="0"/>
    <x v="0"/>
    <x v="0"/>
    <n v="85000"/>
    <n v="4"/>
    <x v="3"/>
    <n v="68000"/>
    <n v="340000"/>
    <n v="272000"/>
    <n v="68000"/>
    <n v="534"/>
  </r>
  <r>
    <s v="2025-04-04"/>
    <x v="1"/>
    <x v="2"/>
    <x v="2"/>
    <s v="Retail"/>
    <x v="0"/>
    <x v="5"/>
    <x v="0"/>
    <n v="320000"/>
    <n v="4"/>
    <x v="3"/>
    <n v="256000"/>
    <n v="1280000"/>
    <n v="1024000"/>
    <n v="256000"/>
    <n v="535"/>
  </r>
  <r>
    <s v="2025-01-03"/>
    <x v="0"/>
    <x v="1"/>
    <x v="2"/>
    <s v="Corporate"/>
    <x v="0"/>
    <x v="8"/>
    <x v="2"/>
    <n v="250000"/>
    <n v="2"/>
    <x v="1"/>
    <n v="200000"/>
    <n v="500000"/>
    <n v="400000"/>
    <n v="100000"/>
    <n v="536"/>
  </r>
  <r>
    <s v="2025-01-07"/>
    <x v="0"/>
    <x v="1"/>
    <x v="0"/>
    <s v="Retail"/>
    <x v="0"/>
    <x v="3"/>
    <x v="2"/>
    <n v="300000"/>
    <n v="5"/>
    <x v="1"/>
    <n v="240000"/>
    <n v="1500000"/>
    <n v="1200000"/>
    <n v="300000"/>
    <n v="537"/>
  </r>
  <r>
    <s v="2025-02-15"/>
    <x v="2"/>
    <x v="1"/>
    <x v="2"/>
    <s v="Retail"/>
    <x v="0"/>
    <x v="2"/>
    <x v="1"/>
    <n v="60000"/>
    <n v="9"/>
    <x v="2"/>
    <n v="48000"/>
    <n v="540000"/>
    <n v="432000"/>
    <n v="108000"/>
    <n v="538"/>
  </r>
  <r>
    <s v="2025-01-22"/>
    <x v="0"/>
    <x v="1"/>
    <x v="2"/>
    <s v="Corporate"/>
    <x v="0"/>
    <x v="6"/>
    <x v="2"/>
    <n v="150000"/>
    <n v="6"/>
    <x v="2"/>
    <n v="120000"/>
    <n v="900000"/>
    <n v="720000"/>
    <n v="180000"/>
    <n v="539"/>
  </r>
  <r>
    <s v="2025-01-16"/>
    <x v="0"/>
    <x v="2"/>
    <x v="2"/>
    <s v="Corporate"/>
    <x v="1"/>
    <x v="0"/>
    <x v="0"/>
    <n v="85000"/>
    <n v="3"/>
    <x v="3"/>
    <n v="68000"/>
    <n v="255000"/>
    <n v="204000"/>
    <n v="51000"/>
    <n v="540"/>
  </r>
  <r>
    <s v="2025-03-10"/>
    <x v="3"/>
    <x v="2"/>
    <x v="1"/>
    <s v="Corporate"/>
    <x v="1"/>
    <x v="5"/>
    <x v="0"/>
    <n v="320000"/>
    <n v="8"/>
    <x v="2"/>
    <n v="256000"/>
    <n v="2560000"/>
    <n v="2048000"/>
    <n v="512000"/>
    <n v="541"/>
  </r>
  <r>
    <s v="2025-03-30"/>
    <x v="3"/>
    <x v="1"/>
    <x v="0"/>
    <s v="Corporate"/>
    <x v="0"/>
    <x v="8"/>
    <x v="2"/>
    <n v="250000"/>
    <n v="1"/>
    <x v="3"/>
    <n v="200000"/>
    <n v="250000"/>
    <n v="200000"/>
    <n v="50000"/>
    <n v="542"/>
  </r>
  <r>
    <s v="2025-03-25"/>
    <x v="3"/>
    <x v="0"/>
    <x v="1"/>
    <s v="Corporate"/>
    <x v="1"/>
    <x v="4"/>
    <x v="1"/>
    <n v="180000"/>
    <n v="4"/>
    <x v="0"/>
    <n v="144000"/>
    <n v="720000"/>
    <n v="576000"/>
    <n v="144000"/>
    <n v="543"/>
  </r>
  <r>
    <s v="2025-01-09"/>
    <x v="0"/>
    <x v="1"/>
    <x v="2"/>
    <s v="Retail"/>
    <x v="0"/>
    <x v="2"/>
    <x v="1"/>
    <n v="60000"/>
    <n v="6"/>
    <x v="5"/>
    <n v="48000"/>
    <n v="360000"/>
    <n v="288000"/>
    <n v="72000"/>
    <n v="544"/>
  </r>
  <r>
    <s v="2025-01-27"/>
    <x v="0"/>
    <x v="3"/>
    <x v="3"/>
    <s v="Retail"/>
    <x v="1"/>
    <x v="4"/>
    <x v="1"/>
    <n v="180000"/>
    <n v="7"/>
    <x v="0"/>
    <n v="144000"/>
    <n v="1260000"/>
    <n v="1008000"/>
    <n v="252000"/>
    <n v="545"/>
  </r>
  <r>
    <s v="2025-01-29"/>
    <x v="0"/>
    <x v="3"/>
    <x v="1"/>
    <s v="Retail"/>
    <x v="0"/>
    <x v="6"/>
    <x v="2"/>
    <n v="150000"/>
    <n v="10"/>
    <x v="4"/>
    <n v="120000"/>
    <n v="1500000"/>
    <n v="1200000"/>
    <n v="300000"/>
    <n v="546"/>
  </r>
  <r>
    <s v="2025-03-31"/>
    <x v="3"/>
    <x v="1"/>
    <x v="2"/>
    <s v="Retail"/>
    <x v="1"/>
    <x v="5"/>
    <x v="0"/>
    <n v="320000"/>
    <n v="5"/>
    <x v="4"/>
    <n v="256000"/>
    <n v="1600000"/>
    <n v="1280000"/>
    <n v="320000"/>
    <n v="547"/>
  </r>
  <r>
    <s v="2025-03-26"/>
    <x v="3"/>
    <x v="0"/>
    <x v="0"/>
    <s v="Corporate"/>
    <x v="1"/>
    <x v="6"/>
    <x v="2"/>
    <n v="150000"/>
    <n v="7"/>
    <x v="1"/>
    <n v="120000"/>
    <n v="1050000"/>
    <n v="840000"/>
    <n v="210000"/>
    <n v="548"/>
  </r>
  <r>
    <s v="2025-04-25"/>
    <x v="1"/>
    <x v="1"/>
    <x v="0"/>
    <s v="Corporate"/>
    <x v="0"/>
    <x v="6"/>
    <x v="2"/>
    <n v="150000"/>
    <n v="4"/>
    <x v="4"/>
    <n v="120000"/>
    <n v="600000"/>
    <n v="480000"/>
    <n v="120000"/>
    <n v="549"/>
  </r>
  <r>
    <s v="2025-02-17"/>
    <x v="2"/>
    <x v="3"/>
    <x v="2"/>
    <s v="Corporate"/>
    <x v="0"/>
    <x v="3"/>
    <x v="2"/>
    <n v="300000"/>
    <n v="6"/>
    <x v="2"/>
    <n v="240000"/>
    <n v="1800000"/>
    <n v="1440000"/>
    <n v="360000"/>
    <n v="550"/>
  </r>
  <r>
    <s v="2025-02-13"/>
    <x v="2"/>
    <x v="3"/>
    <x v="0"/>
    <s v="Retail"/>
    <x v="1"/>
    <x v="5"/>
    <x v="0"/>
    <n v="320000"/>
    <n v="4"/>
    <x v="2"/>
    <n v="256000"/>
    <n v="1280000"/>
    <n v="1024000"/>
    <n v="256000"/>
    <n v="551"/>
  </r>
  <r>
    <s v="2025-02-18"/>
    <x v="2"/>
    <x v="2"/>
    <x v="1"/>
    <s v="Corporate"/>
    <x v="0"/>
    <x v="1"/>
    <x v="1"/>
    <n v="30000"/>
    <n v="4"/>
    <x v="1"/>
    <n v="24000"/>
    <n v="120000"/>
    <n v="96000"/>
    <n v="24000"/>
    <n v="552"/>
  </r>
  <r>
    <s v="2025-01-29"/>
    <x v="0"/>
    <x v="1"/>
    <x v="2"/>
    <s v="Corporate"/>
    <x v="0"/>
    <x v="6"/>
    <x v="2"/>
    <n v="150000"/>
    <n v="8"/>
    <x v="5"/>
    <n v="120000"/>
    <n v="1200000"/>
    <n v="960000"/>
    <n v="240000"/>
    <n v="553"/>
  </r>
  <r>
    <s v="2025-01-02"/>
    <x v="0"/>
    <x v="2"/>
    <x v="1"/>
    <s v="Retail"/>
    <x v="1"/>
    <x v="8"/>
    <x v="2"/>
    <n v="250000"/>
    <n v="8"/>
    <x v="4"/>
    <n v="200000"/>
    <n v="2000000"/>
    <n v="1600000"/>
    <n v="400000"/>
    <n v="554"/>
  </r>
  <r>
    <s v="2025-03-17"/>
    <x v="3"/>
    <x v="3"/>
    <x v="1"/>
    <s v="Corporate"/>
    <x v="0"/>
    <x v="1"/>
    <x v="1"/>
    <n v="30000"/>
    <n v="4"/>
    <x v="5"/>
    <n v="24000"/>
    <n v="120000"/>
    <n v="96000"/>
    <n v="24000"/>
    <n v="555"/>
  </r>
  <r>
    <s v="2025-01-29"/>
    <x v="0"/>
    <x v="2"/>
    <x v="0"/>
    <s v="Corporate"/>
    <x v="0"/>
    <x v="7"/>
    <x v="2"/>
    <n v="420000"/>
    <n v="2"/>
    <x v="4"/>
    <n v="336000"/>
    <n v="840000"/>
    <n v="672000"/>
    <n v="168000"/>
    <n v="556"/>
  </r>
  <r>
    <s v="2025-03-31"/>
    <x v="3"/>
    <x v="2"/>
    <x v="0"/>
    <s v="Corporate"/>
    <x v="1"/>
    <x v="1"/>
    <x v="1"/>
    <n v="30000"/>
    <n v="6"/>
    <x v="4"/>
    <n v="24000"/>
    <n v="180000"/>
    <n v="144000"/>
    <n v="36000"/>
    <n v="557"/>
  </r>
  <r>
    <s v="2025-03-25"/>
    <x v="3"/>
    <x v="3"/>
    <x v="3"/>
    <s v="Corporate"/>
    <x v="0"/>
    <x v="9"/>
    <x v="1"/>
    <n v="220000"/>
    <n v="2"/>
    <x v="3"/>
    <n v="176000"/>
    <n v="440000"/>
    <n v="352000"/>
    <n v="88000"/>
    <n v="558"/>
  </r>
  <r>
    <s v="2025-02-02"/>
    <x v="2"/>
    <x v="2"/>
    <x v="0"/>
    <s v="Retail"/>
    <x v="0"/>
    <x v="3"/>
    <x v="2"/>
    <n v="300000"/>
    <n v="4"/>
    <x v="3"/>
    <n v="240000"/>
    <n v="1200000"/>
    <n v="960000"/>
    <n v="240000"/>
    <n v="559"/>
  </r>
  <r>
    <s v="2025-04-17"/>
    <x v="1"/>
    <x v="2"/>
    <x v="0"/>
    <s v="Corporate"/>
    <x v="0"/>
    <x v="7"/>
    <x v="2"/>
    <n v="420000"/>
    <n v="8"/>
    <x v="0"/>
    <n v="336000"/>
    <n v="3360000"/>
    <n v="2688000"/>
    <n v="672000"/>
    <n v="560"/>
  </r>
  <r>
    <s v="2025-03-03"/>
    <x v="3"/>
    <x v="1"/>
    <x v="0"/>
    <s v="Retail"/>
    <x v="0"/>
    <x v="5"/>
    <x v="0"/>
    <n v="320000"/>
    <n v="4"/>
    <x v="3"/>
    <n v="256000"/>
    <n v="1280000"/>
    <n v="1024000"/>
    <n v="256000"/>
    <n v="561"/>
  </r>
  <r>
    <s v="2025-02-10"/>
    <x v="2"/>
    <x v="0"/>
    <x v="0"/>
    <s v="Corporate"/>
    <x v="1"/>
    <x v="8"/>
    <x v="2"/>
    <n v="250000"/>
    <n v="8"/>
    <x v="1"/>
    <n v="200000"/>
    <n v="2000000"/>
    <n v="1600000"/>
    <n v="400000"/>
    <n v="562"/>
  </r>
  <r>
    <s v="2025-02-21"/>
    <x v="2"/>
    <x v="1"/>
    <x v="1"/>
    <s v="Retail"/>
    <x v="1"/>
    <x v="5"/>
    <x v="0"/>
    <n v="320000"/>
    <n v="7"/>
    <x v="5"/>
    <n v="256000"/>
    <n v="2240000"/>
    <n v="1792000"/>
    <n v="448000"/>
    <n v="563"/>
  </r>
  <r>
    <s v="2025-02-26"/>
    <x v="2"/>
    <x v="0"/>
    <x v="1"/>
    <s v="Corporate"/>
    <x v="1"/>
    <x v="3"/>
    <x v="2"/>
    <n v="300000"/>
    <n v="6"/>
    <x v="1"/>
    <n v="240000"/>
    <n v="1800000"/>
    <n v="1440000"/>
    <n v="360000"/>
    <n v="564"/>
  </r>
  <r>
    <s v="2025-01-28"/>
    <x v="0"/>
    <x v="3"/>
    <x v="3"/>
    <s v="Corporate"/>
    <x v="1"/>
    <x v="4"/>
    <x v="1"/>
    <n v="180000"/>
    <n v="4"/>
    <x v="0"/>
    <n v="144000"/>
    <n v="720000"/>
    <n v="576000"/>
    <n v="144000"/>
    <n v="565"/>
  </r>
  <r>
    <s v="2025-01-07"/>
    <x v="0"/>
    <x v="0"/>
    <x v="0"/>
    <s v="Corporate"/>
    <x v="0"/>
    <x v="8"/>
    <x v="2"/>
    <n v="250000"/>
    <n v="6"/>
    <x v="3"/>
    <n v="200000"/>
    <n v="1500000"/>
    <n v="1200000"/>
    <n v="300000"/>
    <n v="566"/>
  </r>
  <r>
    <s v="2025-02-09"/>
    <x v="2"/>
    <x v="0"/>
    <x v="2"/>
    <s v="Corporate"/>
    <x v="0"/>
    <x v="8"/>
    <x v="2"/>
    <n v="250000"/>
    <n v="7"/>
    <x v="3"/>
    <n v="200000"/>
    <n v="1750000"/>
    <n v="1400000"/>
    <n v="350000"/>
    <n v="567"/>
  </r>
  <r>
    <s v="2025-03-07"/>
    <x v="3"/>
    <x v="1"/>
    <x v="1"/>
    <s v="Retail"/>
    <x v="1"/>
    <x v="7"/>
    <x v="2"/>
    <n v="420000"/>
    <n v="2"/>
    <x v="0"/>
    <n v="336000"/>
    <n v="840000"/>
    <n v="672000"/>
    <n v="168000"/>
    <n v="568"/>
  </r>
  <r>
    <s v="2025-04-09"/>
    <x v="1"/>
    <x v="2"/>
    <x v="1"/>
    <s v="Corporate"/>
    <x v="0"/>
    <x v="6"/>
    <x v="2"/>
    <n v="150000"/>
    <n v="2"/>
    <x v="1"/>
    <n v="120000"/>
    <n v="300000"/>
    <n v="240000"/>
    <n v="60000"/>
    <n v="569"/>
  </r>
  <r>
    <s v="2025-03-31"/>
    <x v="3"/>
    <x v="3"/>
    <x v="1"/>
    <s v="Retail"/>
    <x v="0"/>
    <x v="9"/>
    <x v="1"/>
    <n v="220000"/>
    <n v="8"/>
    <x v="5"/>
    <n v="176000"/>
    <n v="1760000"/>
    <n v="1408000"/>
    <n v="352000"/>
    <n v="570"/>
  </r>
  <r>
    <s v="2025-02-14"/>
    <x v="2"/>
    <x v="1"/>
    <x v="0"/>
    <s v="Retail"/>
    <x v="1"/>
    <x v="6"/>
    <x v="2"/>
    <n v="150000"/>
    <n v="2"/>
    <x v="2"/>
    <n v="120000"/>
    <n v="300000"/>
    <n v="240000"/>
    <n v="60000"/>
    <n v="571"/>
  </r>
  <r>
    <s v="2025-03-22"/>
    <x v="3"/>
    <x v="1"/>
    <x v="1"/>
    <s v="Corporate"/>
    <x v="0"/>
    <x v="1"/>
    <x v="1"/>
    <n v="30000"/>
    <n v="1"/>
    <x v="3"/>
    <n v="24000"/>
    <n v="30000"/>
    <n v="24000"/>
    <n v="6000"/>
    <n v="572"/>
  </r>
  <r>
    <s v="2025-04-25"/>
    <x v="1"/>
    <x v="1"/>
    <x v="0"/>
    <s v="Retail"/>
    <x v="1"/>
    <x v="4"/>
    <x v="1"/>
    <n v="180000"/>
    <n v="5"/>
    <x v="0"/>
    <n v="144000"/>
    <n v="900000"/>
    <n v="720000"/>
    <n v="180000"/>
    <n v="573"/>
  </r>
  <r>
    <s v="2025-04-26"/>
    <x v="1"/>
    <x v="0"/>
    <x v="2"/>
    <s v="Corporate"/>
    <x v="1"/>
    <x v="6"/>
    <x v="2"/>
    <n v="150000"/>
    <n v="9"/>
    <x v="4"/>
    <n v="120000"/>
    <n v="1350000"/>
    <n v="1080000"/>
    <n v="270000"/>
    <n v="574"/>
  </r>
  <r>
    <s v="2025-02-26"/>
    <x v="2"/>
    <x v="2"/>
    <x v="1"/>
    <s v="Corporate"/>
    <x v="1"/>
    <x v="6"/>
    <x v="2"/>
    <n v="150000"/>
    <n v="5"/>
    <x v="4"/>
    <n v="120000"/>
    <n v="750000"/>
    <n v="600000"/>
    <n v="150000"/>
    <n v="575"/>
  </r>
  <r>
    <s v="2025-04-02"/>
    <x v="1"/>
    <x v="2"/>
    <x v="0"/>
    <s v="Retail"/>
    <x v="0"/>
    <x v="9"/>
    <x v="1"/>
    <n v="220000"/>
    <n v="4"/>
    <x v="5"/>
    <n v="176000"/>
    <n v="880000"/>
    <n v="704000"/>
    <n v="176000"/>
    <n v="576"/>
  </r>
  <r>
    <s v="2025-01-29"/>
    <x v="0"/>
    <x v="0"/>
    <x v="2"/>
    <s v="Retail"/>
    <x v="0"/>
    <x v="5"/>
    <x v="0"/>
    <n v="320000"/>
    <n v="4"/>
    <x v="0"/>
    <n v="256000"/>
    <n v="1280000"/>
    <n v="1024000"/>
    <n v="256000"/>
    <n v="577"/>
  </r>
  <r>
    <s v="2025-03-05"/>
    <x v="3"/>
    <x v="0"/>
    <x v="3"/>
    <s v="Corporate"/>
    <x v="1"/>
    <x v="5"/>
    <x v="0"/>
    <n v="320000"/>
    <n v="8"/>
    <x v="0"/>
    <n v="256000"/>
    <n v="2560000"/>
    <n v="2048000"/>
    <n v="512000"/>
    <n v="578"/>
  </r>
  <r>
    <s v="2025-04-23"/>
    <x v="1"/>
    <x v="3"/>
    <x v="3"/>
    <s v="Retail"/>
    <x v="0"/>
    <x v="2"/>
    <x v="1"/>
    <n v="60000"/>
    <n v="9"/>
    <x v="0"/>
    <n v="48000"/>
    <n v="540000"/>
    <n v="432000"/>
    <n v="108000"/>
    <n v="579"/>
  </r>
  <r>
    <s v="2025-03-05"/>
    <x v="3"/>
    <x v="1"/>
    <x v="1"/>
    <s v="Retail"/>
    <x v="1"/>
    <x v="3"/>
    <x v="2"/>
    <n v="300000"/>
    <n v="10"/>
    <x v="0"/>
    <n v="240000"/>
    <n v="3000000"/>
    <n v="2400000"/>
    <n v="600000"/>
    <n v="580"/>
  </r>
  <r>
    <s v="2025-03-22"/>
    <x v="3"/>
    <x v="3"/>
    <x v="1"/>
    <s v="Corporate"/>
    <x v="0"/>
    <x v="6"/>
    <x v="2"/>
    <n v="150000"/>
    <n v="6"/>
    <x v="3"/>
    <n v="120000"/>
    <n v="900000"/>
    <n v="720000"/>
    <n v="180000"/>
    <n v="581"/>
  </r>
  <r>
    <s v="2025-05-01"/>
    <x v="4"/>
    <x v="2"/>
    <x v="2"/>
    <s v="Corporate"/>
    <x v="0"/>
    <x v="4"/>
    <x v="1"/>
    <n v="180000"/>
    <n v="8"/>
    <x v="4"/>
    <n v="144000"/>
    <n v="1440000"/>
    <n v="1152000"/>
    <n v="288000"/>
    <n v="582"/>
  </r>
  <r>
    <s v="2025-02-28"/>
    <x v="2"/>
    <x v="1"/>
    <x v="0"/>
    <s v="Retail"/>
    <x v="0"/>
    <x v="2"/>
    <x v="1"/>
    <n v="60000"/>
    <n v="7"/>
    <x v="5"/>
    <n v="48000"/>
    <n v="420000"/>
    <n v="336000"/>
    <n v="84000"/>
    <n v="583"/>
  </r>
  <r>
    <s v="2025-03-01"/>
    <x v="3"/>
    <x v="1"/>
    <x v="1"/>
    <s v="Retail"/>
    <x v="1"/>
    <x v="6"/>
    <x v="2"/>
    <n v="150000"/>
    <n v="9"/>
    <x v="0"/>
    <n v="120000"/>
    <n v="1350000"/>
    <n v="1080000"/>
    <n v="270000"/>
    <n v="584"/>
  </r>
  <r>
    <s v="2025-04-08"/>
    <x v="1"/>
    <x v="1"/>
    <x v="1"/>
    <s v="Retail"/>
    <x v="1"/>
    <x v="4"/>
    <x v="1"/>
    <n v="180000"/>
    <n v="4"/>
    <x v="3"/>
    <n v="144000"/>
    <n v="720000"/>
    <n v="576000"/>
    <n v="144000"/>
    <n v="585"/>
  </r>
  <r>
    <s v="2025-01-06"/>
    <x v="0"/>
    <x v="0"/>
    <x v="3"/>
    <s v="Retail"/>
    <x v="1"/>
    <x v="4"/>
    <x v="1"/>
    <n v="180000"/>
    <n v="1"/>
    <x v="4"/>
    <n v="144000"/>
    <n v="180000"/>
    <n v="144000"/>
    <n v="36000"/>
    <n v="586"/>
  </r>
  <r>
    <s v="2025-04-07"/>
    <x v="1"/>
    <x v="0"/>
    <x v="0"/>
    <s v="Retail"/>
    <x v="0"/>
    <x v="2"/>
    <x v="1"/>
    <n v="60000"/>
    <n v="6"/>
    <x v="4"/>
    <n v="48000"/>
    <n v="360000"/>
    <n v="288000"/>
    <n v="72000"/>
    <n v="587"/>
  </r>
  <r>
    <s v="2025-02-12"/>
    <x v="2"/>
    <x v="1"/>
    <x v="2"/>
    <s v="Corporate"/>
    <x v="1"/>
    <x v="5"/>
    <x v="0"/>
    <n v="320000"/>
    <n v="8"/>
    <x v="3"/>
    <n v="256000"/>
    <n v="2560000"/>
    <n v="2048000"/>
    <n v="512000"/>
    <n v="588"/>
  </r>
  <r>
    <s v="2025-01-02"/>
    <x v="0"/>
    <x v="1"/>
    <x v="2"/>
    <s v="Retail"/>
    <x v="0"/>
    <x v="4"/>
    <x v="1"/>
    <n v="180000"/>
    <n v="6"/>
    <x v="4"/>
    <n v="144000"/>
    <n v="1080000"/>
    <n v="864000"/>
    <n v="216000"/>
    <n v="589"/>
  </r>
  <r>
    <s v="2025-02-25"/>
    <x v="2"/>
    <x v="2"/>
    <x v="1"/>
    <s v="Corporate"/>
    <x v="0"/>
    <x v="2"/>
    <x v="1"/>
    <n v="60000"/>
    <n v="8"/>
    <x v="1"/>
    <n v="48000"/>
    <n v="480000"/>
    <n v="384000"/>
    <n v="96000"/>
    <n v="590"/>
  </r>
  <r>
    <s v="2025-04-13"/>
    <x v="1"/>
    <x v="1"/>
    <x v="1"/>
    <s v="Corporate"/>
    <x v="0"/>
    <x v="7"/>
    <x v="2"/>
    <n v="420000"/>
    <n v="3"/>
    <x v="0"/>
    <n v="336000"/>
    <n v="1260000"/>
    <n v="1008000"/>
    <n v="252000"/>
    <n v="591"/>
  </r>
  <r>
    <s v="2025-01-30"/>
    <x v="0"/>
    <x v="2"/>
    <x v="2"/>
    <s v="Corporate"/>
    <x v="0"/>
    <x v="9"/>
    <x v="1"/>
    <n v="220000"/>
    <n v="5"/>
    <x v="1"/>
    <n v="176000"/>
    <n v="1100000"/>
    <n v="880000"/>
    <n v="220000"/>
    <n v="592"/>
  </r>
  <r>
    <s v="2025-03-28"/>
    <x v="3"/>
    <x v="0"/>
    <x v="3"/>
    <s v="Retail"/>
    <x v="0"/>
    <x v="2"/>
    <x v="1"/>
    <n v="60000"/>
    <n v="6"/>
    <x v="0"/>
    <n v="48000"/>
    <n v="360000"/>
    <n v="288000"/>
    <n v="72000"/>
    <n v="593"/>
  </r>
  <r>
    <s v="2025-04-03"/>
    <x v="1"/>
    <x v="0"/>
    <x v="3"/>
    <s v="Retail"/>
    <x v="1"/>
    <x v="2"/>
    <x v="1"/>
    <n v="60000"/>
    <n v="8"/>
    <x v="5"/>
    <n v="48000"/>
    <n v="480000"/>
    <n v="384000"/>
    <n v="96000"/>
    <n v="594"/>
  </r>
  <r>
    <s v="2025-01-01"/>
    <x v="0"/>
    <x v="0"/>
    <x v="1"/>
    <s v="Corporate"/>
    <x v="0"/>
    <x v="1"/>
    <x v="1"/>
    <n v="30000"/>
    <n v="2"/>
    <x v="0"/>
    <n v="24000"/>
    <n v="60000"/>
    <n v="48000"/>
    <n v="12000"/>
    <n v="595"/>
  </r>
  <r>
    <s v="2025-03-01"/>
    <x v="3"/>
    <x v="1"/>
    <x v="0"/>
    <s v="Corporate"/>
    <x v="1"/>
    <x v="3"/>
    <x v="2"/>
    <n v="300000"/>
    <n v="3"/>
    <x v="3"/>
    <n v="240000"/>
    <n v="900000"/>
    <n v="720000"/>
    <n v="180000"/>
    <n v="596"/>
  </r>
  <r>
    <s v="2025-01-17"/>
    <x v="0"/>
    <x v="3"/>
    <x v="1"/>
    <s v="Corporate"/>
    <x v="1"/>
    <x v="8"/>
    <x v="2"/>
    <n v="250000"/>
    <n v="3"/>
    <x v="1"/>
    <n v="200000"/>
    <n v="750000"/>
    <n v="600000"/>
    <n v="150000"/>
    <n v="597"/>
  </r>
  <r>
    <s v="2025-04-21"/>
    <x v="1"/>
    <x v="3"/>
    <x v="1"/>
    <s v="Corporate"/>
    <x v="1"/>
    <x v="7"/>
    <x v="2"/>
    <n v="420000"/>
    <n v="1"/>
    <x v="1"/>
    <n v="336000"/>
    <n v="420000"/>
    <n v="336000"/>
    <n v="84000"/>
    <n v="598"/>
  </r>
  <r>
    <s v="2025-04-06"/>
    <x v="1"/>
    <x v="2"/>
    <x v="0"/>
    <s v="Corporate"/>
    <x v="1"/>
    <x v="1"/>
    <x v="1"/>
    <n v="30000"/>
    <n v="1"/>
    <x v="3"/>
    <n v="24000"/>
    <n v="30000"/>
    <n v="24000"/>
    <n v="6000"/>
    <n v="599"/>
  </r>
  <r>
    <s v="2025-01-07"/>
    <x v="0"/>
    <x v="2"/>
    <x v="2"/>
    <s v="Retail"/>
    <x v="0"/>
    <x v="1"/>
    <x v="1"/>
    <n v="30000"/>
    <n v="8"/>
    <x v="4"/>
    <n v="24000"/>
    <n v="240000"/>
    <n v="192000"/>
    <n v="48000"/>
    <n v="600"/>
  </r>
  <r>
    <s v="2025-04-01"/>
    <x v="1"/>
    <x v="3"/>
    <x v="0"/>
    <s v="Corporate"/>
    <x v="0"/>
    <x v="8"/>
    <x v="2"/>
    <n v="250000"/>
    <n v="10"/>
    <x v="4"/>
    <n v="200000"/>
    <n v="2500000"/>
    <n v="2000000"/>
    <n v="500000"/>
    <n v="601"/>
  </r>
  <r>
    <s v="2025-04-21"/>
    <x v="1"/>
    <x v="3"/>
    <x v="2"/>
    <s v="Corporate"/>
    <x v="1"/>
    <x v="6"/>
    <x v="2"/>
    <n v="150000"/>
    <n v="10"/>
    <x v="1"/>
    <n v="120000"/>
    <n v="1500000"/>
    <n v="1200000"/>
    <n v="300000"/>
    <n v="602"/>
  </r>
  <r>
    <s v="2025-03-23"/>
    <x v="3"/>
    <x v="1"/>
    <x v="3"/>
    <s v="Retail"/>
    <x v="1"/>
    <x v="8"/>
    <x v="2"/>
    <n v="250000"/>
    <n v="8"/>
    <x v="0"/>
    <n v="200000"/>
    <n v="2000000"/>
    <n v="1600000"/>
    <n v="400000"/>
    <n v="603"/>
  </r>
  <r>
    <s v="2025-04-26"/>
    <x v="1"/>
    <x v="3"/>
    <x v="2"/>
    <s v="Retail"/>
    <x v="1"/>
    <x v="8"/>
    <x v="2"/>
    <n v="250000"/>
    <n v="9"/>
    <x v="5"/>
    <n v="200000"/>
    <n v="2250000"/>
    <n v="1800000"/>
    <n v="450000"/>
    <n v="604"/>
  </r>
  <r>
    <s v="2025-04-15"/>
    <x v="1"/>
    <x v="3"/>
    <x v="3"/>
    <s v="Retail"/>
    <x v="1"/>
    <x v="7"/>
    <x v="2"/>
    <n v="420000"/>
    <n v="10"/>
    <x v="2"/>
    <n v="336000"/>
    <n v="4200000"/>
    <n v="3360000"/>
    <n v="840000"/>
    <n v="605"/>
  </r>
  <r>
    <s v="2025-02-24"/>
    <x v="2"/>
    <x v="0"/>
    <x v="1"/>
    <s v="Corporate"/>
    <x v="0"/>
    <x v="0"/>
    <x v="0"/>
    <n v="85000"/>
    <n v="4"/>
    <x v="1"/>
    <n v="68000"/>
    <n v="340000"/>
    <n v="272000"/>
    <n v="68000"/>
    <n v="606"/>
  </r>
  <r>
    <s v="2025-01-30"/>
    <x v="0"/>
    <x v="1"/>
    <x v="1"/>
    <s v="Retail"/>
    <x v="0"/>
    <x v="4"/>
    <x v="1"/>
    <n v="180000"/>
    <n v="1"/>
    <x v="5"/>
    <n v="144000"/>
    <n v="180000"/>
    <n v="144000"/>
    <n v="36000"/>
    <n v="607"/>
  </r>
  <r>
    <s v="2025-01-05"/>
    <x v="0"/>
    <x v="2"/>
    <x v="1"/>
    <s v="Retail"/>
    <x v="1"/>
    <x v="4"/>
    <x v="1"/>
    <n v="180000"/>
    <n v="9"/>
    <x v="3"/>
    <n v="144000"/>
    <n v="1620000"/>
    <n v="1296000"/>
    <n v="324000"/>
    <n v="608"/>
  </r>
  <r>
    <s v="2025-02-22"/>
    <x v="2"/>
    <x v="1"/>
    <x v="2"/>
    <s v="Corporate"/>
    <x v="1"/>
    <x v="6"/>
    <x v="2"/>
    <n v="150000"/>
    <n v="10"/>
    <x v="2"/>
    <n v="120000"/>
    <n v="1500000"/>
    <n v="1200000"/>
    <n v="300000"/>
    <n v="609"/>
  </r>
  <r>
    <s v="2025-04-01"/>
    <x v="1"/>
    <x v="1"/>
    <x v="3"/>
    <s v="Corporate"/>
    <x v="1"/>
    <x v="3"/>
    <x v="2"/>
    <n v="300000"/>
    <n v="1"/>
    <x v="2"/>
    <n v="240000"/>
    <n v="300000"/>
    <n v="240000"/>
    <n v="60000"/>
    <n v="610"/>
  </r>
  <r>
    <s v="2025-04-03"/>
    <x v="1"/>
    <x v="2"/>
    <x v="3"/>
    <s v="Retail"/>
    <x v="0"/>
    <x v="6"/>
    <x v="2"/>
    <n v="150000"/>
    <n v="8"/>
    <x v="0"/>
    <n v="120000"/>
    <n v="1200000"/>
    <n v="960000"/>
    <n v="240000"/>
    <n v="611"/>
  </r>
  <r>
    <s v="2025-03-24"/>
    <x v="3"/>
    <x v="0"/>
    <x v="3"/>
    <s v="Retail"/>
    <x v="1"/>
    <x v="6"/>
    <x v="2"/>
    <n v="150000"/>
    <n v="3"/>
    <x v="3"/>
    <n v="120000"/>
    <n v="450000"/>
    <n v="360000"/>
    <n v="90000"/>
    <n v="612"/>
  </r>
  <r>
    <s v="2025-03-21"/>
    <x v="3"/>
    <x v="3"/>
    <x v="3"/>
    <s v="Retail"/>
    <x v="1"/>
    <x v="5"/>
    <x v="0"/>
    <n v="320000"/>
    <n v="3"/>
    <x v="0"/>
    <n v="256000"/>
    <n v="960000"/>
    <n v="768000"/>
    <n v="192000"/>
    <n v="613"/>
  </r>
  <r>
    <s v="2025-04-16"/>
    <x v="1"/>
    <x v="2"/>
    <x v="2"/>
    <s v="Retail"/>
    <x v="0"/>
    <x v="4"/>
    <x v="1"/>
    <n v="180000"/>
    <n v="8"/>
    <x v="0"/>
    <n v="144000"/>
    <n v="1440000"/>
    <n v="1152000"/>
    <n v="288000"/>
    <n v="614"/>
  </r>
  <r>
    <s v="2025-02-01"/>
    <x v="2"/>
    <x v="2"/>
    <x v="2"/>
    <s v="Retail"/>
    <x v="1"/>
    <x v="4"/>
    <x v="1"/>
    <n v="180000"/>
    <n v="1"/>
    <x v="1"/>
    <n v="144000"/>
    <n v="180000"/>
    <n v="144000"/>
    <n v="36000"/>
    <n v="615"/>
  </r>
  <r>
    <s v="2025-02-15"/>
    <x v="2"/>
    <x v="0"/>
    <x v="1"/>
    <s v="Retail"/>
    <x v="1"/>
    <x v="2"/>
    <x v="1"/>
    <n v="60000"/>
    <n v="7"/>
    <x v="4"/>
    <n v="48000"/>
    <n v="420000"/>
    <n v="336000"/>
    <n v="84000"/>
    <n v="616"/>
  </r>
  <r>
    <s v="2025-04-04"/>
    <x v="1"/>
    <x v="1"/>
    <x v="2"/>
    <s v="Corporate"/>
    <x v="1"/>
    <x v="5"/>
    <x v="0"/>
    <n v="320000"/>
    <n v="7"/>
    <x v="1"/>
    <n v="256000"/>
    <n v="2240000"/>
    <n v="1792000"/>
    <n v="448000"/>
    <n v="617"/>
  </r>
  <r>
    <s v="2025-04-22"/>
    <x v="1"/>
    <x v="2"/>
    <x v="1"/>
    <s v="Corporate"/>
    <x v="0"/>
    <x v="0"/>
    <x v="0"/>
    <n v="85000"/>
    <n v="9"/>
    <x v="1"/>
    <n v="68000"/>
    <n v="765000"/>
    <n v="612000"/>
    <n v="153000"/>
    <n v="618"/>
  </r>
  <r>
    <s v="2025-04-28"/>
    <x v="1"/>
    <x v="0"/>
    <x v="1"/>
    <s v="Retail"/>
    <x v="0"/>
    <x v="5"/>
    <x v="0"/>
    <n v="320000"/>
    <n v="3"/>
    <x v="4"/>
    <n v="256000"/>
    <n v="960000"/>
    <n v="768000"/>
    <n v="192000"/>
    <n v="619"/>
  </r>
  <r>
    <s v="2025-01-01"/>
    <x v="0"/>
    <x v="2"/>
    <x v="3"/>
    <s v="Retail"/>
    <x v="0"/>
    <x v="9"/>
    <x v="1"/>
    <n v="220000"/>
    <n v="4"/>
    <x v="4"/>
    <n v="176000"/>
    <n v="880000"/>
    <n v="704000"/>
    <n v="176000"/>
    <n v="620"/>
  </r>
  <r>
    <s v="2025-02-20"/>
    <x v="2"/>
    <x v="1"/>
    <x v="2"/>
    <s v="Corporate"/>
    <x v="0"/>
    <x v="5"/>
    <x v="0"/>
    <n v="320000"/>
    <n v="7"/>
    <x v="3"/>
    <n v="256000"/>
    <n v="2240000"/>
    <n v="1792000"/>
    <n v="448000"/>
    <n v="621"/>
  </r>
  <r>
    <s v="2025-04-22"/>
    <x v="1"/>
    <x v="1"/>
    <x v="0"/>
    <s v="Corporate"/>
    <x v="0"/>
    <x v="8"/>
    <x v="2"/>
    <n v="250000"/>
    <n v="1"/>
    <x v="2"/>
    <n v="200000"/>
    <n v="250000"/>
    <n v="200000"/>
    <n v="50000"/>
    <n v="622"/>
  </r>
  <r>
    <s v="2025-01-20"/>
    <x v="0"/>
    <x v="1"/>
    <x v="2"/>
    <s v="Retail"/>
    <x v="1"/>
    <x v="1"/>
    <x v="1"/>
    <n v="30000"/>
    <n v="5"/>
    <x v="2"/>
    <n v="24000"/>
    <n v="150000"/>
    <n v="120000"/>
    <n v="30000"/>
    <n v="623"/>
  </r>
  <r>
    <s v="2025-03-10"/>
    <x v="3"/>
    <x v="2"/>
    <x v="2"/>
    <s v="Corporate"/>
    <x v="0"/>
    <x v="9"/>
    <x v="1"/>
    <n v="220000"/>
    <n v="5"/>
    <x v="1"/>
    <n v="176000"/>
    <n v="1100000"/>
    <n v="880000"/>
    <n v="220000"/>
    <n v="624"/>
  </r>
  <r>
    <s v="2025-03-18"/>
    <x v="3"/>
    <x v="3"/>
    <x v="2"/>
    <s v="Corporate"/>
    <x v="1"/>
    <x v="8"/>
    <x v="2"/>
    <n v="250000"/>
    <n v="4"/>
    <x v="3"/>
    <n v="200000"/>
    <n v="1000000"/>
    <n v="800000"/>
    <n v="200000"/>
    <n v="625"/>
  </r>
  <r>
    <s v="2025-01-08"/>
    <x v="0"/>
    <x v="3"/>
    <x v="0"/>
    <s v="Retail"/>
    <x v="1"/>
    <x v="4"/>
    <x v="1"/>
    <n v="180000"/>
    <n v="4"/>
    <x v="0"/>
    <n v="144000"/>
    <n v="720000"/>
    <n v="576000"/>
    <n v="144000"/>
    <n v="626"/>
  </r>
  <r>
    <s v="2025-04-20"/>
    <x v="1"/>
    <x v="2"/>
    <x v="0"/>
    <s v="Corporate"/>
    <x v="1"/>
    <x v="2"/>
    <x v="1"/>
    <n v="60000"/>
    <n v="10"/>
    <x v="1"/>
    <n v="48000"/>
    <n v="600000"/>
    <n v="480000"/>
    <n v="120000"/>
    <n v="627"/>
  </r>
  <r>
    <s v="2025-02-05"/>
    <x v="2"/>
    <x v="1"/>
    <x v="2"/>
    <s v="Retail"/>
    <x v="0"/>
    <x v="5"/>
    <x v="0"/>
    <n v="320000"/>
    <n v="10"/>
    <x v="0"/>
    <n v="256000"/>
    <n v="3200000"/>
    <n v="2560000"/>
    <n v="640000"/>
    <n v="628"/>
  </r>
  <r>
    <s v="2025-01-21"/>
    <x v="0"/>
    <x v="1"/>
    <x v="2"/>
    <s v="Retail"/>
    <x v="1"/>
    <x v="6"/>
    <x v="2"/>
    <n v="150000"/>
    <n v="4"/>
    <x v="2"/>
    <n v="120000"/>
    <n v="600000"/>
    <n v="480000"/>
    <n v="120000"/>
    <n v="629"/>
  </r>
  <r>
    <s v="2025-02-15"/>
    <x v="2"/>
    <x v="0"/>
    <x v="0"/>
    <s v="Corporate"/>
    <x v="1"/>
    <x v="5"/>
    <x v="0"/>
    <n v="320000"/>
    <n v="4"/>
    <x v="0"/>
    <n v="256000"/>
    <n v="1280000"/>
    <n v="1024000"/>
    <n v="256000"/>
    <n v="630"/>
  </r>
  <r>
    <s v="2025-02-16"/>
    <x v="2"/>
    <x v="2"/>
    <x v="1"/>
    <s v="Corporate"/>
    <x v="0"/>
    <x v="3"/>
    <x v="2"/>
    <n v="300000"/>
    <n v="7"/>
    <x v="4"/>
    <n v="240000"/>
    <n v="2100000"/>
    <n v="1680000"/>
    <n v="420000"/>
    <n v="631"/>
  </r>
  <r>
    <s v="2025-02-20"/>
    <x v="2"/>
    <x v="3"/>
    <x v="0"/>
    <s v="Corporate"/>
    <x v="1"/>
    <x v="6"/>
    <x v="2"/>
    <n v="150000"/>
    <n v="10"/>
    <x v="0"/>
    <n v="120000"/>
    <n v="1500000"/>
    <n v="1200000"/>
    <n v="300000"/>
    <n v="632"/>
  </r>
  <r>
    <s v="2025-03-24"/>
    <x v="3"/>
    <x v="2"/>
    <x v="1"/>
    <s v="Corporate"/>
    <x v="0"/>
    <x v="9"/>
    <x v="1"/>
    <n v="220000"/>
    <n v="9"/>
    <x v="0"/>
    <n v="176000"/>
    <n v="1980000"/>
    <n v="1584000"/>
    <n v="396000"/>
    <n v="633"/>
  </r>
  <r>
    <s v="2025-02-13"/>
    <x v="2"/>
    <x v="0"/>
    <x v="3"/>
    <s v="Corporate"/>
    <x v="1"/>
    <x v="0"/>
    <x v="0"/>
    <n v="85000"/>
    <n v="4"/>
    <x v="2"/>
    <n v="68000"/>
    <n v="340000"/>
    <n v="272000"/>
    <n v="68000"/>
    <n v="634"/>
  </r>
  <r>
    <s v="2025-01-15"/>
    <x v="0"/>
    <x v="2"/>
    <x v="2"/>
    <s v="Corporate"/>
    <x v="0"/>
    <x v="5"/>
    <x v="0"/>
    <n v="320000"/>
    <n v="1"/>
    <x v="5"/>
    <n v="256000"/>
    <n v="320000"/>
    <n v="256000"/>
    <n v="64000"/>
    <n v="635"/>
  </r>
  <r>
    <s v="2025-01-20"/>
    <x v="0"/>
    <x v="1"/>
    <x v="3"/>
    <s v="Corporate"/>
    <x v="1"/>
    <x v="7"/>
    <x v="2"/>
    <n v="420000"/>
    <n v="1"/>
    <x v="3"/>
    <n v="336000"/>
    <n v="420000"/>
    <n v="336000"/>
    <n v="84000"/>
    <n v="636"/>
  </r>
  <r>
    <s v="2025-04-29"/>
    <x v="1"/>
    <x v="2"/>
    <x v="2"/>
    <s v="Corporate"/>
    <x v="1"/>
    <x v="7"/>
    <x v="2"/>
    <n v="420000"/>
    <n v="6"/>
    <x v="1"/>
    <n v="336000"/>
    <n v="2520000"/>
    <n v="2016000"/>
    <n v="504000"/>
    <n v="637"/>
  </r>
  <r>
    <s v="2025-02-01"/>
    <x v="2"/>
    <x v="3"/>
    <x v="1"/>
    <s v="Corporate"/>
    <x v="0"/>
    <x v="2"/>
    <x v="1"/>
    <n v="60000"/>
    <n v="8"/>
    <x v="4"/>
    <n v="48000"/>
    <n v="480000"/>
    <n v="384000"/>
    <n v="96000"/>
    <n v="638"/>
  </r>
  <r>
    <s v="2025-01-27"/>
    <x v="0"/>
    <x v="1"/>
    <x v="0"/>
    <s v="Corporate"/>
    <x v="1"/>
    <x v="9"/>
    <x v="1"/>
    <n v="220000"/>
    <n v="7"/>
    <x v="0"/>
    <n v="176000"/>
    <n v="1540000"/>
    <n v="1232000"/>
    <n v="308000"/>
    <n v="639"/>
  </r>
  <r>
    <s v="2025-04-04"/>
    <x v="1"/>
    <x v="2"/>
    <x v="0"/>
    <s v="Corporate"/>
    <x v="0"/>
    <x v="5"/>
    <x v="0"/>
    <n v="320000"/>
    <n v="9"/>
    <x v="3"/>
    <n v="256000"/>
    <n v="2880000"/>
    <n v="2304000"/>
    <n v="576000"/>
    <n v="640"/>
  </r>
  <r>
    <s v="2025-02-08"/>
    <x v="2"/>
    <x v="0"/>
    <x v="3"/>
    <s v="Corporate"/>
    <x v="1"/>
    <x v="3"/>
    <x v="2"/>
    <n v="300000"/>
    <n v="2"/>
    <x v="4"/>
    <n v="240000"/>
    <n v="600000"/>
    <n v="480000"/>
    <n v="120000"/>
    <n v="641"/>
  </r>
  <r>
    <s v="2025-04-26"/>
    <x v="1"/>
    <x v="2"/>
    <x v="0"/>
    <s v="Corporate"/>
    <x v="0"/>
    <x v="8"/>
    <x v="2"/>
    <n v="250000"/>
    <n v="4"/>
    <x v="4"/>
    <n v="200000"/>
    <n v="1000000"/>
    <n v="800000"/>
    <n v="200000"/>
    <n v="642"/>
  </r>
  <r>
    <s v="2025-02-13"/>
    <x v="2"/>
    <x v="3"/>
    <x v="1"/>
    <s v="Retail"/>
    <x v="0"/>
    <x v="1"/>
    <x v="1"/>
    <n v="30000"/>
    <n v="4"/>
    <x v="4"/>
    <n v="24000"/>
    <n v="120000"/>
    <n v="96000"/>
    <n v="24000"/>
    <n v="643"/>
  </r>
  <r>
    <s v="2025-02-02"/>
    <x v="2"/>
    <x v="0"/>
    <x v="1"/>
    <s v="Retail"/>
    <x v="1"/>
    <x v="9"/>
    <x v="1"/>
    <n v="220000"/>
    <n v="4"/>
    <x v="0"/>
    <n v="176000"/>
    <n v="880000"/>
    <n v="704000"/>
    <n v="176000"/>
    <n v="644"/>
  </r>
  <r>
    <s v="2025-03-08"/>
    <x v="3"/>
    <x v="3"/>
    <x v="3"/>
    <s v="Retail"/>
    <x v="1"/>
    <x v="3"/>
    <x v="2"/>
    <n v="300000"/>
    <n v="2"/>
    <x v="4"/>
    <n v="240000"/>
    <n v="600000"/>
    <n v="480000"/>
    <n v="120000"/>
    <n v="645"/>
  </r>
  <r>
    <s v="2025-03-19"/>
    <x v="3"/>
    <x v="2"/>
    <x v="1"/>
    <s v="Retail"/>
    <x v="0"/>
    <x v="5"/>
    <x v="0"/>
    <n v="320000"/>
    <n v="7"/>
    <x v="1"/>
    <n v="256000"/>
    <n v="2240000"/>
    <n v="1792000"/>
    <n v="448000"/>
    <n v="646"/>
  </r>
  <r>
    <s v="2025-03-29"/>
    <x v="3"/>
    <x v="1"/>
    <x v="3"/>
    <s v="Corporate"/>
    <x v="0"/>
    <x v="2"/>
    <x v="1"/>
    <n v="60000"/>
    <n v="5"/>
    <x v="2"/>
    <n v="48000"/>
    <n v="300000"/>
    <n v="240000"/>
    <n v="60000"/>
    <n v="647"/>
  </r>
  <r>
    <s v="2025-02-09"/>
    <x v="2"/>
    <x v="2"/>
    <x v="2"/>
    <s v="Retail"/>
    <x v="0"/>
    <x v="0"/>
    <x v="0"/>
    <n v="85000"/>
    <n v="7"/>
    <x v="3"/>
    <n v="68000"/>
    <n v="595000"/>
    <n v="476000"/>
    <n v="119000"/>
    <n v="648"/>
  </r>
  <r>
    <s v="2025-03-19"/>
    <x v="3"/>
    <x v="0"/>
    <x v="1"/>
    <s v="Retail"/>
    <x v="1"/>
    <x v="3"/>
    <x v="2"/>
    <n v="300000"/>
    <n v="6"/>
    <x v="5"/>
    <n v="240000"/>
    <n v="1800000"/>
    <n v="1440000"/>
    <n v="360000"/>
    <n v="649"/>
  </r>
  <r>
    <s v="2025-03-28"/>
    <x v="3"/>
    <x v="1"/>
    <x v="2"/>
    <s v="Corporate"/>
    <x v="0"/>
    <x v="4"/>
    <x v="1"/>
    <n v="180000"/>
    <n v="5"/>
    <x v="2"/>
    <n v="144000"/>
    <n v="900000"/>
    <n v="720000"/>
    <n v="180000"/>
    <n v="650"/>
  </r>
  <r>
    <s v="2025-04-02"/>
    <x v="1"/>
    <x v="1"/>
    <x v="1"/>
    <s v="Corporate"/>
    <x v="1"/>
    <x v="3"/>
    <x v="2"/>
    <n v="300000"/>
    <n v="1"/>
    <x v="4"/>
    <n v="240000"/>
    <n v="300000"/>
    <n v="240000"/>
    <n v="60000"/>
    <n v="651"/>
  </r>
  <r>
    <s v="2025-03-26"/>
    <x v="3"/>
    <x v="0"/>
    <x v="0"/>
    <s v="Retail"/>
    <x v="1"/>
    <x v="2"/>
    <x v="1"/>
    <n v="60000"/>
    <n v="7"/>
    <x v="1"/>
    <n v="48000"/>
    <n v="420000"/>
    <n v="336000"/>
    <n v="84000"/>
    <n v="652"/>
  </r>
  <r>
    <s v="2025-01-05"/>
    <x v="0"/>
    <x v="2"/>
    <x v="2"/>
    <s v="Retail"/>
    <x v="0"/>
    <x v="1"/>
    <x v="1"/>
    <n v="30000"/>
    <n v="8"/>
    <x v="2"/>
    <n v="24000"/>
    <n v="240000"/>
    <n v="192000"/>
    <n v="48000"/>
    <n v="653"/>
  </r>
  <r>
    <s v="2025-04-01"/>
    <x v="1"/>
    <x v="0"/>
    <x v="1"/>
    <s v="Corporate"/>
    <x v="0"/>
    <x v="9"/>
    <x v="1"/>
    <n v="220000"/>
    <n v="3"/>
    <x v="3"/>
    <n v="176000"/>
    <n v="660000"/>
    <n v="528000"/>
    <n v="132000"/>
    <n v="654"/>
  </r>
  <r>
    <s v="2025-04-06"/>
    <x v="1"/>
    <x v="2"/>
    <x v="1"/>
    <s v="Corporate"/>
    <x v="0"/>
    <x v="9"/>
    <x v="1"/>
    <n v="220000"/>
    <n v="7"/>
    <x v="3"/>
    <n v="176000"/>
    <n v="1540000"/>
    <n v="1232000"/>
    <n v="308000"/>
    <n v="655"/>
  </r>
  <r>
    <s v="2025-03-04"/>
    <x v="3"/>
    <x v="3"/>
    <x v="0"/>
    <s v="Retail"/>
    <x v="1"/>
    <x v="4"/>
    <x v="1"/>
    <n v="180000"/>
    <n v="2"/>
    <x v="1"/>
    <n v="144000"/>
    <n v="360000"/>
    <n v="288000"/>
    <n v="72000"/>
    <n v="656"/>
  </r>
  <r>
    <s v="2025-03-09"/>
    <x v="3"/>
    <x v="0"/>
    <x v="2"/>
    <s v="Retail"/>
    <x v="1"/>
    <x v="2"/>
    <x v="1"/>
    <n v="60000"/>
    <n v="8"/>
    <x v="4"/>
    <n v="48000"/>
    <n v="480000"/>
    <n v="384000"/>
    <n v="96000"/>
    <n v="657"/>
  </r>
  <r>
    <s v="2025-01-01"/>
    <x v="0"/>
    <x v="3"/>
    <x v="1"/>
    <s v="Retail"/>
    <x v="0"/>
    <x v="1"/>
    <x v="1"/>
    <n v="30000"/>
    <n v="2"/>
    <x v="3"/>
    <n v="24000"/>
    <n v="60000"/>
    <n v="48000"/>
    <n v="12000"/>
    <n v="658"/>
  </r>
  <r>
    <s v="2025-01-26"/>
    <x v="0"/>
    <x v="3"/>
    <x v="1"/>
    <s v="Corporate"/>
    <x v="0"/>
    <x v="6"/>
    <x v="2"/>
    <n v="150000"/>
    <n v="5"/>
    <x v="3"/>
    <n v="120000"/>
    <n v="750000"/>
    <n v="600000"/>
    <n v="150000"/>
    <n v="659"/>
  </r>
  <r>
    <s v="2025-03-20"/>
    <x v="3"/>
    <x v="0"/>
    <x v="1"/>
    <s v="Corporate"/>
    <x v="1"/>
    <x v="8"/>
    <x v="2"/>
    <n v="250000"/>
    <n v="5"/>
    <x v="3"/>
    <n v="200000"/>
    <n v="1250000"/>
    <n v="1000000"/>
    <n v="250000"/>
    <n v="660"/>
  </r>
  <r>
    <s v="2025-02-27"/>
    <x v="2"/>
    <x v="2"/>
    <x v="0"/>
    <s v="Corporate"/>
    <x v="0"/>
    <x v="0"/>
    <x v="0"/>
    <n v="85000"/>
    <n v="4"/>
    <x v="1"/>
    <n v="68000"/>
    <n v="340000"/>
    <n v="272000"/>
    <n v="68000"/>
    <n v="661"/>
  </r>
  <r>
    <s v="2025-03-10"/>
    <x v="3"/>
    <x v="0"/>
    <x v="2"/>
    <s v="Retail"/>
    <x v="1"/>
    <x v="3"/>
    <x v="2"/>
    <n v="300000"/>
    <n v="10"/>
    <x v="1"/>
    <n v="240000"/>
    <n v="3000000"/>
    <n v="2400000"/>
    <n v="600000"/>
    <n v="662"/>
  </r>
  <r>
    <s v="2025-03-11"/>
    <x v="3"/>
    <x v="2"/>
    <x v="0"/>
    <s v="Corporate"/>
    <x v="0"/>
    <x v="8"/>
    <x v="2"/>
    <n v="250000"/>
    <n v="8"/>
    <x v="5"/>
    <n v="200000"/>
    <n v="2000000"/>
    <n v="1600000"/>
    <n v="400000"/>
    <n v="663"/>
  </r>
  <r>
    <s v="2025-04-22"/>
    <x v="1"/>
    <x v="0"/>
    <x v="1"/>
    <s v="Retail"/>
    <x v="1"/>
    <x v="5"/>
    <x v="0"/>
    <n v="320000"/>
    <n v="4"/>
    <x v="5"/>
    <n v="256000"/>
    <n v="1280000"/>
    <n v="1024000"/>
    <n v="256000"/>
    <n v="664"/>
  </r>
  <r>
    <s v="2025-04-01"/>
    <x v="1"/>
    <x v="3"/>
    <x v="1"/>
    <s v="Corporate"/>
    <x v="1"/>
    <x v="1"/>
    <x v="1"/>
    <n v="30000"/>
    <n v="10"/>
    <x v="2"/>
    <n v="24000"/>
    <n v="300000"/>
    <n v="240000"/>
    <n v="60000"/>
    <n v="665"/>
  </r>
  <r>
    <s v="2025-04-16"/>
    <x v="1"/>
    <x v="3"/>
    <x v="0"/>
    <s v="Corporate"/>
    <x v="0"/>
    <x v="8"/>
    <x v="2"/>
    <n v="250000"/>
    <n v="4"/>
    <x v="4"/>
    <n v="200000"/>
    <n v="1000000"/>
    <n v="800000"/>
    <n v="200000"/>
    <n v="666"/>
  </r>
  <r>
    <s v="2025-01-23"/>
    <x v="0"/>
    <x v="1"/>
    <x v="0"/>
    <s v="Corporate"/>
    <x v="0"/>
    <x v="5"/>
    <x v="0"/>
    <n v="320000"/>
    <n v="5"/>
    <x v="2"/>
    <n v="256000"/>
    <n v="1600000"/>
    <n v="1280000"/>
    <n v="320000"/>
    <n v="667"/>
  </r>
  <r>
    <s v="2025-03-17"/>
    <x v="3"/>
    <x v="1"/>
    <x v="1"/>
    <s v="Retail"/>
    <x v="1"/>
    <x v="5"/>
    <x v="0"/>
    <n v="320000"/>
    <n v="9"/>
    <x v="5"/>
    <n v="256000"/>
    <n v="2880000"/>
    <n v="2304000"/>
    <n v="576000"/>
    <n v="668"/>
  </r>
  <r>
    <s v="2025-03-07"/>
    <x v="3"/>
    <x v="1"/>
    <x v="1"/>
    <s v="Retail"/>
    <x v="0"/>
    <x v="4"/>
    <x v="1"/>
    <n v="180000"/>
    <n v="1"/>
    <x v="4"/>
    <n v="144000"/>
    <n v="180000"/>
    <n v="144000"/>
    <n v="36000"/>
    <n v="669"/>
  </r>
  <r>
    <s v="2025-04-18"/>
    <x v="1"/>
    <x v="2"/>
    <x v="0"/>
    <s v="Retail"/>
    <x v="0"/>
    <x v="1"/>
    <x v="1"/>
    <n v="30000"/>
    <n v="7"/>
    <x v="2"/>
    <n v="24000"/>
    <n v="210000"/>
    <n v="168000"/>
    <n v="42000"/>
    <n v="670"/>
  </r>
  <r>
    <s v="2025-04-29"/>
    <x v="1"/>
    <x v="3"/>
    <x v="3"/>
    <s v="Corporate"/>
    <x v="1"/>
    <x v="9"/>
    <x v="1"/>
    <n v="220000"/>
    <n v="5"/>
    <x v="3"/>
    <n v="176000"/>
    <n v="1100000"/>
    <n v="880000"/>
    <n v="220000"/>
    <n v="671"/>
  </r>
  <r>
    <s v="2025-02-26"/>
    <x v="2"/>
    <x v="3"/>
    <x v="3"/>
    <s v="Corporate"/>
    <x v="0"/>
    <x v="4"/>
    <x v="1"/>
    <n v="180000"/>
    <n v="4"/>
    <x v="5"/>
    <n v="144000"/>
    <n v="720000"/>
    <n v="576000"/>
    <n v="144000"/>
    <n v="672"/>
  </r>
  <r>
    <s v="2025-03-13"/>
    <x v="3"/>
    <x v="2"/>
    <x v="0"/>
    <s v="Corporate"/>
    <x v="0"/>
    <x v="4"/>
    <x v="1"/>
    <n v="180000"/>
    <n v="2"/>
    <x v="2"/>
    <n v="144000"/>
    <n v="360000"/>
    <n v="288000"/>
    <n v="72000"/>
    <n v="673"/>
  </r>
  <r>
    <s v="2025-02-12"/>
    <x v="2"/>
    <x v="0"/>
    <x v="2"/>
    <s v="Corporate"/>
    <x v="0"/>
    <x v="9"/>
    <x v="1"/>
    <n v="220000"/>
    <n v="2"/>
    <x v="4"/>
    <n v="176000"/>
    <n v="440000"/>
    <n v="352000"/>
    <n v="88000"/>
    <n v="674"/>
  </r>
  <r>
    <s v="2025-04-03"/>
    <x v="1"/>
    <x v="0"/>
    <x v="1"/>
    <s v="Corporate"/>
    <x v="1"/>
    <x v="2"/>
    <x v="1"/>
    <n v="60000"/>
    <n v="10"/>
    <x v="4"/>
    <n v="48000"/>
    <n v="600000"/>
    <n v="480000"/>
    <n v="120000"/>
    <n v="675"/>
  </r>
  <r>
    <s v="2025-02-19"/>
    <x v="2"/>
    <x v="3"/>
    <x v="0"/>
    <s v="Retail"/>
    <x v="1"/>
    <x v="1"/>
    <x v="1"/>
    <n v="30000"/>
    <n v="2"/>
    <x v="5"/>
    <n v="24000"/>
    <n v="60000"/>
    <n v="48000"/>
    <n v="12000"/>
    <n v="676"/>
  </r>
  <r>
    <s v="2025-01-11"/>
    <x v="0"/>
    <x v="1"/>
    <x v="1"/>
    <s v="Corporate"/>
    <x v="0"/>
    <x v="3"/>
    <x v="2"/>
    <n v="300000"/>
    <n v="3"/>
    <x v="1"/>
    <n v="240000"/>
    <n v="900000"/>
    <n v="720000"/>
    <n v="180000"/>
    <n v="677"/>
  </r>
  <r>
    <s v="2025-03-13"/>
    <x v="3"/>
    <x v="2"/>
    <x v="2"/>
    <s v="Retail"/>
    <x v="1"/>
    <x v="1"/>
    <x v="1"/>
    <n v="30000"/>
    <n v="8"/>
    <x v="0"/>
    <n v="24000"/>
    <n v="240000"/>
    <n v="192000"/>
    <n v="48000"/>
    <n v="678"/>
  </r>
  <r>
    <s v="2025-03-03"/>
    <x v="3"/>
    <x v="3"/>
    <x v="0"/>
    <s v="Retail"/>
    <x v="0"/>
    <x v="3"/>
    <x v="2"/>
    <n v="300000"/>
    <n v="7"/>
    <x v="0"/>
    <n v="240000"/>
    <n v="2100000"/>
    <n v="1680000"/>
    <n v="420000"/>
    <n v="679"/>
  </r>
  <r>
    <s v="2025-04-05"/>
    <x v="1"/>
    <x v="1"/>
    <x v="0"/>
    <s v="Retail"/>
    <x v="0"/>
    <x v="1"/>
    <x v="1"/>
    <n v="30000"/>
    <n v="2"/>
    <x v="3"/>
    <n v="24000"/>
    <n v="60000"/>
    <n v="48000"/>
    <n v="12000"/>
    <n v="680"/>
  </r>
  <r>
    <s v="2025-03-07"/>
    <x v="3"/>
    <x v="1"/>
    <x v="0"/>
    <s v="Corporate"/>
    <x v="1"/>
    <x v="9"/>
    <x v="1"/>
    <n v="220000"/>
    <n v="8"/>
    <x v="2"/>
    <n v="176000"/>
    <n v="1760000"/>
    <n v="1408000"/>
    <n v="352000"/>
    <n v="681"/>
  </r>
  <r>
    <s v="2025-04-20"/>
    <x v="1"/>
    <x v="0"/>
    <x v="2"/>
    <s v="Retail"/>
    <x v="0"/>
    <x v="2"/>
    <x v="1"/>
    <n v="60000"/>
    <n v="1"/>
    <x v="0"/>
    <n v="48000"/>
    <n v="60000"/>
    <n v="48000"/>
    <n v="12000"/>
    <n v="682"/>
  </r>
  <r>
    <s v="2025-03-01"/>
    <x v="3"/>
    <x v="2"/>
    <x v="2"/>
    <s v="Corporate"/>
    <x v="0"/>
    <x v="0"/>
    <x v="0"/>
    <n v="85000"/>
    <n v="9"/>
    <x v="4"/>
    <n v="68000"/>
    <n v="765000"/>
    <n v="612000"/>
    <n v="153000"/>
    <n v="683"/>
  </r>
  <r>
    <s v="2025-02-26"/>
    <x v="2"/>
    <x v="1"/>
    <x v="1"/>
    <s v="Retail"/>
    <x v="1"/>
    <x v="0"/>
    <x v="0"/>
    <n v="85000"/>
    <n v="4"/>
    <x v="3"/>
    <n v="68000"/>
    <n v="340000"/>
    <n v="272000"/>
    <n v="68000"/>
    <n v="684"/>
  </r>
  <r>
    <s v="2025-01-31"/>
    <x v="0"/>
    <x v="1"/>
    <x v="3"/>
    <s v="Corporate"/>
    <x v="1"/>
    <x v="4"/>
    <x v="1"/>
    <n v="180000"/>
    <n v="6"/>
    <x v="0"/>
    <n v="144000"/>
    <n v="1080000"/>
    <n v="864000"/>
    <n v="216000"/>
    <n v="685"/>
  </r>
  <r>
    <s v="2025-03-30"/>
    <x v="3"/>
    <x v="0"/>
    <x v="3"/>
    <s v="Retail"/>
    <x v="0"/>
    <x v="4"/>
    <x v="1"/>
    <n v="180000"/>
    <n v="2"/>
    <x v="5"/>
    <n v="144000"/>
    <n v="360000"/>
    <n v="288000"/>
    <n v="72000"/>
    <n v="686"/>
  </r>
  <r>
    <s v="2025-01-07"/>
    <x v="0"/>
    <x v="3"/>
    <x v="0"/>
    <s v="Retail"/>
    <x v="0"/>
    <x v="2"/>
    <x v="1"/>
    <n v="60000"/>
    <n v="8"/>
    <x v="2"/>
    <n v="48000"/>
    <n v="480000"/>
    <n v="384000"/>
    <n v="96000"/>
    <n v="687"/>
  </r>
  <r>
    <s v="2025-01-01"/>
    <x v="0"/>
    <x v="3"/>
    <x v="3"/>
    <s v="Retail"/>
    <x v="0"/>
    <x v="5"/>
    <x v="0"/>
    <n v="320000"/>
    <n v="4"/>
    <x v="3"/>
    <n v="256000"/>
    <n v="1280000"/>
    <n v="1024000"/>
    <n v="256000"/>
    <n v="688"/>
  </r>
  <r>
    <s v="2025-04-02"/>
    <x v="1"/>
    <x v="1"/>
    <x v="1"/>
    <s v="Corporate"/>
    <x v="0"/>
    <x v="4"/>
    <x v="1"/>
    <n v="180000"/>
    <n v="3"/>
    <x v="1"/>
    <n v="144000"/>
    <n v="540000"/>
    <n v="432000"/>
    <n v="108000"/>
    <n v="689"/>
  </r>
  <r>
    <s v="2025-03-20"/>
    <x v="3"/>
    <x v="1"/>
    <x v="0"/>
    <s v="Retail"/>
    <x v="1"/>
    <x v="6"/>
    <x v="2"/>
    <n v="150000"/>
    <n v="9"/>
    <x v="2"/>
    <n v="120000"/>
    <n v="1350000"/>
    <n v="1080000"/>
    <n v="270000"/>
    <n v="690"/>
  </r>
  <r>
    <s v="2025-04-17"/>
    <x v="1"/>
    <x v="1"/>
    <x v="1"/>
    <s v="Corporate"/>
    <x v="1"/>
    <x v="0"/>
    <x v="0"/>
    <n v="85000"/>
    <n v="4"/>
    <x v="0"/>
    <n v="68000"/>
    <n v="340000"/>
    <n v="272000"/>
    <n v="68000"/>
    <n v="691"/>
  </r>
  <r>
    <s v="2025-04-03"/>
    <x v="1"/>
    <x v="2"/>
    <x v="2"/>
    <s v="Retail"/>
    <x v="0"/>
    <x v="9"/>
    <x v="1"/>
    <n v="220000"/>
    <n v="4"/>
    <x v="0"/>
    <n v="176000"/>
    <n v="880000"/>
    <n v="704000"/>
    <n v="176000"/>
    <n v="692"/>
  </r>
  <r>
    <s v="2025-02-18"/>
    <x v="2"/>
    <x v="3"/>
    <x v="0"/>
    <s v="Retail"/>
    <x v="0"/>
    <x v="1"/>
    <x v="1"/>
    <n v="30000"/>
    <n v="8"/>
    <x v="4"/>
    <n v="24000"/>
    <n v="240000"/>
    <n v="192000"/>
    <n v="48000"/>
    <n v="693"/>
  </r>
  <r>
    <s v="2025-01-11"/>
    <x v="0"/>
    <x v="2"/>
    <x v="0"/>
    <s v="Retail"/>
    <x v="0"/>
    <x v="0"/>
    <x v="0"/>
    <n v="85000"/>
    <n v="4"/>
    <x v="0"/>
    <n v="68000"/>
    <n v="340000"/>
    <n v="272000"/>
    <n v="68000"/>
    <n v="694"/>
  </r>
  <r>
    <s v="2025-02-04"/>
    <x v="2"/>
    <x v="3"/>
    <x v="0"/>
    <s v="Retail"/>
    <x v="0"/>
    <x v="3"/>
    <x v="2"/>
    <n v="300000"/>
    <n v="2"/>
    <x v="2"/>
    <n v="240000"/>
    <n v="600000"/>
    <n v="480000"/>
    <n v="120000"/>
    <n v="695"/>
  </r>
  <r>
    <s v="2025-03-22"/>
    <x v="3"/>
    <x v="0"/>
    <x v="2"/>
    <s v="Corporate"/>
    <x v="1"/>
    <x v="0"/>
    <x v="0"/>
    <n v="85000"/>
    <n v="2"/>
    <x v="4"/>
    <n v="68000"/>
    <n v="170000"/>
    <n v="136000"/>
    <n v="34000"/>
    <n v="696"/>
  </r>
  <r>
    <s v="2025-04-25"/>
    <x v="1"/>
    <x v="0"/>
    <x v="0"/>
    <s v="Corporate"/>
    <x v="0"/>
    <x v="7"/>
    <x v="2"/>
    <n v="420000"/>
    <n v="5"/>
    <x v="0"/>
    <n v="336000"/>
    <n v="2100000"/>
    <n v="1680000"/>
    <n v="420000"/>
    <n v="697"/>
  </r>
  <r>
    <s v="2025-04-07"/>
    <x v="1"/>
    <x v="2"/>
    <x v="2"/>
    <s v="Corporate"/>
    <x v="0"/>
    <x v="3"/>
    <x v="2"/>
    <n v="300000"/>
    <n v="8"/>
    <x v="1"/>
    <n v="240000"/>
    <n v="2400000"/>
    <n v="1920000"/>
    <n v="480000"/>
    <n v="698"/>
  </r>
  <r>
    <s v="2025-04-03"/>
    <x v="1"/>
    <x v="0"/>
    <x v="1"/>
    <s v="Corporate"/>
    <x v="1"/>
    <x v="2"/>
    <x v="1"/>
    <n v="60000"/>
    <n v="1"/>
    <x v="0"/>
    <n v="48000"/>
    <n v="60000"/>
    <n v="48000"/>
    <n v="12000"/>
    <n v="699"/>
  </r>
  <r>
    <s v="2025-02-27"/>
    <x v="2"/>
    <x v="0"/>
    <x v="2"/>
    <s v="Retail"/>
    <x v="0"/>
    <x v="8"/>
    <x v="2"/>
    <n v="250000"/>
    <n v="8"/>
    <x v="0"/>
    <n v="200000"/>
    <n v="2000000"/>
    <n v="1600000"/>
    <n v="400000"/>
    <n v="700"/>
  </r>
  <r>
    <s v="2025-04-14"/>
    <x v="1"/>
    <x v="0"/>
    <x v="1"/>
    <s v="Corporate"/>
    <x v="0"/>
    <x v="3"/>
    <x v="2"/>
    <n v="300000"/>
    <n v="4"/>
    <x v="0"/>
    <n v="240000"/>
    <n v="1200000"/>
    <n v="960000"/>
    <n v="240000"/>
    <n v="701"/>
  </r>
  <r>
    <s v="2025-02-01"/>
    <x v="2"/>
    <x v="1"/>
    <x v="2"/>
    <s v="Corporate"/>
    <x v="0"/>
    <x v="3"/>
    <x v="2"/>
    <n v="300000"/>
    <n v="10"/>
    <x v="4"/>
    <n v="240000"/>
    <n v="3000000"/>
    <n v="2400000"/>
    <n v="600000"/>
    <n v="702"/>
  </r>
  <r>
    <s v="2025-01-07"/>
    <x v="0"/>
    <x v="2"/>
    <x v="1"/>
    <s v="Retail"/>
    <x v="0"/>
    <x v="3"/>
    <x v="2"/>
    <n v="300000"/>
    <n v="2"/>
    <x v="5"/>
    <n v="240000"/>
    <n v="600000"/>
    <n v="480000"/>
    <n v="120000"/>
    <n v="703"/>
  </r>
  <r>
    <s v="2025-02-28"/>
    <x v="2"/>
    <x v="0"/>
    <x v="3"/>
    <s v="Retail"/>
    <x v="1"/>
    <x v="0"/>
    <x v="0"/>
    <n v="85000"/>
    <n v="2"/>
    <x v="3"/>
    <n v="68000"/>
    <n v="170000"/>
    <n v="136000"/>
    <n v="34000"/>
    <n v="704"/>
  </r>
  <r>
    <s v="2025-04-06"/>
    <x v="1"/>
    <x v="3"/>
    <x v="1"/>
    <s v="Retail"/>
    <x v="0"/>
    <x v="5"/>
    <x v="0"/>
    <n v="320000"/>
    <n v="3"/>
    <x v="2"/>
    <n v="256000"/>
    <n v="960000"/>
    <n v="768000"/>
    <n v="192000"/>
    <n v="705"/>
  </r>
  <r>
    <s v="2025-02-24"/>
    <x v="2"/>
    <x v="0"/>
    <x v="2"/>
    <s v="Retail"/>
    <x v="1"/>
    <x v="6"/>
    <x v="2"/>
    <n v="150000"/>
    <n v="4"/>
    <x v="0"/>
    <n v="120000"/>
    <n v="600000"/>
    <n v="480000"/>
    <n v="120000"/>
    <n v="706"/>
  </r>
  <r>
    <s v="2025-01-18"/>
    <x v="0"/>
    <x v="0"/>
    <x v="2"/>
    <s v="Corporate"/>
    <x v="1"/>
    <x v="2"/>
    <x v="1"/>
    <n v="60000"/>
    <n v="8"/>
    <x v="2"/>
    <n v="48000"/>
    <n v="480000"/>
    <n v="384000"/>
    <n v="96000"/>
    <n v="707"/>
  </r>
  <r>
    <s v="2025-03-30"/>
    <x v="3"/>
    <x v="3"/>
    <x v="0"/>
    <s v="Corporate"/>
    <x v="1"/>
    <x v="0"/>
    <x v="0"/>
    <n v="85000"/>
    <n v="2"/>
    <x v="0"/>
    <n v="68000"/>
    <n v="170000"/>
    <n v="136000"/>
    <n v="34000"/>
    <n v="708"/>
  </r>
  <r>
    <s v="2025-04-29"/>
    <x v="1"/>
    <x v="3"/>
    <x v="1"/>
    <s v="Corporate"/>
    <x v="1"/>
    <x v="3"/>
    <x v="2"/>
    <n v="300000"/>
    <n v="8"/>
    <x v="1"/>
    <n v="240000"/>
    <n v="2400000"/>
    <n v="1920000"/>
    <n v="480000"/>
    <n v="709"/>
  </r>
  <r>
    <s v="2025-04-28"/>
    <x v="1"/>
    <x v="3"/>
    <x v="0"/>
    <s v="Retail"/>
    <x v="0"/>
    <x v="5"/>
    <x v="0"/>
    <n v="320000"/>
    <n v="5"/>
    <x v="4"/>
    <n v="256000"/>
    <n v="1600000"/>
    <n v="1280000"/>
    <n v="320000"/>
    <n v="710"/>
  </r>
  <r>
    <s v="2025-01-07"/>
    <x v="0"/>
    <x v="0"/>
    <x v="1"/>
    <s v="Corporate"/>
    <x v="1"/>
    <x v="1"/>
    <x v="1"/>
    <n v="30000"/>
    <n v="3"/>
    <x v="1"/>
    <n v="24000"/>
    <n v="90000"/>
    <n v="72000"/>
    <n v="18000"/>
    <n v="711"/>
  </r>
  <r>
    <s v="2025-05-01"/>
    <x v="4"/>
    <x v="2"/>
    <x v="0"/>
    <s v="Retail"/>
    <x v="1"/>
    <x v="1"/>
    <x v="1"/>
    <n v="30000"/>
    <n v="1"/>
    <x v="1"/>
    <n v="24000"/>
    <n v="30000"/>
    <n v="24000"/>
    <n v="6000"/>
    <n v="712"/>
  </r>
  <r>
    <s v="2025-03-13"/>
    <x v="3"/>
    <x v="2"/>
    <x v="3"/>
    <s v="Corporate"/>
    <x v="1"/>
    <x v="6"/>
    <x v="2"/>
    <n v="150000"/>
    <n v="3"/>
    <x v="1"/>
    <n v="120000"/>
    <n v="450000"/>
    <n v="360000"/>
    <n v="90000"/>
    <n v="713"/>
  </r>
  <r>
    <s v="2025-04-04"/>
    <x v="1"/>
    <x v="2"/>
    <x v="2"/>
    <s v="Retail"/>
    <x v="0"/>
    <x v="1"/>
    <x v="1"/>
    <n v="30000"/>
    <n v="5"/>
    <x v="3"/>
    <n v="24000"/>
    <n v="150000"/>
    <n v="120000"/>
    <n v="30000"/>
    <n v="714"/>
  </r>
  <r>
    <s v="2025-02-06"/>
    <x v="2"/>
    <x v="3"/>
    <x v="3"/>
    <s v="Corporate"/>
    <x v="1"/>
    <x v="4"/>
    <x v="1"/>
    <n v="180000"/>
    <n v="4"/>
    <x v="1"/>
    <n v="144000"/>
    <n v="720000"/>
    <n v="576000"/>
    <n v="144000"/>
    <n v="715"/>
  </r>
  <r>
    <s v="2025-01-04"/>
    <x v="0"/>
    <x v="2"/>
    <x v="2"/>
    <s v="Corporate"/>
    <x v="1"/>
    <x v="4"/>
    <x v="1"/>
    <n v="180000"/>
    <n v="3"/>
    <x v="5"/>
    <n v="144000"/>
    <n v="540000"/>
    <n v="432000"/>
    <n v="108000"/>
    <n v="716"/>
  </r>
  <r>
    <s v="2025-02-11"/>
    <x v="2"/>
    <x v="1"/>
    <x v="1"/>
    <s v="Corporate"/>
    <x v="1"/>
    <x v="3"/>
    <x v="2"/>
    <n v="300000"/>
    <n v="8"/>
    <x v="0"/>
    <n v="240000"/>
    <n v="2400000"/>
    <n v="1920000"/>
    <n v="480000"/>
    <n v="717"/>
  </r>
  <r>
    <s v="2025-02-26"/>
    <x v="2"/>
    <x v="1"/>
    <x v="3"/>
    <s v="Corporate"/>
    <x v="0"/>
    <x v="0"/>
    <x v="0"/>
    <n v="85000"/>
    <n v="8"/>
    <x v="1"/>
    <n v="68000"/>
    <n v="680000"/>
    <n v="544000"/>
    <n v="136000"/>
    <n v="718"/>
  </r>
  <r>
    <s v="2025-02-18"/>
    <x v="2"/>
    <x v="3"/>
    <x v="1"/>
    <s v="Retail"/>
    <x v="1"/>
    <x v="4"/>
    <x v="1"/>
    <n v="180000"/>
    <n v="1"/>
    <x v="0"/>
    <n v="144000"/>
    <n v="180000"/>
    <n v="144000"/>
    <n v="36000"/>
    <n v="719"/>
  </r>
  <r>
    <s v="2025-04-10"/>
    <x v="1"/>
    <x v="2"/>
    <x v="0"/>
    <s v="Corporate"/>
    <x v="0"/>
    <x v="7"/>
    <x v="2"/>
    <n v="420000"/>
    <n v="6"/>
    <x v="1"/>
    <n v="336000"/>
    <n v="2520000"/>
    <n v="2016000"/>
    <n v="504000"/>
    <n v="720"/>
  </r>
  <r>
    <s v="2025-04-17"/>
    <x v="1"/>
    <x v="0"/>
    <x v="3"/>
    <s v="Retail"/>
    <x v="1"/>
    <x v="7"/>
    <x v="2"/>
    <n v="420000"/>
    <n v="4"/>
    <x v="4"/>
    <n v="336000"/>
    <n v="1680000"/>
    <n v="1344000"/>
    <n v="336000"/>
    <n v="721"/>
  </r>
  <r>
    <s v="2025-03-19"/>
    <x v="3"/>
    <x v="1"/>
    <x v="3"/>
    <s v="Corporate"/>
    <x v="1"/>
    <x v="4"/>
    <x v="1"/>
    <n v="180000"/>
    <n v="3"/>
    <x v="1"/>
    <n v="144000"/>
    <n v="540000"/>
    <n v="432000"/>
    <n v="108000"/>
    <n v="722"/>
  </r>
  <r>
    <s v="2025-03-15"/>
    <x v="3"/>
    <x v="2"/>
    <x v="1"/>
    <s v="Retail"/>
    <x v="0"/>
    <x v="2"/>
    <x v="1"/>
    <n v="60000"/>
    <n v="3"/>
    <x v="1"/>
    <n v="48000"/>
    <n v="180000"/>
    <n v="144000"/>
    <n v="36000"/>
    <n v="723"/>
  </r>
  <r>
    <s v="2025-01-17"/>
    <x v="0"/>
    <x v="1"/>
    <x v="3"/>
    <s v="Retail"/>
    <x v="1"/>
    <x v="6"/>
    <x v="2"/>
    <n v="150000"/>
    <n v="1"/>
    <x v="2"/>
    <n v="120000"/>
    <n v="150000"/>
    <n v="120000"/>
    <n v="30000"/>
    <n v="724"/>
  </r>
  <r>
    <s v="2025-01-29"/>
    <x v="0"/>
    <x v="2"/>
    <x v="0"/>
    <s v="Corporate"/>
    <x v="0"/>
    <x v="7"/>
    <x v="2"/>
    <n v="420000"/>
    <n v="4"/>
    <x v="1"/>
    <n v="336000"/>
    <n v="1680000"/>
    <n v="1344000"/>
    <n v="336000"/>
    <n v="725"/>
  </r>
  <r>
    <s v="2025-04-13"/>
    <x v="1"/>
    <x v="3"/>
    <x v="1"/>
    <s v="Corporate"/>
    <x v="0"/>
    <x v="8"/>
    <x v="2"/>
    <n v="250000"/>
    <n v="6"/>
    <x v="2"/>
    <n v="200000"/>
    <n v="1500000"/>
    <n v="1200000"/>
    <n v="300000"/>
    <n v="726"/>
  </r>
  <r>
    <s v="2025-03-04"/>
    <x v="3"/>
    <x v="2"/>
    <x v="0"/>
    <s v="Corporate"/>
    <x v="1"/>
    <x v="5"/>
    <x v="0"/>
    <n v="320000"/>
    <n v="1"/>
    <x v="3"/>
    <n v="256000"/>
    <n v="320000"/>
    <n v="256000"/>
    <n v="64000"/>
    <n v="727"/>
  </r>
  <r>
    <s v="2025-01-23"/>
    <x v="0"/>
    <x v="3"/>
    <x v="3"/>
    <s v="Corporate"/>
    <x v="1"/>
    <x v="9"/>
    <x v="1"/>
    <n v="220000"/>
    <n v="10"/>
    <x v="5"/>
    <n v="176000"/>
    <n v="2200000"/>
    <n v="1760000"/>
    <n v="440000"/>
    <n v="728"/>
  </r>
  <r>
    <s v="2025-04-15"/>
    <x v="1"/>
    <x v="3"/>
    <x v="1"/>
    <s v="Retail"/>
    <x v="0"/>
    <x v="9"/>
    <x v="1"/>
    <n v="220000"/>
    <n v="5"/>
    <x v="1"/>
    <n v="176000"/>
    <n v="1100000"/>
    <n v="880000"/>
    <n v="220000"/>
    <n v="729"/>
  </r>
  <r>
    <s v="2025-01-09"/>
    <x v="0"/>
    <x v="2"/>
    <x v="2"/>
    <s v="Corporate"/>
    <x v="1"/>
    <x v="9"/>
    <x v="1"/>
    <n v="220000"/>
    <n v="8"/>
    <x v="5"/>
    <n v="176000"/>
    <n v="1760000"/>
    <n v="1408000"/>
    <n v="352000"/>
    <n v="730"/>
  </r>
  <r>
    <s v="2025-03-25"/>
    <x v="3"/>
    <x v="1"/>
    <x v="0"/>
    <s v="Retail"/>
    <x v="0"/>
    <x v="9"/>
    <x v="1"/>
    <n v="220000"/>
    <n v="9"/>
    <x v="2"/>
    <n v="176000"/>
    <n v="1980000"/>
    <n v="1584000"/>
    <n v="396000"/>
    <n v="731"/>
  </r>
  <r>
    <s v="2025-03-06"/>
    <x v="3"/>
    <x v="3"/>
    <x v="2"/>
    <s v="Corporate"/>
    <x v="0"/>
    <x v="3"/>
    <x v="2"/>
    <n v="300000"/>
    <n v="7"/>
    <x v="5"/>
    <n v="240000"/>
    <n v="2100000"/>
    <n v="1680000"/>
    <n v="420000"/>
    <n v="732"/>
  </r>
  <r>
    <s v="2025-03-07"/>
    <x v="3"/>
    <x v="0"/>
    <x v="3"/>
    <s v="Retail"/>
    <x v="0"/>
    <x v="7"/>
    <x v="2"/>
    <n v="420000"/>
    <n v="1"/>
    <x v="2"/>
    <n v="336000"/>
    <n v="420000"/>
    <n v="336000"/>
    <n v="84000"/>
    <n v="733"/>
  </r>
  <r>
    <s v="2025-02-04"/>
    <x v="2"/>
    <x v="0"/>
    <x v="1"/>
    <s v="Corporate"/>
    <x v="1"/>
    <x v="4"/>
    <x v="1"/>
    <n v="180000"/>
    <n v="6"/>
    <x v="2"/>
    <n v="144000"/>
    <n v="1080000"/>
    <n v="864000"/>
    <n v="216000"/>
    <n v="734"/>
  </r>
  <r>
    <s v="2025-04-06"/>
    <x v="1"/>
    <x v="3"/>
    <x v="0"/>
    <s v="Retail"/>
    <x v="0"/>
    <x v="8"/>
    <x v="2"/>
    <n v="250000"/>
    <n v="3"/>
    <x v="2"/>
    <n v="200000"/>
    <n v="750000"/>
    <n v="600000"/>
    <n v="150000"/>
    <n v="735"/>
  </r>
  <r>
    <s v="2025-04-14"/>
    <x v="1"/>
    <x v="3"/>
    <x v="3"/>
    <s v="Retail"/>
    <x v="0"/>
    <x v="5"/>
    <x v="0"/>
    <n v="320000"/>
    <n v="2"/>
    <x v="0"/>
    <n v="256000"/>
    <n v="640000"/>
    <n v="512000"/>
    <n v="128000"/>
    <n v="736"/>
  </r>
  <r>
    <s v="2025-04-26"/>
    <x v="1"/>
    <x v="1"/>
    <x v="1"/>
    <s v="Corporate"/>
    <x v="0"/>
    <x v="2"/>
    <x v="1"/>
    <n v="60000"/>
    <n v="3"/>
    <x v="1"/>
    <n v="48000"/>
    <n v="180000"/>
    <n v="144000"/>
    <n v="36000"/>
    <n v="737"/>
  </r>
  <r>
    <s v="2025-04-03"/>
    <x v="1"/>
    <x v="2"/>
    <x v="3"/>
    <s v="Corporate"/>
    <x v="1"/>
    <x v="1"/>
    <x v="1"/>
    <n v="30000"/>
    <n v="9"/>
    <x v="1"/>
    <n v="24000"/>
    <n v="270000"/>
    <n v="216000"/>
    <n v="54000"/>
    <n v="738"/>
  </r>
  <r>
    <s v="2025-02-06"/>
    <x v="2"/>
    <x v="1"/>
    <x v="2"/>
    <s v="Corporate"/>
    <x v="1"/>
    <x v="4"/>
    <x v="1"/>
    <n v="180000"/>
    <n v="6"/>
    <x v="1"/>
    <n v="144000"/>
    <n v="1080000"/>
    <n v="864000"/>
    <n v="216000"/>
    <n v="739"/>
  </r>
  <r>
    <s v="2025-04-06"/>
    <x v="1"/>
    <x v="2"/>
    <x v="2"/>
    <s v="Corporate"/>
    <x v="0"/>
    <x v="2"/>
    <x v="1"/>
    <n v="60000"/>
    <n v="8"/>
    <x v="4"/>
    <n v="48000"/>
    <n v="480000"/>
    <n v="384000"/>
    <n v="96000"/>
    <n v="740"/>
  </r>
  <r>
    <s v="2025-01-26"/>
    <x v="0"/>
    <x v="2"/>
    <x v="2"/>
    <s v="Corporate"/>
    <x v="0"/>
    <x v="2"/>
    <x v="1"/>
    <n v="60000"/>
    <n v="8"/>
    <x v="5"/>
    <n v="48000"/>
    <n v="480000"/>
    <n v="384000"/>
    <n v="96000"/>
    <n v="741"/>
  </r>
  <r>
    <s v="2025-04-16"/>
    <x v="1"/>
    <x v="2"/>
    <x v="2"/>
    <s v="Corporate"/>
    <x v="1"/>
    <x v="8"/>
    <x v="2"/>
    <n v="250000"/>
    <n v="3"/>
    <x v="3"/>
    <n v="200000"/>
    <n v="750000"/>
    <n v="600000"/>
    <n v="150000"/>
    <n v="742"/>
  </r>
  <r>
    <s v="2025-01-29"/>
    <x v="0"/>
    <x v="3"/>
    <x v="2"/>
    <s v="Corporate"/>
    <x v="1"/>
    <x v="0"/>
    <x v="0"/>
    <n v="85000"/>
    <n v="6"/>
    <x v="4"/>
    <n v="68000"/>
    <n v="510000"/>
    <n v="408000"/>
    <n v="102000"/>
    <n v="743"/>
  </r>
  <r>
    <s v="2025-01-15"/>
    <x v="0"/>
    <x v="1"/>
    <x v="3"/>
    <s v="Corporate"/>
    <x v="0"/>
    <x v="9"/>
    <x v="1"/>
    <n v="220000"/>
    <n v="9"/>
    <x v="2"/>
    <n v="176000"/>
    <n v="1980000"/>
    <n v="1584000"/>
    <n v="396000"/>
    <n v="744"/>
  </r>
  <r>
    <s v="2025-01-03"/>
    <x v="0"/>
    <x v="3"/>
    <x v="3"/>
    <s v="Corporate"/>
    <x v="1"/>
    <x v="8"/>
    <x v="2"/>
    <n v="250000"/>
    <n v="4"/>
    <x v="2"/>
    <n v="200000"/>
    <n v="1000000"/>
    <n v="800000"/>
    <n v="200000"/>
    <n v="745"/>
  </r>
  <r>
    <s v="2025-03-17"/>
    <x v="3"/>
    <x v="2"/>
    <x v="2"/>
    <s v="Corporate"/>
    <x v="1"/>
    <x v="8"/>
    <x v="2"/>
    <n v="250000"/>
    <n v="3"/>
    <x v="0"/>
    <n v="200000"/>
    <n v="750000"/>
    <n v="600000"/>
    <n v="150000"/>
    <n v="746"/>
  </r>
  <r>
    <s v="2025-01-24"/>
    <x v="0"/>
    <x v="2"/>
    <x v="3"/>
    <s v="Corporate"/>
    <x v="1"/>
    <x v="1"/>
    <x v="1"/>
    <n v="30000"/>
    <n v="10"/>
    <x v="0"/>
    <n v="24000"/>
    <n v="300000"/>
    <n v="240000"/>
    <n v="60000"/>
    <n v="747"/>
  </r>
  <r>
    <s v="2025-05-01"/>
    <x v="4"/>
    <x v="3"/>
    <x v="2"/>
    <s v="Corporate"/>
    <x v="1"/>
    <x v="3"/>
    <x v="2"/>
    <n v="300000"/>
    <n v="4"/>
    <x v="5"/>
    <n v="240000"/>
    <n v="1200000"/>
    <n v="960000"/>
    <n v="240000"/>
    <n v="748"/>
  </r>
  <r>
    <s v="2025-04-16"/>
    <x v="1"/>
    <x v="2"/>
    <x v="0"/>
    <s v="Corporate"/>
    <x v="1"/>
    <x v="5"/>
    <x v="0"/>
    <n v="320000"/>
    <n v="2"/>
    <x v="3"/>
    <n v="256000"/>
    <n v="640000"/>
    <n v="512000"/>
    <n v="128000"/>
    <n v="749"/>
  </r>
  <r>
    <s v="2025-01-06"/>
    <x v="0"/>
    <x v="2"/>
    <x v="3"/>
    <s v="Corporate"/>
    <x v="1"/>
    <x v="7"/>
    <x v="2"/>
    <n v="420000"/>
    <n v="8"/>
    <x v="5"/>
    <n v="336000"/>
    <n v="3360000"/>
    <n v="2688000"/>
    <n v="672000"/>
    <n v="750"/>
  </r>
  <r>
    <s v="2025-02-24"/>
    <x v="2"/>
    <x v="2"/>
    <x v="3"/>
    <s v="Corporate"/>
    <x v="1"/>
    <x v="1"/>
    <x v="1"/>
    <n v="30000"/>
    <n v="2"/>
    <x v="1"/>
    <n v="24000"/>
    <n v="60000"/>
    <n v="48000"/>
    <n v="12000"/>
    <n v="751"/>
  </r>
  <r>
    <s v="2025-02-03"/>
    <x v="2"/>
    <x v="3"/>
    <x v="3"/>
    <s v="Corporate"/>
    <x v="1"/>
    <x v="6"/>
    <x v="2"/>
    <n v="150000"/>
    <n v="3"/>
    <x v="0"/>
    <n v="120000"/>
    <n v="450000"/>
    <n v="360000"/>
    <n v="90000"/>
    <n v="752"/>
  </r>
  <r>
    <s v="2025-03-04"/>
    <x v="3"/>
    <x v="2"/>
    <x v="1"/>
    <s v="Corporate"/>
    <x v="1"/>
    <x v="9"/>
    <x v="1"/>
    <n v="220000"/>
    <n v="6"/>
    <x v="1"/>
    <n v="176000"/>
    <n v="1320000"/>
    <n v="1056000"/>
    <n v="264000"/>
    <n v="753"/>
  </r>
  <r>
    <s v="2025-04-06"/>
    <x v="1"/>
    <x v="0"/>
    <x v="0"/>
    <s v="Corporate"/>
    <x v="0"/>
    <x v="2"/>
    <x v="1"/>
    <n v="60000"/>
    <n v="7"/>
    <x v="3"/>
    <n v="48000"/>
    <n v="420000"/>
    <n v="336000"/>
    <n v="84000"/>
    <n v="754"/>
  </r>
  <r>
    <s v="2025-02-02"/>
    <x v="2"/>
    <x v="2"/>
    <x v="0"/>
    <s v="Retail"/>
    <x v="0"/>
    <x v="0"/>
    <x v="0"/>
    <n v="85000"/>
    <n v="7"/>
    <x v="3"/>
    <n v="68000"/>
    <n v="595000"/>
    <n v="476000"/>
    <n v="119000"/>
    <n v="755"/>
  </r>
  <r>
    <s v="2025-01-14"/>
    <x v="0"/>
    <x v="0"/>
    <x v="1"/>
    <s v="Retail"/>
    <x v="0"/>
    <x v="7"/>
    <x v="2"/>
    <n v="420000"/>
    <n v="6"/>
    <x v="0"/>
    <n v="336000"/>
    <n v="2520000"/>
    <n v="2016000"/>
    <n v="504000"/>
    <n v="756"/>
  </r>
  <r>
    <s v="2025-04-15"/>
    <x v="1"/>
    <x v="0"/>
    <x v="0"/>
    <s v="Retail"/>
    <x v="1"/>
    <x v="3"/>
    <x v="2"/>
    <n v="300000"/>
    <n v="3"/>
    <x v="2"/>
    <n v="240000"/>
    <n v="900000"/>
    <n v="720000"/>
    <n v="180000"/>
    <n v="757"/>
  </r>
  <r>
    <s v="2025-01-25"/>
    <x v="0"/>
    <x v="3"/>
    <x v="3"/>
    <s v="Retail"/>
    <x v="0"/>
    <x v="9"/>
    <x v="1"/>
    <n v="220000"/>
    <n v="10"/>
    <x v="0"/>
    <n v="176000"/>
    <n v="2200000"/>
    <n v="1760000"/>
    <n v="440000"/>
    <n v="758"/>
  </r>
  <r>
    <s v="2025-02-27"/>
    <x v="2"/>
    <x v="3"/>
    <x v="0"/>
    <s v="Corporate"/>
    <x v="1"/>
    <x v="0"/>
    <x v="0"/>
    <n v="85000"/>
    <n v="4"/>
    <x v="3"/>
    <n v="68000"/>
    <n v="340000"/>
    <n v="272000"/>
    <n v="68000"/>
    <n v="759"/>
  </r>
  <r>
    <s v="2025-03-10"/>
    <x v="3"/>
    <x v="3"/>
    <x v="1"/>
    <s v="Retail"/>
    <x v="1"/>
    <x v="5"/>
    <x v="0"/>
    <n v="320000"/>
    <n v="4"/>
    <x v="5"/>
    <n v="256000"/>
    <n v="1280000"/>
    <n v="1024000"/>
    <n v="256000"/>
    <n v="760"/>
  </r>
  <r>
    <s v="2025-01-27"/>
    <x v="0"/>
    <x v="2"/>
    <x v="3"/>
    <s v="Retail"/>
    <x v="1"/>
    <x v="6"/>
    <x v="2"/>
    <n v="150000"/>
    <n v="6"/>
    <x v="5"/>
    <n v="120000"/>
    <n v="900000"/>
    <n v="720000"/>
    <n v="180000"/>
    <n v="761"/>
  </r>
  <r>
    <s v="2025-01-27"/>
    <x v="0"/>
    <x v="0"/>
    <x v="1"/>
    <s v="Retail"/>
    <x v="1"/>
    <x v="5"/>
    <x v="0"/>
    <n v="320000"/>
    <n v="2"/>
    <x v="5"/>
    <n v="256000"/>
    <n v="640000"/>
    <n v="512000"/>
    <n v="128000"/>
    <n v="762"/>
  </r>
  <r>
    <s v="2025-02-23"/>
    <x v="2"/>
    <x v="3"/>
    <x v="2"/>
    <s v="Retail"/>
    <x v="0"/>
    <x v="5"/>
    <x v="0"/>
    <n v="320000"/>
    <n v="10"/>
    <x v="5"/>
    <n v="256000"/>
    <n v="3200000"/>
    <n v="2560000"/>
    <n v="640000"/>
    <n v="763"/>
  </r>
  <r>
    <s v="2025-02-14"/>
    <x v="2"/>
    <x v="2"/>
    <x v="1"/>
    <s v="Corporate"/>
    <x v="0"/>
    <x v="7"/>
    <x v="2"/>
    <n v="420000"/>
    <n v="8"/>
    <x v="0"/>
    <n v="336000"/>
    <n v="3360000"/>
    <n v="2688000"/>
    <n v="672000"/>
    <n v="764"/>
  </r>
  <r>
    <s v="2025-03-01"/>
    <x v="3"/>
    <x v="3"/>
    <x v="0"/>
    <s v="Corporate"/>
    <x v="0"/>
    <x v="6"/>
    <x v="2"/>
    <n v="150000"/>
    <n v="5"/>
    <x v="4"/>
    <n v="120000"/>
    <n v="750000"/>
    <n v="600000"/>
    <n v="150000"/>
    <n v="765"/>
  </r>
  <r>
    <s v="2025-04-13"/>
    <x v="1"/>
    <x v="0"/>
    <x v="2"/>
    <s v="Corporate"/>
    <x v="1"/>
    <x v="0"/>
    <x v="0"/>
    <n v="85000"/>
    <n v="1"/>
    <x v="4"/>
    <n v="68000"/>
    <n v="85000"/>
    <n v="68000"/>
    <n v="17000"/>
    <n v="766"/>
  </r>
  <r>
    <s v="2025-04-21"/>
    <x v="1"/>
    <x v="1"/>
    <x v="3"/>
    <s v="Corporate"/>
    <x v="1"/>
    <x v="7"/>
    <x v="2"/>
    <n v="420000"/>
    <n v="2"/>
    <x v="5"/>
    <n v="336000"/>
    <n v="840000"/>
    <n v="672000"/>
    <n v="168000"/>
    <n v="767"/>
  </r>
  <r>
    <s v="2025-01-23"/>
    <x v="0"/>
    <x v="1"/>
    <x v="3"/>
    <s v="Retail"/>
    <x v="1"/>
    <x v="4"/>
    <x v="1"/>
    <n v="180000"/>
    <n v="6"/>
    <x v="5"/>
    <n v="144000"/>
    <n v="1080000"/>
    <n v="864000"/>
    <n v="216000"/>
    <n v="768"/>
  </r>
  <r>
    <s v="2025-02-15"/>
    <x v="2"/>
    <x v="1"/>
    <x v="0"/>
    <s v="Retail"/>
    <x v="1"/>
    <x v="9"/>
    <x v="1"/>
    <n v="220000"/>
    <n v="7"/>
    <x v="0"/>
    <n v="176000"/>
    <n v="1540000"/>
    <n v="1232000"/>
    <n v="308000"/>
    <n v="769"/>
  </r>
  <r>
    <s v="2025-04-27"/>
    <x v="1"/>
    <x v="1"/>
    <x v="0"/>
    <s v="Retail"/>
    <x v="0"/>
    <x v="9"/>
    <x v="1"/>
    <n v="220000"/>
    <n v="5"/>
    <x v="1"/>
    <n v="176000"/>
    <n v="1100000"/>
    <n v="880000"/>
    <n v="220000"/>
    <n v="770"/>
  </r>
  <r>
    <s v="2025-03-17"/>
    <x v="3"/>
    <x v="3"/>
    <x v="0"/>
    <s v="Retail"/>
    <x v="1"/>
    <x v="3"/>
    <x v="2"/>
    <n v="300000"/>
    <n v="6"/>
    <x v="2"/>
    <n v="240000"/>
    <n v="1800000"/>
    <n v="1440000"/>
    <n v="360000"/>
    <n v="771"/>
  </r>
  <r>
    <s v="2025-04-24"/>
    <x v="1"/>
    <x v="0"/>
    <x v="2"/>
    <s v="Retail"/>
    <x v="1"/>
    <x v="8"/>
    <x v="2"/>
    <n v="250000"/>
    <n v="4"/>
    <x v="2"/>
    <n v="200000"/>
    <n v="1000000"/>
    <n v="800000"/>
    <n v="200000"/>
    <n v="772"/>
  </r>
  <r>
    <s v="2025-04-06"/>
    <x v="1"/>
    <x v="3"/>
    <x v="1"/>
    <s v="Corporate"/>
    <x v="0"/>
    <x v="5"/>
    <x v="0"/>
    <n v="320000"/>
    <n v="5"/>
    <x v="1"/>
    <n v="256000"/>
    <n v="1600000"/>
    <n v="1280000"/>
    <n v="320000"/>
    <n v="773"/>
  </r>
  <r>
    <s v="2025-03-25"/>
    <x v="3"/>
    <x v="3"/>
    <x v="0"/>
    <s v="Retail"/>
    <x v="1"/>
    <x v="3"/>
    <x v="2"/>
    <n v="300000"/>
    <n v="10"/>
    <x v="5"/>
    <n v="240000"/>
    <n v="3000000"/>
    <n v="2400000"/>
    <n v="600000"/>
    <n v="774"/>
  </r>
  <r>
    <s v="2025-03-13"/>
    <x v="3"/>
    <x v="3"/>
    <x v="0"/>
    <s v="Retail"/>
    <x v="1"/>
    <x v="2"/>
    <x v="1"/>
    <n v="60000"/>
    <n v="5"/>
    <x v="4"/>
    <n v="48000"/>
    <n v="300000"/>
    <n v="240000"/>
    <n v="60000"/>
    <n v="775"/>
  </r>
  <r>
    <s v="2025-04-02"/>
    <x v="1"/>
    <x v="3"/>
    <x v="2"/>
    <s v="Retail"/>
    <x v="0"/>
    <x v="7"/>
    <x v="2"/>
    <n v="420000"/>
    <n v="8"/>
    <x v="3"/>
    <n v="336000"/>
    <n v="3360000"/>
    <n v="2688000"/>
    <n v="672000"/>
    <n v="776"/>
  </r>
  <r>
    <s v="2025-01-23"/>
    <x v="0"/>
    <x v="0"/>
    <x v="3"/>
    <s v="Corporate"/>
    <x v="0"/>
    <x v="3"/>
    <x v="2"/>
    <n v="300000"/>
    <n v="1"/>
    <x v="1"/>
    <n v="240000"/>
    <n v="300000"/>
    <n v="240000"/>
    <n v="60000"/>
    <n v="777"/>
  </r>
  <r>
    <s v="2025-03-13"/>
    <x v="3"/>
    <x v="0"/>
    <x v="2"/>
    <s v="Corporate"/>
    <x v="1"/>
    <x v="7"/>
    <x v="2"/>
    <n v="420000"/>
    <n v="2"/>
    <x v="4"/>
    <n v="336000"/>
    <n v="840000"/>
    <n v="672000"/>
    <n v="168000"/>
    <n v="778"/>
  </r>
  <r>
    <s v="2025-01-25"/>
    <x v="0"/>
    <x v="2"/>
    <x v="1"/>
    <s v="Corporate"/>
    <x v="0"/>
    <x v="7"/>
    <x v="2"/>
    <n v="420000"/>
    <n v="7"/>
    <x v="3"/>
    <n v="336000"/>
    <n v="2940000"/>
    <n v="2352000"/>
    <n v="588000"/>
    <n v="779"/>
  </r>
  <r>
    <s v="2025-01-31"/>
    <x v="0"/>
    <x v="0"/>
    <x v="2"/>
    <s v="Corporate"/>
    <x v="0"/>
    <x v="4"/>
    <x v="1"/>
    <n v="180000"/>
    <n v="8"/>
    <x v="2"/>
    <n v="144000"/>
    <n v="1440000"/>
    <n v="1152000"/>
    <n v="288000"/>
    <n v="780"/>
  </r>
  <r>
    <s v="2025-01-22"/>
    <x v="0"/>
    <x v="0"/>
    <x v="2"/>
    <s v="Retail"/>
    <x v="0"/>
    <x v="2"/>
    <x v="1"/>
    <n v="60000"/>
    <n v="7"/>
    <x v="2"/>
    <n v="48000"/>
    <n v="420000"/>
    <n v="336000"/>
    <n v="84000"/>
    <n v="781"/>
  </r>
  <r>
    <s v="2025-04-18"/>
    <x v="1"/>
    <x v="1"/>
    <x v="1"/>
    <s v="Corporate"/>
    <x v="0"/>
    <x v="7"/>
    <x v="2"/>
    <n v="420000"/>
    <n v="7"/>
    <x v="2"/>
    <n v="336000"/>
    <n v="2940000"/>
    <n v="2352000"/>
    <n v="588000"/>
    <n v="782"/>
  </r>
  <r>
    <s v="2025-02-18"/>
    <x v="2"/>
    <x v="1"/>
    <x v="0"/>
    <s v="Retail"/>
    <x v="0"/>
    <x v="4"/>
    <x v="1"/>
    <n v="180000"/>
    <n v="5"/>
    <x v="5"/>
    <n v="144000"/>
    <n v="900000"/>
    <n v="720000"/>
    <n v="180000"/>
    <n v="783"/>
  </r>
  <r>
    <s v="2025-03-27"/>
    <x v="3"/>
    <x v="1"/>
    <x v="2"/>
    <s v="Corporate"/>
    <x v="1"/>
    <x v="7"/>
    <x v="2"/>
    <n v="420000"/>
    <n v="9"/>
    <x v="5"/>
    <n v="336000"/>
    <n v="3780000"/>
    <n v="3024000"/>
    <n v="756000"/>
    <n v="784"/>
  </r>
  <r>
    <s v="2025-02-10"/>
    <x v="2"/>
    <x v="1"/>
    <x v="2"/>
    <s v="Corporate"/>
    <x v="1"/>
    <x v="3"/>
    <x v="2"/>
    <n v="300000"/>
    <n v="7"/>
    <x v="3"/>
    <n v="240000"/>
    <n v="2100000"/>
    <n v="1680000"/>
    <n v="420000"/>
    <n v="785"/>
  </r>
  <r>
    <s v="2025-04-15"/>
    <x v="1"/>
    <x v="0"/>
    <x v="3"/>
    <s v="Retail"/>
    <x v="1"/>
    <x v="6"/>
    <x v="2"/>
    <n v="150000"/>
    <n v="3"/>
    <x v="1"/>
    <n v="120000"/>
    <n v="450000"/>
    <n v="360000"/>
    <n v="90000"/>
    <n v="786"/>
  </r>
  <r>
    <s v="2025-01-21"/>
    <x v="0"/>
    <x v="0"/>
    <x v="1"/>
    <s v="Retail"/>
    <x v="1"/>
    <x v="3"/>
    <x v="2"/>
    <n v="300000"/>
    <n v="10"/>
    <x v="5"/>
    <n v="240000"/>
    <n v="3000000"/>
    <n v="2400000"/>
    <n v="600000"/>
    <n v="787"/>
  </r>
  <r>
    <s v="2025-02-19"/>
    <x v="2"/>
    <x v="1"/>
    <x v="0"/>
    <s v="Retail"/>
    <x v="0"/>
    <x v="7"/>
    <x v="2"/>
    <n v="420000"/>
    <n v="8"/>
    <x v="5"/>
    <n v="336000"/>
    <n v="3360000"/>
    <n v="2688000"/>
    <n v="672000"/>
    <n v="788"/>
  </r>
  <r>
    <s v="2025-03-10"/>
    <x v="3"/>
    <x v="0"/>
    <x v="2"/>
    <s v="Corporate"/>
    <x v="1"/>
    <x v="9"/>
    <x v="1"/>
    <n v="220000"/>
    <n v="2"/>
    <x v="2"/>
    <n v="176000"/>
    <n v="440000"/>
    <n v="352000"/>
    <n v="88000"/>
    <n v="789"/>
  </r>
  <r>
    <s v="2025-02-23"/>
    <x v="2"/>
    <x v="0"/>
    <x v="3"/>
    <s v="Retail"/>
    <x v="0"/>
    <x v="6"/>
    <x v="2"/>
    <n v="150000"/>
    <n v="4"/>
    <x v="0"/>
    <n v="120000"/>
    <n v="600000"/>
    <n v="480000"/>
    <n v="120000"/>
    <n v="790"/>
  </r>
  <r>
    <s v="2025-01-29"/>
    <x v="0"/>
    <x v="0"/>
    <x v="1"/>
    <s v="Retail"/>
    <x v="0"/>
    <x v="1"/>
    <x v="1"/>
    <n v="30000"/>
    <n v="8"/>
    <x v="3"/>
    <n v="24000"/>
    <n v="240000"/>
    <n v="192000"/>
    <n v="48000"/>
    <n v="791"/>
  </r>
  <r>
    <s v="2025-02-08"/>
    <x v="2"/>
    <x v="0"/>
    <x v="2"/>
    <s v="Corporate"/>
    <x v="1"/>
    <x v="7"/>
    <x v="2"/>
    <n v="420000"/>
    <n v="3"/>
    <x v="4"/>
    <n v="336000"/>
    <n v="1260000"/>
    <n v="1008000"/>
    <n v="252000"/>
    <n v="792"/>
  </r>
  <r>
    <s v="2025-01-21"/>
    <x v="0"/>
    <x v="0"/>
    <x v="0"/>
    <s v="Corporate"/>
    <x v="1"/>
    <x v="3"/>
    <x v="2"/>
    <n v="300000"/>
    <n v="4"/>
    <x v="5"/>
    <n v="240000"/>
    <n v="1200000"/>
    <n v="960000"/>
    <n v="240000"/>
    <n v="793"/>
  </r>
  <r>
    <s v="2025-03-20"/>
    <x v="3"/>
    <x v="0"/>
    <x v="1"/>
    <s v="Retail"/>
    <x v="0"/>
    <x v="8"/>
    <x v="2"/>
    <n v="250000"/>
    <n v="6"/>
    <x v="1"/>
    <n v="200000"/>
    <n v="1500000"/>
    <n v="1200000"/>
    <n v="300000"/>
    <n v="794"/>
  </r>
  <r>
    <s v="2025-04-24"/>
    <x v="1"/>
    <x v="0"/>
    <x v="2"/>
    <s v="Corporate"/>
    <x v="1"/>
    <x v="5"/>
    <x v="0"/>
    <n v="320000"/>
    <n v="6"/>
    <x v="3"/>
    <n v="256000"/>
    <n v="1920000"/>
    <n v="1536000"/>
    <n v="384000"/>
    <n v="795"/>
  </r>
  <r>
    <s v="2025-01-11"/>
    <x v="0"/>
    <x v="0"/>
    <x v="2"/>
    <s v="Retail"/>
    <x v="0"/>
    <x v="4"/>
    <x v="1"/>
    <n v="180000"/>
    <n v="5"/>
    <x v="3"/>
    <n v="144000"/>
    <n v="900000"/>
    <n v="720000"/>
    <n v="180000"/>
    <n v="796"/>
  </r>
  <r>
    <s v="2025-02-28"/>
    <x v="2"/>
    <x v="0"/>
    <x v="0"/>
    <s v="Retail"/>
    <x v="0"/>
    <x v="6"/>
    <x v="2"/>
    <n v="150000"/>
    <n v="1"/>
    <x v="2"/>
    <n v="120000"/>
    <n v="150000"/>
    <n v="120000"/>
    <n v="30000"/>
    <n v="797"/>
  </r>
  <r>
    <s v="2025-01-02"/>
    <x v="0"/>
    <x v="0"/>
    <x v="0"/>
    <s v="Retail"/>
    <x v="1"/>
    <x v="2"/>
    <x v="1"/>
    <n v="60000"/>
    <n v="3"/>
    <x v="5"/>
    <n v="48000"/>
    <n v="180000"/>
    <n v="144000"/>
    <n v="36000"/>
    <n v="798"/>
  </r>
  <r>
    <s v="2025-03-05"/>
    <x v="3"/>
    <x v="1"/>
    <x v="3"/>
    <s v="Corporate"/>
    <x v="0"/>
    <x v="0"/>
    <x v="0"/>
    <n v="85000"/>
    <n v="10"/>
    <x v="1"/>
    <n v="68000"/>
    <n v="850000"/>
    <n v="680000"/>
    <n v="170000"/>
    <n v="799"/>
  </r>
  <r>
    <s v="2025-04-02"/>
    <x v="1"/>
    <x v="0"/>
    <x v="3"/>
    <s v="Corporate"/>
    <x v="1"/>
    <x v="6"/>
    <x v="2"/>
    <n v="150000"/>
    <n v="3"/>
    <x v="4"/>
    <n v="120000"/>
    <n v="450000"/>
    <n v="360000"/>
    <n v="90000"/>
    <n v="800"/>
  </r>
  <r>
    <s v="2025-02-06"/>
    <x v="2"/>
    <x v="2"/>
    <x v="0"/>
    <s v="Corporate"/>
    <x v="1"/>
    <x v="7"/>
    <x v="2"/>
    <n v="420000"/>
    <n v="9"/>
    <x v="4"/>
    <n v="336000"/>
    <n v="3780000"/>
    <n v="3024000"/>
    <n v="756000"/>
    <n v="801"/>
  </r>
  <r>
    <s v="2025-04-11"/>
    <x v="1"/>
    <x v="2"/>
    <x v="3"/>
    <s v="Retail"/>
    <x v="1"/>
    <x v="9"/>
    <x v="1"/>
    <n v="220000"/>
    <n v="1"/>
    <x v="3"/>
    <n v="176000"/>
    <n v="220000"/>
    <n v="176000"/>
    <n v="44000"/>
    <n v="802"/>
  </r>
  <r>
    <s v="2025-02-07"/>
    <x v="2"/>
    <x v="1"/>
    <x v="3"/>
    <s v="Corporate"/>
    <x v="0"/>
    <x v="0"/>
    <x v="0"/>
    <n v="85000"/>
    <n v="4"/>
    <x v="1"/>
    <n v="68000"/>
    <n v="340000"/>
    <n v="272000"/>
    <n v="68000"/>
    <n v="803"/>
  </r>
  <r>
    <s v="2025-04-03"/>
    <x v="1"/>
    <x v="0"/>
    <x v="0"/>
    <s v="Retail"/>
    <x v="0"/>
    <x v="7"/>
    <x v="2"/>
    <n v="420000"/>
    <n v="6"/>
    <x v="4"/>
    <n v="336000"/>
    <n v="2520000"/>
    <n v="2016000"/>
    <n v="504000"/>
    <n v="804"/>
  </r>
  <r>
    <s v="2025-04-05"/>
    <x v="1"/>
    <x v="3"/>
    <x v="3"/>
    <s v="Corporate"/>
    <x v="0"/>
    <x v="7"/>
    <x v="2"/>
    <n v="420000"/>
    <n v="6"/>
    <x v="2"/>
    <n v="336000"/>
    <n v="2520000"/>
    <n v="2016000"/>
    <n v="504000"/>
    <n v="805"/>
  </r>
  <r>
    <s v="2025-01-02"/>
    <x v="0"/>
    <x v="1"/>
    <x v="0"/>
    <s v="Retail"/>
    <x v="0"/>
    <x v="3"/>
    <x v="2"/>
    <n v="300000"/>
    <n v="10"/>
    <x v="3"/>
    <n v="240000"/>
    <n v="3000000"/>
    <n v="2400000"/>
    <n v="600000"/>
    <n v="806"/>
  </r>
  <r>
    <s v="2025-01-07"/>
    <x v="0"/>
    <x v="2"/>
    <x v="1"/>
    <s v="Retail"/>
    <x v="1"/>
    <x v="9"/>
    <x v="1"/>
    <n v="220000"/>
    <n v="4"/>
    <x v="2"/>
    <n v="176000"/>
    <n v="880000"/>
    <n v="704000"/>
    <n v="176000"/>
    <n v="807"/>
  </r>
  <r>
    <s v="2025-03-19"/>
    <x v="3"/>
    <x v="0"/>
    <x v="3"/>
    <s v="Retail"/>
    <x v="1"/>
    <x v="4"/>
    <x v="1"/>
    <n v="180000"/>
    <n v="8"/>
    <x v="4"/>
    <n v="144000"/>
    <n v="1440000"/>
    <n v="1152000"/>
    <n v="288000"/>
    <n v="808"/>
  </r>
  <r>
    <s v="2025-04-10"/>
    <x v="1"/>
    <x v="0"/>
    <x v="3"/>
    <s v="Retail"/>
    <x v="0"/>
    <x v="8"/>
    <x v="2"/>
    <n v="250000"/>
    <n v="3"/>
    <x v="0"/>
    <n v="200000"/>
    <n v="750000"/>
    <n v="600000"/>
    <n v="150000"/>
    <n v="809"/>
  </r>
  <r>
    <s v="2025-01-05"/>
    <x v="0"/>
    <x v="3"/>
    <x v="2"/>
    <s v="Corporate"/>
    <x v="0"/>
    <x v="3"/>
    <x v="2"/>
    <n v="300000"/>
    <n v="7"/>
    <x v="0"/>
    <n v="240000"/>
    <n v="2100000"/>
    <n v="1680000"/>
    <n v="420000"/>
    <n v="810"/>
  </r>
  <r>
    <s v="2025-01-05"/>
    <x v="0"/>
    <x v="3"/>
    <x v="3"/>
    <s v="Retail"/>
    <x v="1"/>
    <x v="3"/>
    <x v="2"/>
    <n v="300000"/>
    <n v="7"/>
    <x v="5"/>
    <n v="240000"/>
    <n v="2100000"/>
    <n v="1680000"/>
    <n v="420000"/>
    <n v="811"/>
  </r>
  <r>
    <s v="2025-04-12"/>
    <x v="1"/>
    <x v="3"/>
    <x v="3"/>
    <s v="Corporate"/>
    <x v="1"/>
    <x v="8"/>
    <x v="2"/>
    <n v="250000"/>
    <n v="1"/>
    <x v="4"/>
    <n v="200000"/>
    <n v="250000"/>
    <n v="200000"/>
    <n v="50000"/>
    <n v="812"/>
  </r>
  <r>
    <s v="2025-02-23"/>
    <x v="2"/>
    <x v="0"/>
    <x v="1"/>
    <s v="Corporate"/>
    <x v="0"/>
    <x v="3"/>
    <x v="2"/>
    <n v="300000"/>
    <n v="3"/>
    <x v="3"/>
    <n v="240000"/>
    <n v="900000"/>
    <n v="720000"/>
    <n v="180000"/>
    <n v="813"/>
  </r>
  <r>
    <s v="2025-04-01"/>
    <x v="1"/>
    <x v="2"/>
    <x v="0"/>
    <s v="Retail"/>
    <x v="0"/>
    <x v="7"/>
    <x v="2"/>
    <n v="420000"/>
    <n v="10"/>
    <x v="2"/>
    <n v="336000"/>
    <n v="4200000"/>
    <n v="3360000"/>
    <n v="840000"/>
    <n v="814"/>
  </r>
  <r>
    <s v="2025-04-21"/>
    <x v="1"/>
    <x v="3"/>
    <x v="2"/>
    <s v="Corporate"/>
    <x v="0"/>
    <x v="2"/>
    <x v="1"/>
    <n v="60000"/>
    <n v="9"/>
    <x v="3"/>
    <n v="48000"/>
    <n v="540000"/>
    <n v="432000"/>
    <n v="108000"/>
    <n v="815"/>
  </r>
  <r>
    <s v="2025-04-30"/>
    <x v="1"/>
    <x v="0"/>
    <x v="0"/>
    <s v="Retail"/>
    <x v="0"/>
    <x v="8"/>
    <x v="2"/>
    <n v="250000"/>
    <n v="4"/>
    <x v="2"/>
    <n v="200000"/>
    <n v="1000000"/>
    <n v="800000"/>
    <n v="200000"/>
    <n v="816"/>
  </r>
  <r>
    <s v="2025-04-29"/>
    <x v="1"/>
    <x v="1"/>
    <x v="2"/>
    <s v="Retail"/>
    <x v="0"/>
    <x v="8"/>
    <x v="2"/>
    <n v="250000"/>
    <n v="3"/>
    <x v="4"/>
    <n v="200000"/>
    <n v="750000"/>
    <n v="600000"/>
    <n v="150000"/>
    <n v="817"/>
  </r>
  <r>
    <s v="2025-02-16"/>
    <x v="2"/>
    <x v="0"/>
    <x v="3"/>
    <s v="Retail"/>
    <x v="1"/>
    <x v="2"/>
    <x v="1"/>
    <n v="60000"/>
    <n v="3"/>
    <x v="0"/>
    <n v="48000"/>
    <n v="180000"/>
    <n v="144000"/>
    <n v="36000"/>
    <n v="818"/>
  </r>
  <r>
    <s v="2025-02-03"/>
    <x v="2"/>
    <x v="0"/>
    <x v="1"/>
    <s v="Corporate"/>
    <x v="0"/>
    <x v="5"/>
    <x v="0"/>
    <n v="320000"/>
    <n v="1"/>
    <x v="1"/>
    <n v="256000"/>
    <n v="320000"/>
    <n v="256000"/>
    <n v="64000"/>
    <n v="819"/>
  </r>
  <r>
    <s v="2025-02-01"/>
    <x v="2"/>
    <x v="3"/>
    <x v="3"/>
    <s v="Corporate"/>
    <x v="1"/>
    <x v="2"/>
    <x v="1"/>
    <n v="60000"/>
    <n v="8"/>
    <x v="1"/>
    <n v="48000"/>
    <n v="480000"/>
    <n v="384000"/>
    <n v="96000"/>
    <n v="820"/>
  </r>
  <r>
    <s v="2025-02-14"/>
    <x v="2"/>
    <x v="1"/>
    <x v="2"/>
    <s v="Corporate"/>
    <x v="1"/>
    <x v="8"/>
    <x v="2"/>
    <n v="250000"/>
    <n v="5"/>
    <x v="3"/>
    <n v="200000"/>
    <n v="1250000"/>
    <n v="1000000"/>
    <n v="250000"/>
    <n v="821"/>
  </r>
  <r>
    <s v="2025-03-04"/>
    <x v="3"/>
    <x v="0"/>
    <x v="0"/>
    <s v="Corporate"/>
    <x v="1"/>
    <x v="5"/>
    <x v="0"/>
    <n v="320000"/>
    <n v="2"/>
    <x v="5"/>
    <n v="256000"/>
    <n v="640000"/>
    <n v="512000"/>
    <n v="128000"/>
    <n v="822"/>
  </r>
  <r>
    <s v="2025-02-24"/>
    <x v="2"/>
    <x v="2"/>
    <x v="2"/>
    <s v="Corporate"/>
    <x v="0"/>
    <x v="9"/>
    <x v="1"/>
    <n v="220000"/>
    <n v="5"/>
    <x v="1"/>
    <n v="176000"/>
    <n v="1100000"/>
    <n v="880000"/>
    <n v="220000"/>
    <n v="823"/>
  </r>
  <r>
    <s v="2025-03-16"/>
    <x v="3"/>
    <x v="0"/>
    <x v="1"/>
    <s v="Corporate"/>
    <x v="1"/>
    <x v="8"/>
    <x v="2"/>
    <n v="250000"/>
    <n v="3"/>
    <x v="0"/>
    <n v="200000"/>
    <n v="750000"/>
    <n v="600000"/>
    <n v="150000"/>
    <n v="824"/>
  </r>
  <r>
    <s v="2025-03-23"/>
    <x v="3"/>
    <x v="0"/>
    <x v="2"/>
    <s v="Retail"/>
    <x v="1"/>
    <x v="0"/>
    <x v="0"/>
    <n v="85000"/>
    <n v="10"/>
    <x v="2"/>
    <n v="68000"/>
    <n v="850000"/>
    <n v="680000"/>
    <n v="170000"/>
    <n v="825"/>
  </r>
  <r>
    <s v="2025-02-07"/>
    <x v="2"/>
    <x v="2"/>
    <x v="0"/>
    <s v="Retail"/>
    <x v="1"/>
    <x v="7"/>
    <x v="2"/>
    <n v="420000"/>
    <n v="6"/>
    <x v="3"/>
    <n v="336000"/>
    <n v="2520000"/>
    <n v="2016000"/>
    <n v="504000"/>
    <n v="826"/>
  </r>
  <r>
    <s v="2025-04-10"/>
    <x v="1"/>
    <x v="3"/>
    <x v="1"/>
    <s v="Retail"/>
    <x v="1"/>
    <x v="6"/>
    <x v="2"/>
    <n v="150000"/>
    <n v="5"/>
    <x v="1"/>
    <n v="120000"/>
    <n v="750000"/>
    <n v="600000"/>
    <n v="150000"/>
    <n v="827"/>
  </r>
  <r>
    <s v="2025-04-12"/>
    <x v="1"/>
    <x v="3"/>
    <x v="0"/>
    <s v="Retail"/>
    <x v="1"/>
    <x v="5"/>
    <x v="0"/>
    <n v="320000"/>
    <n v="3"/>
    <x v="4"/>
    <n v="256000"/>
    <n v="960000"/>
    <n v="768000"/>
    <n v="192000"/>
    <n v="828"/>
  </r>
  <r>
    <s v="2025-04-12"/>
    <x v="1"/>
    <x v="3"/>
    <x v="3"/>
    <s v="Corporate"/>
    <x v="0"/>
    <x v="1"/>
    <x v="1"/>
    <n v="30000"/>
    <n v="1"/>
    <x v="3"/>
    <n v="24000"/>
    <n v="30000"/>
    <n v="24000"/>
    <n v="6000"/>
    <n v="829"/>
  </r>
  <r>
    <s v="2025-02-03"/>
    <x v="2"/>
    <x v="0"/>
    <x v="2"/>
    <s v="Retail"/>
    <x v="0"/>
    <x v="4"/>
    <x v="1"/>
    <n v="180000"/>
    <n v="10"/>
    <x v="3"/>
    <n v="144000"/>
    <n v="1800000"/>
    <n v="1440000"/>
    <n v="360000"/>
    <n v="830"/>
  </r>
  <r>
    <s v="2025-01-11"/>
    <x v="0"/>
    <x v="2"/>
    <x v="0"/>
    <s v="Corporate"/>
    <x v="1"/>
    <x v="4"/>
    <x v="1"/>
    <n v="180000"/>
    <n v="3"/>
    <x v="0"/>
    <n v="144000"/>
    <n v="540000"/>
    <n v="432000"/>
    <n v="108000"/>
    <n v="831"/>
  </r>
  <r>
    <s v="2025-02-23"/>
    <x v="2"/>
    <x v="1"/>
    <x v="0"/>
    <s v="Corporate"/>
    <x v="0"/>
    <x v="7"/>
    <x v="2"/>
    <n v="420000"/>
    <n v="3"/>
    <x v="1"/>
    <n v="336000"/>
    <n v="1260000"/>
    <n v="1008000"/>
    <n v="252000"/>
    <n v="832"/>
  </r>
  <r>
    <s v="2025-04-09"/>
    <x v="1"/>
    <x v="1"/>
    <x v="1"/>
    <s v="Retail"/>
    <x v="0"/>
    <x v="9"/>
    <x v="1"/>
    <n v="220000"/>
    <n v="6"/>
    <x v="4"/>
    <n v="176000"/>
    <n v="1320000"/>
    <n v="1056000"/>
    <n v="264000"/>
    <n v="833"/>
  </r>
  <r>
    <s v="2025-01-26"/>
    <x v="0"/>
    <x v="2"/>
    <x v="2"/>
    <s v="Retail"/>
    <x v="0"/>
    <x v="2"/>
    <x v="1"/>
    <n v="60000"/>
    <n v="10"/>
    <x v="3"/>
    <n v="48000"/>
    <n v="600000"/>
    <n v="480000"/>
    <n v="120000"/>
    <n v="834"/>
  </r>
  <r>
    <s v="2025-03-01"/>
    <x v="3"/>
    <x v="2"/>
    <x v="1"/>
    <s v="Retail"/>
    <x v="1"/>
    <x v="4"/>
    <x v="1"/>
    <n v="180000"/>
    <n v="10"/>
    <x v="2"/>
    <n v="144000"/>
    <n v="1800000"/>
    <n v="1440000"/>
    <n v="360000"/>
    <n v="835"/>
  </r>
  <r>
    <s v="2025-04-30"/>
    <x v="1"/>
    <x v="1"/>
    <x v="0"/>
    <s v="Corporate"/>
    <x v="1"/>
    <x v="9"/>
    <x v="1"/>
    <n v="220000"/>
    <n v="4"/>
    <x v="1"/>
    <n v="176000"/>
    <n v="880000"/>
    <n v="704000"/>
    <n v="176000"/>
    <n v="836"/>
  </r>
  <r>
    <s v="2025-03-13"/>
    <x v="3"/>
    <x v="2"/>
    <x v="3"/>
    <s v="Corporate"/>
    <x v="1"/>
    <x v="8"/>
    <x v="2"/>
    <n v="250000"/>
    <n v="4"/>
    <x v="3"/>
    <n v="200000"/>
    <n v="1000000"/>
    <n v="800000"/>
    <n v="200000"/>
    <n v="837"/>
  </r>
  <r>
    <s v="2025-03-28"/>
    <x v="3"/>
    <x v="2"/>
    <x v="1"/>
    <s v="Corporate"/>
    <x v="1"/>
    <x v="1"/>
    <x v="1"/>
    <n v="30000"/>
    <n v="2"/>
    <x v="5"/>
    <n v="24000"/>
    <n v="60000"/>
    <n v="48000"/>
    <n v="12000"/>
    <n v="838"/>
  </r>
  <r>
    <s v="2025-04-27"/>
    <x v="1"/>
    <x v="0"/>
    <x v="2"/>
    <s v="Retail"/>
    <x v="1"/>
    <x v="4"/>
    <x v="1"/>
    <n v="180000"/>
    <n v="6"/>
    <x v="2"/>
    <n v="144000"/>
    <n v="1080000"/>
    <n v="864000"/>
    <n v="216000"/>
    <n v="839"/>
  </r>
  <r>
    <s v="2025-01-07"/>
    <x v="0"/>
    <x v="2"/>
    <x v="3"/>
    <s v="Corporate"/>
    <x v="1"/>
    <x v="4"/>
    <x v="1"/>
    <n v="180000"/>
    <n v="8"/>
    <x v="5"/>
    <n v="144000"/>
    <n v="1440000"/>
    <n v="1152000"/>
    <n v="288000"/>
    <n v="840"/>
  </r>
  <r>
    <s v="2025-03-01"/>
    <x v="3"/>
    <x v="0"/>
    <x v="1"/>
    <s v="Corporate"/>
    <x v="1"/>
    <x v="7"/>
    <x v="2"/>
    <n v="420000"/>
    <n v="3"/>
    <x v="0"/>
    <n v="336000"/>
    <n v="1260000"/>
    <n v="1008000"/>
    <n v="252000"/>
    <n v="841"/>
  </r>
  <r>
    <s v="2025-04-10"/>
    <x v="1"/>
    <x v="3"/>
    <x v="2"/>
    <s v="Corporate"/>
    <x v="0"/>
    <x v="1"/>
    <x v="1"/>
    <n v="30000"/>
    <n v="10"/>
    <x v="2"/>
    <n v="24000"/>
    <n v="300000"/>
    <n v="240000"/>
    <n v="60000"/>
    <n v="842"/>
  </r>
  <r>
    <s v="2025-02-02"/>
    <x v="2"/>
    <x v="1"/>
    <x v="2"/>
    <s v="Corporate"/>
    <x v="0"/>
    <x v="0"/>
    <x v="0"/>
    <n v="85000"/>
    <n v="7"/>
    <x v="5"/>
    <n v="68000"/>
    <n v="595000"/>
    <n v="476000"/>
    <n v="119000"/>
    <n v="843"/>
  </r>
  <r>
    <s v="2025-04-17"/>
    <x v="1"/>
    <x v="0"/>
    <x v="0"/>
    <s v="Retail"/>
    <x v="1"/>
    <x v="1"/>
    <x v="1"/>
    <n v="30000"/>
    <n v="5"/>
    <x v="0"/>
    <n v="24000"/>
    <n v="150000"/>
    <n v="120000"/>
    <n v="30000"/>
    <n v="844"/>
  </r>
  <r>
    <s v="2025-03-01"/>
    <x v="3"/>
    <x v="3"/>
    <x v="0"/>
    <s v="Retail"/>
    <x v="1"/>
    <x v="3"/>
    <x v="2"/>
    <n v="300000"/>
    <n v="5"/>
    <x v="5"/>
    <n v="240000"/>
    <n v="1500000"/>
    <n v="1200000"/>
    <n v="300000"/>
    <n v="845"/>
  </r>
  <r>
    <s v="2025-01-27"/>
    <x v="0"/>
    <x v="0"/>
    <x v="2"/>
    <s v="Corporate"/>
    <x v="1"/>
    <x v="0"/>
    <x v="0"/>
    <n v="85000"/>
    <n v="8"/>
    <x v="2"/>
    <n v="68000"/>
    <n v="680000"/>
    <n v="544000"/>
    <n v="136000"/>
    <n v="846"/>
  </r>
  <r>
    <s v="2025-04-11"/>
    <x v="1"/>
    <x v="2"/>
    <x v="3"/>
    <s v="Corporate"/>
    <x v="1"/>
    <x v="9"/>
    <x v="1"/>
    <n v="220000"/>
    <n v="7"/>
    <x v="1"/>
    <n v="176000"/>
    <n v="1540000"/>
    <n v="1232000"/>
    <n v="308000"/>
    <n v="847"/>
  </r>
  <r>
    <s v="2025-02-08"/>
    <x v="2"/>
    <x v="3"/>
    <x v="1"/>
    <s v="Retail"/>
    <x v="0"/>
    <x v="0"/>
    <x v="0"/>
    <n v="85000"/>
    <n v="8"/>
    <x v="1"/>
    <n v="68000"/>
    <n v="680000"/>
    <n v="544000"/>
    <n v="136000"/>
    <n v="848"/>
  </r>
  <r>
    <s v="2025-02-22"/>
    <x v="2"/>
    <x v="1"/>
    <x v="3"/>
    <s v="Corporate"/>
    <x v="0"/>
    <x v="6"/>
    <x v="2"/>
    <n v="150000"/>
    <n v="5"/>
    <x v="3"/>
    <n v="120000"/>
    <n v="750000"/>
    <n v="600000"/>
    <n v="150000"/>
    <n v="849"/>
  </r>
  <r>
    <s v="2025-04-16"/>
    <x v="1"/>
    <x v="1"/>
    <x v="0"/>
    <s v="Retail"/>
    <x v="1"/>
    <x v="2"/>
    <x v="1"/>
    <n v="60000"/>
    <n v="10"/>
    <x v="1"/>
    <n v="48000"/>
    <n v="600000"/>
    <n v="480000"/>
    <n v="120000"/>
    <n v="850"/>
  </r>
  <r>
    <s v="2025-04-23"/>
    <x v="1"/>
    <x v="0"/>
    <x v="2"/>
    <s v="Corporate"/>
    <x v="0"/>
    <x v="9"/>
    <x v="1"/>
    <n v="220000"/>
    <n v="1"/>
    <x v="0"/>
    <n v="176000"/>
    <n v="220000"/>
    <n v="176000"/>
    <n v="44000"/>
    <n v="851"/>
  </r>
  <r>
    <s v="2025-02-08"/>
    <x v="2"/>
    <x v="3"/>
    <x v="1"/>
    <s v="Corporate"/>
    <x v="0"/>
    <x v="1"/>
    <x v="1"/>
    <n v="30000"/>
    <n v="3"/>
    <x v="2"/>
    <n v="24000"/>
    <n v="90000"/>
    <n v="72000"/>
    <n v="18000"/>
    <n v="852"/>
  </r>
  <r>
    <s v="2025-03-17"/>
    <x v="3"/>
    <x v="2"/>
    <x v="1"/>
    <s v="Corporate"/>
    <x v="0"/>
    <x v="7"/>
    <x v="2"/>
    <n v="420000"/>
    <n v="1"/>
    <x v="3"/>
    <n v="336000"/>
    <n v="420000"/>
    <n v="336000"/>
    <n v="84000"/>
    <n v="853"/>
  </r>
  <r>
    <s v="2025-03-28"/>
    <x v="3"/>
    <x v="1"/>
    <x v="0"/>
    <s v="Retail"/>
    <x v="1"/>
    <x v="1"/>
    <x v="1"/>
    <n v="30000"/>
    <n v="5"/>
    <x v="5"/>
    <n v="24000"/>
    <n v="150000"/>
    <n v="120000"/>
    <n v="30000"/>
    <n v="854"/>
  </r>
  <r>
    <s v="2025-03-07"/>
    <x v="3"/>
    <x v="1"/>
    <x v="3"/>
    <s v="Corporate"/>
    <x v="0"/>
    <x v="7"/>
    <x v="2"/>
    <n v="420000"/>
    <n v="7"/>
    <x v="0"/>
    <n v="336000"/>
    <n v="2940000"/>
    <n v="2352000"/>
    <n v="588000"/>
    <n v="855"/>
  </r>
  <r>
    <s v="2025-03-19"/>
    <x v="3"/>
    <x v="2"/>
    <x v="1"/>
    <s v="Retail"/>
    <x v="1"/>
    <x v="4"/>
    <x v="1"/>
    <n v="180000"/>
    <n v="8"/>
    <x v="4"/>
    <n v="144000"/>
    <n v="1440000"/>
    <n v="1152000"/>
    <n v="288000"/>
    <n v="856"/>
  </r>
  <r>
    <s v="2025-04-14"/>
    <x v="1"/>
    <x v="0"/>
    <x v="3"/>
    <s v="Corporate"/>
    <x v="1"/>
    <x v="9"/>
    <x v="1"/>
    <n v="220000"/>
    <n v="3"/>
    <x v="2"/>
    <n v="176000"/>
    <n v="660000"/>
    <n v="528000"/>
    <n v="132000"/>
    <n v="857"/>
  </r>
  <r>
    <s v="2025-01-01"/>
    <x v="0"/>
    <x v="1"/>
    <x v="3"/>
    <s v="Retail"/>
    <x v="0"/>
    <x v="7"/>
    <x v="2"/>
    <n v="420000"/>
    <n v="3"/>
    <x v="0"/>
    <n v="336000"/>
    <n v="1260000"/>
    <n v="1008000"/>
    <n v="252000"/>
    <n v="858"/>
  </r>
  <r>
    <s v="2025-01-10"/>
    <x v="0"/>
    <x v="1"/>
    <x v="2"/>
    <s v="Retail"/>
    <x v="0"/>
    <x v="4"/>
    <x v="1"/>
    <n v="180000"/>
    <n v="5"/>
    <x v="5"/>
    <n v="144000"/>
    <n v="900000"/>
    <n v="720000"/>
    <n v="180000"/>
    <n v="859"/>
  </r>
  <r>
    <s v="2025-01-31"/>
    <x v="0"/>
    <x v="0"/>
    <x v="2"/>
    <s v="Corporate"/>
    <x v="0"/>
    <x v="9"/>
    <x v="1"/>
    <n v="220000"/>
    <n v="5"/>
    <x v="2"/>
    <n v="176000"/>
    <n v="1100000"/>
    <n v="880000"/>
    <n v="220000"/>
    <n v="860"/>
  </r>
  <r>
    <s v="2025-02-03"/>
    <x v="2"/>
    <x v="3"/>
    <x v="3"/>
    <s v="Corporate"/>
    <x v="0"/>
    <x v="8"/>
    <x v="2"/>
    <n v="250000"/>
    <n v="2"/>
    <x v="3"/>
    <n v="200000"/>
    <n v="500000"/>
    <n v="400000"/>
    <n v="100000"/>
    <n v="861"/>
  </r>
  <r>
    <s v="2025-04-03"/>
    <x v="1"/>
    <x v="1"/>
    <x v="2"/>
    <s v="Corporate"/>
    <x v="0"/>
    <x v="7"/>
    <x v="2"/>
    <n v="420000"/>
    <n v="3"/>
    <x v="3"/>
    <n v="336000"/>
    <n v="1260000"/>
    <n v="1008000"/>
    <n v="252000"/>
    <n v="862"/>
  </r>
  <r>
    <s v="2025-01-07"/>
    <x v="0"/>
    <x v="1"/>
    <x v="1"/>
    <s v="Corporate"/>
    <x v="0"/>
    <x v="7"/>
    <x v="2"/>
    <n v="420000"/>
    <n v="8"/>
    <x v="2"/>
    <n v="336000"/>
    <n v="3360000"/>
    <n v="2688000"/>
    <n v="672000"/>
    <n v="863"/>
  </r>
  <r>
    <s v="2025-04-16"/>
    <x v="1"/>
    <x v="1"/>
    <x v="0"/>
    <s v="Corporate"/>
    <x v="0"/>
    <x v="7"/>
    <x v="2"/>
    <n v="420000"/>
    <n v="7"/>
    <x v="0"/>
    <n v="336000"/>
    <n v="2940000"/>
    <n v="2352000"/>
    <n v="588000"/>
    <n v="864"/>
  </r>
  <r>
    <s v="2025-04-25"/>
    <x v="1"/>
    <x v="0"/>
    <x v="2"/>
    <s v="Corporate"/>
    <x v="0"/>
    <x v="5"/>
    <x v="0"/>
    <n v="320000"/>
    <n v="6"/>
    <x v="2"/>
    <n v="256000"/>
    <n v="1920000"/>
    <n v="1536000"/>
    <n v="384000"/>
    <n v="865"/>
  </r>
  <r>
    <s v="2025-02-26"/>
    <x v="2"/>
    <x v="3"/>
    <x v="2"/>
    <s v="Corporate"/>
    <x v="0"/>
    <x v="2"/>
    <x v="1"/>
    <n v="60000"/>
    <n v="3"/>
    <x v="2"/>
    <n v="48000"/>
    <n v="180000"/>
    <n v="144000"/>
    <n v="36000"/>
    <n v="866"/>
  </r>
  <r>
    <s v="2025-02-01"/>
    <x v="2"/>
    <x v="0"/>
    <x v="0"/>
    <s v="Corporate"/>
    <x v="1"/>
    <x v="0"/>
    <x v="0"/>
    <n v="85000"/>
    <n v="8"/>
    <x v="0"/>
    <n v="68000"/>
    <n v="680000"/>
    <n v="544000"/>
    <n v="136000"/>
    <n v="867"/>
  </r>
  <r>
    <s v="2025-01-20"/>
    <x v="0"/>
    <x v="0"/>
    <x v="0"/>
    <s v="Corporate"/>
    <x v="1"/>
    <x v="4"/>
    <x v="1"/>
    <n v="180000"/>
    <n v="9"/>
    <x v="3"/>
    <n v="144000"/>
    <n v="1620000"/>
    <n v="1296000"/>
    <n v="324000"/>
    <n v="868"/>
  </r>
  <r>
    <s v="2025-02-24"/>
    <x v="2"/>
    <x v="0"/>
    <x v="2"/>
    <s v="Corporate"/>
    <x v="1"/>
    <x v="9"/>
    <x v="1"/>
    <n v="220000"/>
    <n v="5"/>
    <x v="3"/>
    <n v="176000"/>
    <n v="1100000"/>
    <n v="880000"/>
    <n v="220000"/>
    <n v="869"/>
  </r>
  <r>
    <s v="2025-01-10"/>
    <x v="0"/>
    <x v="2"/>
    <x v="2"/>
    <s v="Corporate"/>
    <x v="1"/>
    <x v="4"/>
    <x v="1"/>
    <n v="180000"/>
    <n v="5"/>
    <x v="3"/>
    <n v="144000"/>
    <n v="900000"/>
    <n v="720000"/>
    <n v="180000"/>
    <n v="870"/>
  </r>
  <r>
    <s v="2025-03-04"/>
    <x v="3"/>
    <x v="0"/>
    <x v="1"/>
    <s v="Corporate"/>
    <x v="0"/>
    <x v="2"/>
    <x v="1"/>
    <n v="60000"/>
    <n v="7"/>
    <x v="0"/>
    <n v="48000"/>
    <n v="420000"/>
    <n v="336000"/>
    <n v="84000"/>
    <n v="871"/>
  </r>
  <r>
    <s v="2025-04-16"/>
    <x v="1"/>
    <x v="2"/>
    <x v="2"/>
    <s v="Corporate"/>
    <x v="1"/>
    <x v="6"/>
    <x v="2"/>
    <n v="150000"/>
    <n v="7"/>
    <x v="3"/>
    <n v="120000"/>
    <n v="1050000"/>
    <n v="840000"/>
    <n v="210000"/>
    <n v="872"/>
  </r>
  <r>
    <s v="2025-04-13"/>
    <x v="1"/>
    <x v="1"/>
    <x v="0"/>
    <s v="Corporate"/>
    <x v="1"/>
    <x v="1"/>
    <x v="1"/>
    <n v="30000"/>
    <n v="4"/>
    <x v="4"/>
    <n v="24000"/>
    <n v="120000"/>
    <n v="96000"/>
    <n v="24000"/>
    <n v="873"/>
  </r>
  <r>
    <s v="2025-01-11"/>
    <x v="0"/>
    <x v="0"/>
    <x v="3"/>
    <s v="Corporate"/>
    <x v="1"/>
    <x v="7"/>
    <x v="2"/>
    <n v="420000"/>
    <n v="1"/>
    <x v="4"/>
    <n v="336000"/>
    <n v="420000"/>
    <n v="336000"/>
    <n v="84000"/>
    <n v="874"/>
  </r>
  <r>
    <s v="2025-02-11"/>
    <x v="2"/>
    <x v="0"/>
    <x v="2"/>
    <s v="Corporate"/>
    <x v="1"/>
    <x v="7"/>
    <x v="2"/>
    <n v="420000"/>
    <n v="4"/>
    <x v="3"/>
    <n v="336000"/>
    <n v="1680000"/>
    <n v="1344000"/>
    <n v="336000"/>
    <n v="875"/>
  </r>
  <r>
    <s v="2025-02-01"/>
    <x v="2"/>
    <x v="3"/>
    <x v="2"/>
    <s v="Corporate"/>
    <x v="0"/>
    <x v="0"/>
    <x v="0"/>
    <n v="85000"/>
    <n v="4"/>
    <x v="3"/>
    <n v="68000"/>
    <n v="340000"/>
    <n v="272000"/>
    <n v="68000"/>
    <n v="876"/>
  </r>
  <r>
    <s v="2025-04-22"/>
    <x v="1"/>
    <x v="0"/>
    <x v="1"/>
    <s v="Corporate"/>
    <x v="1"/>
    <x v="5"/>
    <x v="0"/>
    <n v="320000"/>
    <n v="5"/>
    <x v="2"/>
    <n v="256000"/>
    <n v="1600000"/>
    <n v="1280000"/>
    <n v="320000"/>
    <n v="877"/>
  </r>
  <r>
    <s v="2025-02-20"/>
    <x v="2"/>
    <x v="1"/>
    <x v="0"/>
    <s v="Corporate"/>
    <x v="1"/>
    <x v="0"/>
    <x v="0"/>
    <n v="85000"/>
    <n v="4"/>
    <x v="2"/>
    <n v="68000"/>
    <n v="340000"/>
    <n v="272000"/>
    <n v="68000"/>
    <n v="878"/>
  </r>
  <r>
    <s v="2025-02-28"/>
    <x v="2"/>
    <x v="0"/>
    <x v="0"/>
    <s v="Corporate"/>
    <x v="1"/>
    <x v="7"/>
    <x v="2"/>
    <n v="420000"/>
    <n v="7"/>
    <x v="5"/>
    <n v="336000"/>
    <n v="2940000"/>
    <n v="2352000"/>
    <n v="588000"/>
    <n v="879"/>
  </r>
  <r>
    <s v="2025-01-13"/>
    <x v="0"/>
    <x v="0"/>
    <x v="2"/>
    <s v="Corporate"/>
    <x v="0"/>
    <x v="1"/>
    <x v="1"/>
    <n v="30000"/>
    <n v="10"/>
    <x v="2"/>
    <n v="24000"/>
    <n v="300000"/>
    <n v="240000"/>
    <n v="60000"/>
    <n v="880"/>
  </r>
  <r>
    <s v="2025-03-24"/>
    <x v="3"/>
    <x v="0"/>
    <x v="2"/>
    <s v="Corporate"/>
    <x v="0"/>
    <x v="6"/>
    <x v="2"/>
    <n v="150000"/>
    <n v="10"/>
    <x v="2"/>
    <n v="120000"/>
    <n v="1500000"/>
    <n v="1200000"/>
    <n v="300000"/>
    <n v="881"/>
  </r>
  <r>
    <s v="2025-01-31"/>
    <x v="0"/>
    <x v="2"/>
    <x v="0"/>
    <s v="Corporate"/>
    <x v="1"/>
    <x v="8"/>
    <x v="2"/>
    <n v="250000"/>
    <n v="4"/>
    <x v="4"/>
    <n v="200000"/>
    <n v="1000000"/>
    <n v="800000"/>
    <n v="200000"/>
    <n v="882"/>
  </r>
  <r>
    <s v="2025-04-05"/>
    <x v="1"/>
    <x v="1"/>
    <x v="3"/>
    <s v="Retail"/>
    <x v="0"/>
    <x v="9"/>
    <x v="1"/>
    <n v="220000"/>
    <n v="6"/>
    <x v="4"/>
    <n v="176000"/>
    <n v="1320000"/>
    <n v="1056000"/>
    <n v="264000"/>
    <n v="883"/>
  </r>
  <r>
    <s v="2025-01-16"/>
    <x v="0"/>
    <x v="3"/>
    <x v="0"/>
    <s v="Retail"/>
    <x v="1"/>
    <x v="6"/>
    <x v="2"/>
    <n v="150000"/>
    <n v="10"/>
    <x v="1"/>
    <n v="120000"/>
    <n v="1500000"/>
    <n v="1200000"/>
    <n v="300000"/>
    <n v="884"/>
  </r>
  <r>
    <s v="2025-02-12"/>
    <x v="2"/>
    <x v="1"/>
    <x v="2"/>
    <s v="Retail"/>
    <x v="0"/>
    <x v="6"/>
    <x v="2"/>
    <n v="150000"/>
    <n v="2"/>
    <x v="2"/>
    <n v="120000"/>
    <n v="300000"/>
    <n v="240000"/>
    <n v="60000"/>
    <n v="885"/>
  </r>
  <r>
    <s v="2025-01-03"/>
    <x v="0"/>
    <x v="0"/>
    <x v="0"/>
    <s v="Retail"/>
    <x v="0"/>
    <x v="8"/>
    <x v="2"/>
    <n v="250000"/>
    <n v="4"/>
    <x v="3"/>
    <n v="200000"/>
    <n v="1000000"/>
    <n v="800000"/>
    <n v="200000"/>
    <n v="886"/>
  </r>
  <r>
    <s v="2025-04-04"/>
    <x v="1"/>
    <x v="1"/>
    <x v="0"/>
    <s v="Retail"/>
    <x v="1"/>
    <x v="6"/>
    <x v="2"/>
    <n v="150000"/>
    <n v="9"/>
    <x v="1"/>
    <n v="120000"/>
    <n v="1350000"/>
    <n v="1080000"/>
    <n v="270000"/>
    <n v="887"/>
  </r>
  <r>
    <s v="2025-04-20"/>
    <x v="1"/>
    <x v="3"/>
    <x v="2"/>
    <s v="Retail"/>
    <x v="1"/>
    <x v="7"/>
    <x v="2"/>
    <n v="420000"/>
    <n v="7"/>
    <x v="3"/>
    <n v="336000"/>
    <n v="2940000"/>
    <n v="2352000"/>
    <n v="588000"/>
    <n v="888"/>
  </r>
  <r>
    <s v="2025-04-22"/>
    <x v="1"/>
    <x v="1"/>
    <x v="1"/>
    <s v="Retail"/>
    <x v="0"/>
    <x v="0"/>
    <x v="0"/>
    <n v="85000"/>
    <n v="2"/>
    <x v="0"/>
    <n v="68000"/>
    <n v="170000"/>
    <n v="136000"/>
    <n v="34000"/>
    <n v="889"/>
  </r>
  <r>
    <s v="2025-03-22"/>
    <x v="3"/>
    <x v="2"/>
    <x v="1"/>
    <s v="Corporate"/>
    <x v="1"/>
    <x v="0"/>
    <x v="0"/>
    <n v="85000"/>
    <n v="1"/>
    <x v="3"/>
    <n v="68000"/>
    <n v="85000"/>
    <n v="68000"/>
    <n v="17000"/>
    <n v="890"/>
  </r>
  <r>
    <s v="2025-02-25"/>
    <x v="2"/>
    <x v="2"/>
    <x v="2"/>
    <s v="Retail"/>
    <x v="1"/>
    <x v="7"/>
    <x v="2"/>
    <n v="420000"/>
    <n v="9"/>
    <x v="0"/>
    <n v="336000"/>
    <n v="3780000"/>
    <n v="3024000"/>
    <n v="756000"/>
    <n v="891"/>
  </r>
  <r>
    <s v="2025-03-14"/>
    <x v="3"/>
    <x v="3"/>
    <x v="1"/>
    <s v="Retail"/>
    <x v="1"/>
    <x v="9"/>
    <x v="1"/>
    <n v="220000"/>
    <n v="2"/>
    <x v="5"/>
    <n v="176000"/>
    <n v="440000"/>
    <n v="352000"/>
    <n v="88000"/>
    <n v="892"/>
  </r>
  <r>
    <s v="2025-03-10"/>
    <x v="3"/>
    <x v="0"/>
    <x v="2"/>
    <s v="Corporate"/>
    <x v="1"/>
    <x v="9"/>
    <x v="1"/>
    <n v="220000"/>
    <n v="8"/>
    <x v="4"/>
    <n v="176000"/>
    <n v="1760000"/>
    <n v="1408000"/>
    <n v="352000"/>
    <n v="893"/>
  </r>
  <r>
    <s v="2025-02-03"/>
    <x v="2"/>
    <x v="3"/>
    <x v="0"/>
    <s v="Corporate"/>
    <x v="0"/>
    <x v="1"/>
    <x v="1"/>
    <n v="30000"/>
    <n v="9"/>
    <x v="0"/>
    <n v="24000"/>
    <n v="270000"/>
    <n v="216000"/>
    <n v="54000"/>
    <n v="894"/>
  </r>
  <r>
    <s v="2025-02-18"/>
    <x v="2"/>
    <x v="3"/>
    <x v="3"/>
    <s v="Corporate"/>
    <x v="0"/>
    <x v="5"/>
    <x v="0"/>
    <n v="320000"/>
    <n v="3"/>
    <x v="4"/>
    <n v="256000"/>
    <n v="960000"/>
    <n v="768000"/>
    <n v="192000"/>
    <n v="895"/>
  </r>
  <r>
    <s v="2025-01-17"/>
    <x v="0"/>
    <x v="3"/>
    <x v="0"/>
    <s v="Retail"/>
    <x v="0"/>
    <x v="1"/>
    <x v="1"/>
    <n v="30000"/>
    <n v="6"/>
    <x v="3"/>
    <n v="24000"/>
    <n v="180000"/>
    <n v="144000"/>
    <n v="36000"/>
    <n v="896"/>
  </r>
  <r>
    <s v="2025-02-12"/>
    <x v="2"/>
    <x v="3"/>
    <x v="2"/>
    <s v="Corporate"/>
    <x v="0"/>
    <x v="2"/>
    <x v="1"/>
    <n v="60000"/>
    <n v="7"/>
    <x v="2"/>
    <n v="48000"/>
    <n v="420000"/>
    <n v="336000"/>
    <n v="84000"/>
    <n v="897"/>
  </r>
  <r>
    <s v="2025-01-26"/>
    <x v="0"/>
    <x v="2"/>
    <x v="2"/>
    <s v="Retail"/>
    <x v="0"/>
    <x v="4"/>
    <x v="1"/>
    <n v="180000"/>
    <n v="2"/>
    <x v="3"/>
    <n v="144000"/>
    <n v="360000"/>
    <n v="288000"/>
    <n v="72000"/>
    <n v="898"/>
  </r>
  <r>
    <s v="2025-03-08"/>
    <x v="3"/>
    <x v="1"/>
    <x v="3"/>
    <s v="Corporate"/>
    <x v="1"/>
    <x v="1"/>
    <x v="1"/>
    <n v="30000"/>
    <n v="5"/>
    <x v="0"/>
    <n v="24000"/>
    <n v="150000"/>
    <n v="120000"/>
    <n v="30000"/>
    <n v="899"/>
  </r>
  <r>
    <s v="2025-01-08"/>
    <x v="0"/>
    <x v="0"/>
    <x v="1"/>
    <s v="Corporate"/>
    <x v="1"/>
    <x v="6"/>
    <x v="2"/>
    <n v="150000"/>
    <n v="2"/>
    <x v="4"/>
    <n v="120000"/>
    <n v="300000"/>
    <n v="240000"/>
    <n v="60000"/>
    <n v="900"/>
  </r>
  <r>
    <s v="2025-04-28"/>
    <x v="1"/>
    <x v="2"/>
    <x v="0"/>
    <s v="Retail"/>
    <x v="0"/>
    <x v="1"/>
    <x v="1"/>
    <n v="30000"/>
    <n v="9"/>
    <x v="5"/>
    <n v="24000"/>
    <n v="270000"/>
    <n v="216000"/>
    <n v="54000"/>
    <n v="901"/>
  </r>
  <r>
    <s v="2025-02-13"/>
    <x v="2"/>
    <x v="2"/>
    <x v="2"/>
    <s v="Corporate"/>
    <x v="0"/>
    <x v="6"/>
    <x v="2"/>
    <n v="150000"/>
    <n v="5"/>
    <x v="3"/>
    <n v="120000"/>
    <n v="750000"/>
    <n v="600000"/>
    <n v="150000"/>
    <n v="902"/>
  </r>
  <r>
    <s v="2025-01-25"/>
    <x v="0"/>
    <x v="2"/>
    <x v="2"/>
    <s v="Retail"/>
    <x v="1"/>
    <x v="2"/>
    <x v="1"/>
    <n v="60000"/>
    <n v="8"/>
    <x v="5"/>
    <n v="48000"/>
    <n v="480000"/>
    <n v="384000"/>
    <n v="96000"/>
    <n v="903"/>
  </r>
  <r>
    <s v="2025-04-13"/>
    <x v="1"/>
    <x v="1"/>
    <x v="1"/>
    <s v="Retail"/>
    <x v="0"/>
    <x v="6"/>
    <x v="2"/>
    <n v="150000"/>
    <n v="8"/>
    <x v="4"/>
    <n v="120000"/>
    <n v="1200000"/>
    <n v="960000"/>
    <n v="240000"/>
    <n v="904"/>
  </r>
  <r>
    <s v="2025-03-13"/>
    <x v="3"/>
    <x v="1"/>
    <x v="2"/>
    <s v="Retail"/>
    <x v="1"/>
    <x v="0"/>
    <x v="0"/>
    <n v="85000"/>
    <n v="3"/>
    <x v="5"/>
    <n v="68000"/>
    <n v="255000"/>
    <n v="204000"/>
    <n v="51000"/>
    <n v="905"/>
  </r>
  <r>
    <s v="2025-03-18"/>
    <x v="3"/>
    <x v="2"/>
    <x v="0"/>
    <s v="Corporate"/>
    <x v="0"/>
    <x v="4"/>
    <x v="1"/>
    <n v="180000"/>
    <n v="4"/>
    <x v="4"/>
    <n v="144000"/>
    <n v="720000"/>
    <n v="576000"/>
    <n v="144000"/>
    <n v="906"/>
  </r>
  <r>
    <s v="2025-01-30"/>
    <x v="0"/>
    <x v="3"/>
    <x v="0"/>
    <s v="Retail"/>
    <x v="0"/>
    <x v="7"/>
    <x v="2"/>
    <n v="420000"/>
    <n v="7"/>
    <x v="1"/>
    <n v="336000"/>
    <n v="2940000"/>
    <n v="2352000"/>
    <n v="588000"/>
    <n v="907"/>
  </r>
  <r>
    <s v="2025-01-07"/>
    <x v="0"/>
    <x v="1"/>
    <x v="1"/>
    <s v="Retail"/>
    <x v="1"/>
    <x v="2"/>
    <x v="1"/>
    <n v="60000"/>
    <n v="8"/>
    <x v="1"/>
    <n v="48000"/>
    <n v="480000"/>
    <n v="384000"/>
    <n v="96000"/>
    <n v="908"/>
  </r>
  <r>
    <s v="2025-03-28"/>
    <x v="3"/>
    <x v="2"/>
    <x v="2"/>
    <s v="Retail"/>
    <x v="1"/>
    <x v="3"/>
    <x v="2"/>
    <n v="300000"/>
    <n v="1"/>
    <x v="3"/>
    <n v="240000"/>
    <n v="300000"/>
    <n v="240000"/>
    <n v="60000"/>
    <n v="909"/>
  </r>
  <r>
    <s v="2025-04-12"/>
    <x v="1"/>
    <x v="1"/>
    <x v="2"/>
    <s v="Retail"/>
    <x v="0"/>
    <x v="1"/>
    <x v="1"/>
    <n v="30000"/>
    <n v="6"/>
    <x v="3"/>
    <n v="24000"/>
    <n v="180000"/>
    <n v="144000"/>
    <n v="36000"/>
    <n v="910"/>
  </r>
  <r>
    <s v="2025-01-12"/>
    <x v="0"/>
    <x v="3"/>
    <x v="1"/>
    <s v="Corporate"/>
    <x v="1"/>
    <x v="8"/>
    <x v="2"/>
    <n v="250000"/>
    <n v="9"/>
    <x v="4"/>
    <n v="200000"/>
    <n v="2250000"/>
    <n v="1800000"/>
    <n v="450000"/>
    <n v="911"/>
  </r>
  <r>
    <s v="2025-02-06"/>
    <x v="2"/>
    <x v="1"/>
    <x v="2"/>
    <s v="Corporate"/>
    <x v="1"/>
    <x v="7"/>
    <x v="2"/>
    <n v="420000"/>
    <n v="9"/>
    <x v="3"/>
    <n v="336000"/>
    <n v="3780000"/>
    <n v="3024000"/>
    <n v="756000"/>
    <n v="912"/>
  </r>
  <r>
    <s v="2025-03-23"/>
    <x v="3"/>
    <x v="1"/>
    <x v="2"/>
    <s v="Corporate"/>
    <x v="1"/>
    <x v="6"/>
    <x v="2"/>
    <n v="150000"/>
    <n v="9"/>
    <x v="3"/>
    <n v="120000"/>
    <n v="1350000"/>
    <n v="1080000"/>
    <n v="270000"/>
    <n v="913"/>
  </r>
  <r>
    <s v="2025-02-15"/>
    <x v="2"/>
    <x v="1"/>
    <x v="1"/>
    <s v="Corporate"/>
    <x v="0"/>
    <x v="3"/>
    <x v="2"/>
    <n v="300000"/>
    <n v="5"/>
    <x v="5"/>
    <n v="240000"/>
    <n v="1500000"/>
    <n v="1200000"/>
    <n v="300000"/>
    <n v="914"/>
  </r>
  <r>
    <s v="2025-03-26"/>
    <x v="3"/>
    <x v="3"/>
    <x v="3"/>
    <s v="Retail"/>
    <x v="0"/>
    <x v="1"/>
    <x v="1"/>
    <n v="30000"/>
    <n v="4"/>
    <x v="3"/>
    <n v="24000"/>
    <n v="120000"/>
    <n v="96000"/>
    <n v="24000"/>
    <n v="915"/>
  </r>
  <r>
    <s v="2025-03-09"/>
    <x v="3"/>
    <x v="0"/>
    <x v="3"/>
    <s v="Retail"/>
    <x v="1"/>
    <x v="7"/>
    <x v="2"/>
    <n v="420000"/>
    <n v="7"/>
    <x v="5"/>
    <n v="336000"/>
    <n v="2940000"/>
    <n v="2352000"/>
    <n v="588000"/>
    <n v="916"/>
  </r>
  <r>
    <s v="2025-02-15"/>
    <x v="2"/>
    <x v="1"/>
    <x v="1"/>
    <s v="Corporate"/>
    <x v="1"/>
    <x v="5"/>
    <x v="0"/>
    <n v="320000"/>
    <n v="6"/>
    <x v="3"/>
    <n v="256000"/>
    <n v="1920000"/>
    <n v="1536000"/>
    <n v="384000"/>
    <n v="917"/>
  </r>
  <r>
    <s v="2025-04-10"/>
    <x v="1"/>
    <x v="2"/>
    <x v="3"/>
    <s v="Retail"/>
    <x v="0"/>
    <x v="0"/>
    <x v="0"/>
    <n v="85000"/>
    <n v="2"/>
    <x v="5"/>
    <n v="68000"/>
    <n v="170000"/>
    <n v="136000"/>
    <n v="34000"/>
    <n v="918"/>
  </r>
  <r>
    <s v="2025-01-06"/>
    <x v="0"/>
    <x v="0"/>
    <x v="1"/>
    <s v="Retail"/>
    <x v="0"/>
    <x v="6"/>
    <x v="2"/>
    <n v="150000"/>
    <n v="1"/>
    <x v="5"/>
    <n v="120000"/>
    <n v="150000"/>
    <n v="120000"/>
    <n v="30000"/>
    <n v="919"/>
  </r>
  <r>
    <s v="2025-02-11"/>
    <x v="2"/>
    <x v="0"/>
    <x v="0"/>
    <s v="Corporate"/>
    <x v="1"/>
    <x v="0"/>
    <x v="0"/>
    <n v="85000"/>
    <n v="2"/>
    <x v="4"/>
    <n v="68000"/>
    <n v="170000"/>
    <n v="136000"/>
    <n v="34000"/>
    <n v="920"/>
  </r>
  <r>
    <s v="2025-04-25"/>
    <x v="1"/>
    <x v="0"/>
    <x v="3"/>
    <s v="Corporate"/>
    <x v="0"/>
    <x v="0"/>
    <x v="0"/>
    <n v="85000"/>
    <n v="1"/>
    <x v="2"/>
    <n v="68000"/>
    <n v="85000"/>
    <n v="68000"/>
    <n v="17000"/>
    <n v="921"/>
  </r>
  <r>
    <s v="2025-01-17"/>
    <x v="0"/>
    <x v="3"/>
    <x v="2"/>
    <s v="Retail"/>
    <x v="0"/>
    <x v="4"/>
    <x v="1"/>
    <n v="180000"/>
    <n v="4"/>
    <x v="5"/>
    <n v="144000"/>
    <n v="720000"/>
    <n v="576000"/>
    <n v="144000"/>
    <n v="922"/>
  </r>
  <r>
    <s v="2025-04-15"/>
    <x v="1"/>
    <x v="1"/>
    <x v="0"/>
    <s v="Corporate"/>
    <x v="0"/>
    <x v="7"/>
    <x v="2"/>
    <n v="420000"/>
    <n v="8"/>
    <x v="1"/>
    <n v="336000"/>
    <n v="3360000"/>
    <n v="2688000"/>
    <n v="672000"/>
    <n v="923"/>
  </r>
  <r>
    <s v="2025-03-06"/>
    <x v="3"/>
    <x v="0"/>
    <x v="2"/>
    <s v="Corporate"/>
    <x v="1"/>
    <x v="4"/>
    <x v="1"/>
    <n v="180000"/>
    <n v="9"/>
    <x v="1"/>
    <n v="144000"/>
    <n v="1620000"/>
    <n v="1296000"/>
    <n v="324000"/>
    <n v="924"/>
  </r>
  <r>
    <s v="2025-01-11"/>
    <x v="0"/>
    <x v="3"/>
    <x v="1"/>
    <s v="Corporate"/>
    <x v="1"/>
    <x v="3"/>
    <x v="2"/>
    <n v="300000"/>
    <n v="5"/>
    <x v="5"/>
    <n v="240000"/>
    <n v="1500000"/>
    <n v="1200000"/>
    <n v="300000"/>
    <n v="925"/>
  </r>
  <r>
    <s v="2025-01-05"/>
    <x v="0"/>
    <x v="0"/>
    <x v="2"/>
    <s v="Corporate"/>
    <x v="1"/>
    <x v="2"/>
    <x v="1"/>
    <n v="60000"/>
    <n v="4"/>
    <x v="4"/>
    <n v="48000"/>
    <n v="240000"/>
    <n v="192000"/>
    <n v="48000"/>
    <n v="926"/>
  </r>
  <r>
    <s v="2025-01-10"/>
    <x v="0"/>
    <x v="1"/>
    <x v="1"/>
    <s v="Corporate"/>
    <x v="0"/>
    <x v="8"/>
    <x v="2"/>
    <n v="250000"/>
    <n v="4"/>
    <x v="4"/>
    <n v="200000"/>
    <n v="1000000"/>
    <n v="800000"/>
    <n v="200000"/>
    <n v="927"/>
  </r>
  <r>
    <s v="2025-03-14"/>
    <x v="3"/>
    <x v="3"/>
    <x v="0"/>
    <s v="Retail"/>
    <x v="1"/>
    <x v="9"/>
    <x v="1"/>
    <n v="220000"/>
    <n v="6"/>
    <x v="5"/>
    <n v="176000"/>
    <n v="1320000"/>
    <n v="1056000"/>
    <n v="264000"/>
    <n v="928"/>
  </r>
  <r>
    <s v="2025-04-15"/>
    <x v="1"/>
    <x v="1"/>
    <x v="1"/>
    <s v="Corporate"/>
    <x v="0"/>
    <x v="3"/>
    <x v="2"/>
    <n v="300000"/>
    <n v="7"/>
    <x v="2"/>
    <n v="240000"/>
    <n v="2100000"/>
    <n v="1680000"/>
    <n v="420000"/>
    <n v="929"/>
  </r>
  <r>
    <s v="2025-03-30"/>
    <x v="3"/>
    <x v="2"/>
    <x v="1"/>
    <s v="Retail"/>
    <x v="0"/>
    <x v="7"/>
    <x v="2"/>
    <n v="420000"/>
    <n v="10"/>
    <x v="2"/>
    <n v="336000"/>
    <n v="4200000"/>
    <n v="3360000"/>
    <n v="840000"/>
    <n v="930"/>
  </r>
  <r>
    <s v="2025-02-21"/>
    <x v="2"/>
    <x v="0"/>
    <x v="1"/>
    <s v="Corporate"/>
    <x v="1"/>
    <x v="1"/>
    <x v="1"/>
    <n v="30000"/>
    <n v="7"/>
    <x v="2"/>
    <n v="24000"/>
    <n v="210000"/>
    <n v="168000"/>
    <n v="42000"/>
    <n v="931"/>
  </r>
  <r>
    <s v="2025-04-11"/>
    <x v="1"/>
    <x v="3"/>
    <x v="1"/>
    <s v="Corporate"/>
    <x v="0"/>
    <x v="9"/>
    <x v="1"/>
    <n v="220000"/>
    <n v="8"/>
    <x v="4"/>
    <n v="176000"/>
    <n v="1760000"/>
    <n v="1408000"/>
    <n v="352000"/>
    <n v="932"/>
  </r>
  <r>
    <s v="2025-01-20"/>
    <x v="0"/>
    <x v="2"/>
    <x v="3"/>
    <s v="Retail"/>
    <x v="1"/>
    <x v="5"/>
    <x v="0"/>
    <n v="320000"/>
    <n v="9"/>
    <x v="1"/>
    <n v="256000"/>
    <n v="2880000"/>
    <n v="2304000"/>
    <n v="576000"/>
    <n v="933"/>
  </r>
  <r>
    <s v="2025-01-22"/>
    <x v="0"/>
    <x v="1"/>
    <x v="2"/>
    <s v="Corporate"/>
    <x v="1"/>
    <x v="4"/>
    <x v="1"/>
    <n v="180000"/>
    <n v="8"/>
    <x v="2"/>
    <n v="144000"/>
    <n v="1440000"/>
    <n v="1152000"/>
    <n v="288000"/>
    <n v="934"/>
  </r>
  <r>
    <s v="2025-04-26"/>
    <x v="1"/>
    <x v="3"/>
    <x v="0"/>
    <s v="Retail"/>
    <x v="0"/>
    <x v="1"/>
    <x v="1"/>
    <n v="30000"/>
    <n v="5"/>
    <x v="3"/>
    <n v="24000"/>
    <n v="150000"/>
    <n v="120000"/>
    <n v="30000"/>
    <n v="935"/>
  </r>
  <r>
    <s v="2025-02-20"/>
    <x v="2"/>
    <x v="2"/>
    <x v="2"/>
    <s v="Retail"/>
    <x v="1"/>
    <x v="5"/>
    <x v="0"/>
    <n v="320000"/>
    <n v="8"/>
    <x v="2"/>
    <n v="256000"/>
    <n v="2560000"/>
    <n v="2048000"/>
    <n v="512000"/>
    <n v="936"/>
  </r>
  <r>
    <s v="2025-03-31"/>
    <x v="3"/>
    <x v="3"/>
    <x v="1"/>
    <s v="Retail"/>
    <x v="1"/>
    <x v="5"/>
    <x v="0"/>
    <n v="320000"/>
    <n v="8"/>
    <x v="1"/>
    <n v="256000"/>
    <n v="2560000"/>
    <n v="2048000"/>
    <n v="512000"/>
    <n v="937"/>
  </r>
  <r>
    <s v="2025-01-15"/>
    <x v="0"/>
    <x v="1"/>
    <x v="2"/>
    <s v="Corporate"/>
    <x v="1"/>
    <x v="1"/>
    <x v="1"/>
    <n v="30000"/>
    <n v="4"/>
    <x v="2"/>
    <n v="24000"/>
    <n v="120000"/>
    <n v="96000"/>
    <n v="24000"/>
    <n v="938"/>
  </r>
  <r>
    <s v="2025-04-29"/>
    <x v="1"/>
    <x v="0"/>
    <x v="3"/>
    <s v="Retail"/>
    <x v="1"/>
    <x v="4"/>
    <x v="1"/>
    <n v="180000"/>
    <n v="3"/>
    <x v="3"/>
    <n v="144000"/>
    <n v="540000"/>
    <n v="432000"/>
    <n v="108000"/>
    <n v="939"/>
  </r>
  <r>
    <s v="2025-05-01"/>
    <x v="4"/>
    <x v="3"/>
    <x v="2"/>
    <s v="Retail"/>
    <x v="0"/>
    <x v="4"/>
    <x v="1"/>
    <n v="180000"/>
    <n v="9"/>
    <x v="3"/>
    <n v="144000"/>
    <n v="1620000"/>
    <n v="1296000"/>
    <n v="324000"/>
    <n v="940"/>
  </r>
  <r>
    <s v="2025-02-15"/>
    <x v="2"/>
    <x v="3"/>
    <x v="1"/>
    <s v="Corporate"/>
    <x v="1"/>
    <x v="4"/>
    <x v="1"/>
    <n v="180000"/>
    <n v="1"/>
    <x v="2"/>
    <n v="144000"/>
    <n v="180000"/>
    <n v="144000"/>
    <n v="36000"/>
    <n v="941"/>
  </r>
  <r>
    <s v="2025-02-16"/>
    <x v="2"/>
    <x v="0"/>
    <x v="3"/>
    <s v="Corporate"/>
    <x v="0"/>
    <x v="9"/>
    <x v="1"/>
    <n v="220000"/>
    <n v="6"/>
    <x v="1"/>
    <n v="176000"/>
    <n v="1320000"/>
    <n v="1056000"/>
    <n v="264000"/>
    <n v="942"/>
  </r>
  <r>
    <s v="2025-04-02"/>
    <x v="1"/>
    <x v="1"/>
    <x v="1"/>
    <s v="Retail"/>
    <x v="0"/>
    <x v="3"/>
    <x v="2"/>
    <n v="300000"/>
    <n v="3"/>
    <x v="1"/>
    <n v="240000"/>
    <n v="900000"/>
    <n v="720000"/>
    <n v="180000"/>
    <n v="943"/>
  </r>
  <r>
    <s v="2025-02-17"/>
    <x v="2"/>
    <x v="2"/>
    <x v="1"/>
    <s v="Corporate"/>
    <x v="1"/>
    <x v="5"/>
    <x v="0"/>
    <n v="320000"/>
    <n v="1"/>
    <x v="3"/>
    <n v="256000"/>
    <n v="320000"/>
    <n v="256000"/>
    <n v="64000"/>
    <n v="944"/>
  </r>
  <r>
    <s v="2025-03-21"/>
    <x v="3"/>
    <x v="2"/>
    <x v="0"/>
    <s v="Corporate"/>
    <x v="1"/>
    <x v="6"/>
    <x v="2"/>
    <n v="150000"/>
    <n v="6"/>
    <x v="3"/>
    <n v="120000"/>
    <n v="900000"/>
    <n v="720000"/>
    <n v="180000"/>
    <n v="945"/>
  </r>
  <r>
    <s v="2025-02-08"/>
    <x v="2"/>
    <x v="1"/>
    <x v="1"/>
    <s v="Corporate"/>
    <x v="1"/>
    <x v="9"/>
    <x v="1"/>
    <n v="220000"/>
    <n v="7"/>
    <x v="1"/>
    <n v="176000"/>
    <n v="1540000"/>
    <n v="1232000"/>
    <n v="308000"/>
    <n v="946"/>
  </r>
  <r>
    <s v="2025-02-04"/>
    <x v="2"/>
    <x v="0"/>
    <x v="1"/>
    <s v="Retail"/>
    <x v="0"/>
    <x v="9"/>
    <x v="1"/>
    <n v="220000"/>
    <n v="1"/>
    <x v="2"/>
    <n v="176000"/>
    <n v="220000"/>
    <n v="176000"/>
    <n v="44000"/>
    <n v="947"/>
  </r>
  <r>
    <s v="2025-02-05"/>
    <x v="2"/>
    <x v="1"/>
    <x v="0"/>
    <s v="Retail"/>
    <x v="0"/>
    <x v="0"/>
    <x v="0"/>
    <n v="85000"/>
    <n v="4"/>
    <x v="3"/>
    <n v="68000"/>
    <n v="340000"/>
    <n v="272000"/>
    <n v="68000"/>
    <n v="948"/>
  </r>
  <r>
    <s v="2025-03-08"/>
    <x v="3"/>
    <x v="0"/>
    <x v="3"/>
    <s v="Corporate"/>
    <x v="0"/>
    <x v="8"/>
    <x v="2"/>
    <n v="250000"/>
    <n v="10"/>
    <x v="3"/>
    <n v="200000"/>
    <n v="2500000"/>
    <n v="2000000"/>
    <n v="500000"/>
    <n v="949"/>
  </r>
  <r>
    <s v="2025-02-25"/>
    <x v="2"/>
    <x v="3"/>
    <x v="3"/>
    <s v="Retail"/>
    <x v="1"/>
    <x v="5"/>
    <x v="0"/>
    <n v="320000"/>
    <n v="1"/>
    <x v="4"/>
    <n v="256000"/>
    <n v="320000"/>
    <n v="256000"/>
    <n v="64000"/>
    <n v="950"/>
  </r>
  <r>
    <s v="2025-02-11"/>
    <x v="2"/>
    <x v="0"/>
    <x v="0"/>
    <s v="Corporate"/>
    <x v="1"/>
    <x v="2"/>
    <x v="1"/>
    <n v="60000"/>
    <n v="8"/>
    <x v="1"/>
    <n v="48000"/>
    <n v="480000"/>
    <n v="384000"/>
    <n v="96000"/>
    <n v="951"/>
  </r>
  <r>
    <s v="2025-04-07"/>
    <x v="1"/>
    <x v="3"/>
    <x v="3"/>
    <s v="Retail"/>
    <x v="1"/>
    <x v="7"/>
    <x v="2"/>
    <n v="420000"/>
    <n v="2"/>
    <x v="4"/>
    <n v="336000"/>
    <n v="840000"/>
    <n v="672000"/>
    <n v="168000"/>
    <n v="952"/>
  </r>
  <r>
    <s v="2025-03-27"/>
    <x v="3"/>
    <x v="3"/>
    <x v="2"/>
    <s v="Corporate"/>
    <x v="0"/>
    <x v="8"/>
    <x v="2"/>
    <n v="250000"/>
    <n v="2"/>
    <x v="0"/>
    <n v="200000"/>
    <n v="500000"/>
    <n v="400000"/>
    <n v="100000"/>
    <n v="953"/>
  </r>
  <r>
    <s v="2025-03-30"/>
    <x v="3"/>
    <x v="0"/>
    <x v="1"/>
    <s v="Retail"/>
    <x v="1"/>
    <x v="9"/>
    <x v="1"/>
    <n v="220000"/>
    <n v="6"/>
    <x v="5"/>
    <n v="176000"/>
    <n v="1320000"/>
    <n v="1056000"/>
    <n v="264000"/>
    <n v="954"/>
  </r>
  <r>
    <s v="2025-04-29"/>
    <x v="1"/>
    <x v="3"/>
    <x v="1"/>
    <s v="Corporate"/>
    <x v="1"/>
    <x v="2"/>
    <x v="1"/>
    <n v="60000"/>
    <n v="1"/>
    <x v="3"/>
    <n v="48000"/>
    <n v="60000"/>
    <n v="48000"/>
    <n v="12000"/>
    <n v="955"/>
  </r>
  <r>
    <s v="2025-02-01"/>
    <x v="2"/>
    <x v="0"/>
    <x v="0"/>
    <s v="Retail"/>
    <x v="1"/>
    <x v="0"/>
    <x v="0"/>
    <n v="85000"/>
    <n v="9"/>
    <x v="5"/>
    <n v="68000"/>
    <n v="765000"/>
    <n v="612000"/>
    <n v="153000"/>
    <n v="956"/>
  </r>
  <r>
    <s v="2025-01-25"/>
    <x v="0"/>
    <x v="2"/>
    <x v="1"/>
    <s v="Retail"/>
    <x v="1"/>
    <x v="2"/>
    <x v="1"/>
    <n v="60000"/>
    <n v="9"/>
    <x v="4"/>
    <n v="48000"/>
    <n v="540000"/>
    <n v="432000"/>
    <n v="108000"/>
    <n v="957"/>
  </r>
  <r>
    <s v="2025-04-13"/>
    <x v="1"/>
    <x v="1"/>
    <x v="2"/>
    <s v="Corporate"/>
    <x v="1"/>
    <x v="0"/>
    <x v="0"/>
    <n v="85000"/>
    <n v="7"/>
    <x v="1"/>
    <n v="68000"/>
    <n v="595000"/>
    <n v="476000"/>
    <n v="119000"/>
    <n v="958"/>
  </r>
  <r>
    <s v="2025-02-08"/>
    <x v="2"/>
    <x v="2"/>
    <x v="3"/>
    <s v="Retail"/>
    <x v="0"/>
    <x v="5"/>
    <x v="0"/>
    <n v="320000"/>
    <n v="4"/>
    <x v="2"/>
    <n v="256000"/>
    <n v="1280000"/>
    <n v="1024000"/>
    <n v="256000"/>
    <n v="959"/>
  </r>
  <r>
    <s v="2025-04-15"/>
    <x v="1"/>
    <x v="2"/>
    <x v="3"/>
    <s v="Corporate"/>
    <x v="0"/>
    <x v="8"/>
    <x v="2"/>
    <n v="250000"/>
    <n v="4"/>
    <x v="3"/>
    <n v="200000"/>
    <n v="1000000"/>
    <n v="800000"/>
    <n v="200000"/>
    <n v="960"/>
  </r>
  <r>
    <s v="2025-03-10"/>
    <x v="3"/>
    <x v="1"/>
    <x v="2"/>
    <s v="Corporate"/>
    <x v="0"/>
    <x v="2"/>
    <x v="1"/>
    <n v="60000"/>
    <n v="8"/>
    <x v="1"/>
    <n v="48000"/>
    <n v="480000"/>
    <n v="384000"/>
    <n v="96000"/>
    <n v="961"/>
  </r>
  <r>
    <s v="2025-04-30"/>
    <x v="1"/>
    <x v="0"/>
    <x v="2"/>
    <s v="Corporate"/>
    <x v="0"/>
    <x v="7"/>
    <x v="2"/>
    <n v="420000"/>
    <n v="2"/>
    <x v="5"/>
    <n v="336000"/>
    <n v="840000"/>
    <n v="672000"/>
    <n v="168000"/>
    <n v="962"/>
  </r>
  <r>
    <s v="2025-01-04"/>
    <x v="0"/>
    <x v="1"/>
    <x v="3"/>
    <s v="Corporate"/>
    <x v="1"/>
    <x v="6"/>
    <x v="2"/>
    <n v="150000"/>
    <n v="1"/>
    <x v="3"/>
    <n v="120000"/>
    <n v="150000"/>
    <n v="120000"/>
    <n v="30000"/>
    <n v="963"/>
  </r>
  <r>
    <s v="2025-04-27"/>
    <x v="1"/>
    <x v="2"/>
    <x v="1"/>
    <s v="Retail"/>
    <x v="0"/>
    <x v="8"/>
    <x v="2"/>
    <n v="250000"/>
    <n v="8"/>
    <x v="4"/>
    <n v="200000"/>
    <n v="2000000"/>
    <n v="1600000"/>
    <n v="400000"/>
    <n v="964"/>
  </r>
  <r>
    <s v="2025-04-24"/>
    <x v="1"/>
    <x v="0"/>
    <x v="3"/>
    <s v="Retail"/>
    <x v="0"/>
    <x v="3"/>
    <x v="2"/>
    <n v="300000"/>
    <n v="10"/>
    <x v="5"/>
    <n v="240000"/>
    <n v="3000000"/>
    <n v="2400000"/>
    <n v="600000"/>
    <n v="965"/>
  </r>
  <r>
    <s v="2025-03-11"/>
    <x v="3"/>
    <x v="1"/>
    <x v="1"/>
    <s v="Corporate"/>
    <x v="1"/>
    <x v="2"/>
    <x v="1"/>
    <n v="60000"/>
    <n v="3"/>
    <x v="1"/>
    <n v="48000"/>
    <n v="180000"/>
    <n v="144000"/>
    <n v="36000"/>
    <n v="966"/>
  </r>
  <r>
    <s v="2025-01-31"/>
    <x v="0"/>
    <x v="0"/>
    <x v="3"/>
    <s v="Corporate"/>
    <x v="0"/>
    <x v="0"/>
    <x v="0"/>
    <n v="85000"/>
    <n v="1"/>
    <x v="1"/>
    <n v="68000"/>
    <n v="85000"/>
    <n v="68000"/>
    <n v="17000"/>
    <n v="967"/>
  </r>
  <r>
    <s v="2025-02-16"/>
    <x v="2"/>
    <x v="1"/>
    <x v="1"/>
    <s v="Corporate"/>
    <x v="0"/>
    <x v="4"/>
    <x v="1"/>
    <n v="180000"/>
    <n v="7"/>
    <x v="0"/>
    <n v="144000"/>
    <n v="1260000"/>
    <n v="1008000"/>
    <n v="252000"/>
    <n v="968"/>
  </r>
  <r>
    <s v="2025-03-10"/>
    <x v="3"/>
    <x v="1"/>
    <x v="2"/>
    <s v="Corporate"/>
    <x v="0"/>
    <x v="8"/>
    <x v="2"/>
    <n v="250000"/>
    <n v="6"/>
    <x v="2"/>
    <n v="200000"/>
    <n v="1500000"/>
    <n v="1200000"/>
    <n v="300000"/>
    <n v="969"/>
  </r>
  <r>
    <s v="2025-01-06"/>
    <x v="0"/>
    <x v="0"/>
    <x v="0"/>
    <s v="Corporate"/>
    <x v="0"/>
    <x v="7"/>
    <x v="2"/>
    <n v="420000"/>
    <n v="3"/>
    <x v="0"/>
    <n v="336000"/>
    <n v="1260000"/>
    <n v="1008000"/>
    <n v="252000"/>
    <n v="970"/>
  </r>
  <r>
    <s v="2025-04-01"/>
    <x v="1"/>
    <x v="0"/>
    <x v="0"/>
    <s v="Retail"/>
    <x v="0"/>
    <x v="1"/>
    <x v="1"/>
    <n v="30000"/>
    <n v="1"/>
    <x v="2"/>
    <n v="24000"/>
    <n v="30000"/>
    <n v="24000"/>
    <n v="6000"/>
    <n v="971"/>
  </r>
  <r>
    <s v="2025-01-07"/>
    <x v="0"/>
    <x v="3"/>
    <x v="0"/>
    <s v="Corporate"/>
    <x v="1"/>
    <x v="8"/>
    <x v="2"/>
    <n v="250000"/>
    <n v="3"/>
    <x v="0"/>
    <n v="200000"/>
    <n v="750000"/>
    <n v="600000"/>
    <n v="150000"/>
    <n v="972"/>
  </r>
  <r>
    <s v="2025-03-26"/>
    <x v="3"/>
    <x v="1"/>
    <x v="2"/>
    <s v="Retail"/>
    <x v="0"/>
    <x v="5"/>
    <x v="0"/>
    <n v="320000"/>
    <n v="10"/>
    <x v="0"/>
    <n v="256000"/>
    <n v="3200000"/>
    <n v="2560000"/>
    <n v="640000"/>
    <n v="973"/>
  </r>
  <r>
    <s v="2025-04-07"/>
    <x v="1"/>
    <x v="0"/>
    <x v="0"/>
    <s v="Retail"/>
    <x v="1"/>
    <x v="8"/>
    <x v="2"/>
    <n v="250000"/>
    <n v="7"/>
    <x v="1"/>
    <n v="200000"/>
    <n v="1750000"/>
    <n v="1400000"/>
    <n v="350000"/>
    <n v="974"/>
  </r>
  <r>
    <s v="2025-02-18"/>
    <x v="2"/>
    <x v="3"/>
    <x v="1"/>
    <s v="Corporate"/>
    <x v="0"/>
    <x v="5"/>
    <x v="0"/>
    <n v="320000"/>
    <n v="2"/>
    <x v="2"/>
    <n v="256000"/>
    <n v="640000"/>
    <n v="512000"/>
    <n v="128000"/>
    <n v="975"/>
  </r>
  <r>
    <s v="2025-04-30"/>
    <x v="1"/>
    <x v="3"/>
    <x v="0"/>
    <s v="Corporate"/>
    <x v="1"/>
    <x v="9"/>
    <x v="1"/>
    <n v="220000"/>
    <n v="5"/>
    <x v="3"/>
    <n v="176000"/>
    <n v="1100000"/>
    <n v="880000"/>
    <n v="220000"/>
    <n v="976"/>
  </r>
  <r>
    <s v="2025-02-23"/>
    <x v="2"/>
    <x v="3"/>
    <x v="3"/>
    <s v="Corporate"/>
    <x v="1"/>
    <x v="7"/>
    <x v="2"/>
    <n v="420000"/>
    <n v="3"/>
    <x v="3"/>
    <n v="336000"/>
    <n v="1260000"/>
    <n v="1008000"/>
    <n v="252000"/>
    <n v="977"/>
  </r>
  <r>
    <s v="2025-02-09"/>
    <x v="2"/>
    <x v="3"/>
    <x v="1"/>
    <s v="Corporate"/>
    <x v="0"/>
    <x v="9"/>
    <x v="1"/>
    <n v="220000"/>
    <n v="3"/>
    <x v="2"/>
    <n v="176000"/>
    <n v="660000"/>
    <n v="528000"/>
    <n v="132000"/>
    <n v="978"/>
  </r>
  <r>
    <s v="2025-04-13"/>
    <x v="1"/>
    <x v="2"/>
    <x v="0"/>
    <s v="Corporate"/>
    <x v="0"/>
    <x v="5"/>
    <x v="0"/>
    <n v="320000"/>
    <n v="5"/>
    <x v="1"/>
    <n v="256000"/>
    <n v="1600000"/>
    <n v="1280000"/>
    <n v="320000"/>
    <n v="979"/>
  </r>
  <r>
    <s v="2025-02-13"/>
    <x v="2"/>
    <x v="1"/>
    <x v="2"/>
    <s v="Retail"/>
    <x v="1"/>
    <x v="0"/>
    <x v="0"/>
    <n v="85000"/>
    <n v="8"/>
    <x v="0"/>
    <n v="68000"/>
    <n v="680000"/>
    <n v="544000"/>
    <n v="136000"/>
    <n v="980"/>
  </r>
  <r>
    <s v="2025-02-13"/>
    <x v="2"/>
    <x v="1"/>
    <x v="3"/>
    <s v="Corporate"/>
    <x v="1"/>
    <x v="6"/>
    <x v="2"/>
    <n v="150000"/>
    <n v="9"/>
    <x v="5"/>
    <n v="120000"/>
    <n v="1350000"/>
    <n v="1080000"/>
    <n v="270000"/>
    <n v="981"/>
  </r>
  <r>
    <s v="2025-02-12"/>
    <x v="2"/>
    <x v="0"/>
    <x v="0"/>
    <s v="Corporate"/>
    <x v="0"/>
    <x v="8"/>
    <x v="2"/>
    <n v="250000"/>
    <n v="4"/>
    <x v="3"/>
    <n v="200000"/>
    <n v="1000000"/>
    <n v="800000"/>
    <n v="200000"/>
    <n v="982"/>
  </r>
  <r>
    <s v="2025-02-08"/>
    <x v="2"/>
    <x v="3"/>
    <x v="1"/>
    <s v="Retail"/>
    <x v="1"/>
    <x v="9"/>
    <x v="1"/>
    <n v="220000"/>
    <n v="4"/>
    <x v="3"/>
    <n v="176000"/>
    <n v="880000"/>
    <n v="704000"/>
    <n v="176000"/>
    <n v="983"/>
  </r>
  <r>
    <s v="2025-04-02"/>
    <x v="1"/>
    <x v="3"/>
    <x v="0"/>
    <s v="Corporate"/>
    <x v="1"/>
    <x v="0"/>
    <x v="0"/>
    <n v="85000"/>
    <n v="2"/>
    <x v="0"/>
    <n v="68000"/>
    <n v="170000"/>
    <n v="136000"/>
    <n v="34000"/>
    <n v="984"/>
  </r>
  <r>
    <s v="2025-02-02"/>
    <x v="2"/>
    <x v="1"/>
    <x v="0"/>
    <s v="Retail"/>
    <x v="0"/>
    <x v="8"/>
    <x v="2"/>
    <n v="250000"/>
    <n v="3"/>
    <x v="3"/>
    <n v="200000"/>
    <n v="750000"/>
    <n v="600000"/>
    <n v="150000"/>
    <n v="985"/>
  </r>
  <r>
    <s v="2025-01-12"/>
    <x v="0"/>
    <x v="3"/>
    <x v="2"/>
    <s v="Corporate"/>
    <x v="0"/>
    <x v="6"/>
    <x v="2"/>
    <n v="150000"/>
    <n v="4"/>
    <x v="3"/>
    <n v="120000"/>
    <n v="600000"/>
    <n v="480000"/>
    <n v="120000"/>
    <n v="986"/>
  </r>
  <r>
    <s v="2025-02-15"/>
    <x v="2"/>
    <x v="3"/>
    <x v="0"/>
    <s v="Retail"/>
    <x v="0"/>
    <x v="0"/>
    <x v="0"/>
    <n v="85000"/>
    <n v="2"/>
    <x v="0"/>
    <n v="68000"/>
    <n v="170000"/>
    <n v="136000"/>
    <n v="34000"/>
    <n v="987"/>
  </r>
  <r>
    <s v="2025-01-17"/>
    <x v="0"/>
    <x v="0"/>
    <x v="2"/>
    <s v="Corporate"/>
    <x v="1"/>
    <x v="6"/>
    <x v="2"/>
    <n v="150000"/>
    <n v="4"/>
    <x v="2"/>
    <n v="120000"/>
    <n v="600000"/>
    <n v="480000"/>
    <n v="120000"/>
    <n v="988"/>
  </r>
  <r>
    <s v="2025-02-13"/>
    <x v="2"/>
    <x v="3"/>
    <x v="0"/>
    <s v="Retail"/>
    <x v="0"/>
    <x v="6"/>
    <x v="2"/>
    <n v="150000"/>
    <n v="3"/>
    <x v="1"/>
    <n v="120000"/>
    <n v="450000"/>
    <n v="360000"/>
    <n v="90000"/>
    <n v="989"/>
  </r>
  <r>
    <s v="2025-01-29"/>
    <x v="0"/>
    <x v="3"/>
    <x v="0"/>
    <s v="Corporate"/>
    <x v="0"/>
    <x v="1"/>
    <x v="1"/>
    <n v="30000"/>
    <n v="3"/>
    <x v="1"/>
    <n v="24000"/>
    <n v="90000"/>
    <n v="72000"/>
    <n v="18000"/>
    <n v="990"/>
  </r>
  <r>
    <s v="2025-04-25"/>
    <x v="1"/>
    <x v="3"/>
    <x v="1"/>
    <s v="Corporate"/>
    <x v="1"/>
    <x v="5"/>
    <x v="0"/>
    <n v="320000"/>
    <n v="5"/>
    <x v="5"/>
    <n v="256000"/>
    <n v="1600000"/>
    <n v="1280000"/>
    <n v="320000"/>
    <n v="991"/>
  </r>
  <r>
    <s v="2025-04-25"/>
    <x v="1"/>
    <x v="1"/>
    <x v="3"/>
    <s v="Corporate"/>
    <x v="0"/>
    <x v="8"/>
    <x v="2"/>
    <n v="250000"/>
    <n v="3"/>
    <x v="0"/>
    <n v="200000"/>
    <n v="750000"/>
    <n v="600000"/>
    <n v="150000"/>
    <n v="992"/>
  </r>
  <r>
    <s v="2025-02-26"/>
    <x v="2"/>
    <x v="1"/>
    <x v="2"/>
    <s v="Corporate"/>
    <x v="1"/>
    <x v="2"/>
    <x v="1"/>
    <n v="60000"/>
    <n v="10"/>
    <x v="5"/>
    <n v="48000"/>
    <n v="600000"/>
    <n v="480000"/>
    <n v="120000"/>
    <n v="993"/>
  </r>
  <r>
    <s v="2025-02-26"/>
    <x v="2"/>
    <x v="3"/>
    <x v="0"/>
    <s v="Retail"/>
    <x v="1"/>
    <x v="2"/>
    <x v="1"/>
    <n v="60000"/>
    <n v="3"/>
    <x v="4"/>
    <n v="48000"/>
    <n v="180000"/>
    <n v="144000"/>
    <n v="36000"/>
    <n v="994"/>
  </r>
  <r>
    <s v="2025-02-20"/>
    <x v="2"/>
    <x v="1"/>
    <x v="1"/>
    <s v="Corporate"/>
    <x v="1"/>
    <x v="0"/>
    <x v="0"/>
    <n v="85000"/>
    <n v="9"/>
    <x v="3"/>
    <n v="68000"/>
    <n v="765000"/>
    <n v="612000"/>
    <n v="153000"/>
    <n v="995"/>
  </r>
  <r>
    <s v="2025-03-21"/>
    <x v="3"/>
    <x v="1"/>
    <x v="3"/>
    <s v="Corporate"/>
    <x v="1"/>
    <x v="7"/>
    <x v="2"/>
    <n v="420000"/>
    <n v="4"/>
    <x v="3"/>
    <n v="336000"/>
    <n v="1680000"/>
    <n v="1344000"/>
    <n v="336000"/>
    <n v="996"/>
  </r>
  <r>
    <s v="2025-01-01"/>
    <x v="0"/>
    <x v="3"/>
    <x v="2"/>
    <s v="Corporate"/>
    <x v="0"/>
    <x v="6"/>
    <x v="2"/>
    <n v="150000"/>
    <n v="6"/>
    <x v="4"/>
    <n v="120000"/>
    <n v="900000"/>
    <n v="720000"/>
    <n v="180000"/>
    <n v="997"/>
  </r>
  <r>
    <s v="2025-04-22"/>
    <x v="1"/>
    <x v="3"/>
    <x v="2"/>
    <s v="Corporate"/>
    <x v="0"/>
    <x v="5"/>
    <x v="0"/>
    <n v="320000"/>
    <n v="3"/>
    <x v="3"/>
    <n v="256000"/>
    <n v="960000"/>
    <n v="768000"/>
    <n v="192000"/>
    <n v="998"/>
  </r>
  <r>
    <s v="2025-03-31"/>
    <x v="3"/>
    <x v="2"/>
    <x v="3"/>
    <s v="Retail"/>
    <x v="1"/>
    <x v="3"/>
    <x v="2"/>
    <n v="300000"/>
    <n v="2"/>
    <x v="0"/>
    <n v="240000"/>
    <n v="600000"/>
    <n v="480000"/>
    <n v="120000"/>
    <n v="999"/>
  </r>
  <r>
    <s v="2025-01-26"/>
    <x v="0"/>
    <x v="1"/>
    <x v="2"/>
    <s v="Corporate"/>
    <x v="0"/>
    <x v="6"/>
    <x v="2"/>
    <n v="150000"/>
    <n v="10"/>
    <x v="4"/>
    <n v="120000"/>
    <n v="1500000"/>
    <n v="1200000"/>
    <n v="300000"/>
    <n v="1000"/>
  </r>
  <r>
    <s v="2025-02-17"/>
    <x v="2"/>
    <x v="1"/>
    <x v="3"/>
    <s v="Retail"/>
    <x v="1"/>
    <x v="7"/>
    <x v="2"/>
    <n v="420000"/>
    <n v="10"/>
    <x v="2"/>
    <n v="336000"/>
    <n v="4200000"/>
    <n v="3360000"/>
    <n v="840000"/>
    <n v="1001"/>
  </r>
  <r>
    <s v="2025-03-08"/>
    <x v="3"/>
    <x v="3"/>
    <x v="3"/>
    <s v="Corporate"/>
    <x v="1"/>
    <x v="4"/>
    <x v="1"/>
    <n v="180000"/>
    <n v="5"/>
    <x v="4"/>
    <n v="144000"/>
    <n v="900000"/>
    <n v="720000"/>
    <n v="180000"/>
    <n v="1002"/>
  </r>
  <r>
    <s v="2025-01-29"/>
    <x v="0"/>
    <x v="1"/>
    <x v="3"/>
    <s v="Corporate"/>
    <x v="1"/>
    <x v="8"/>
    <x v="2"/>
    <n v="250000"/>
    <n v="7"/>
    <x v="2"/>
    <n v="200000"/>
    <n v="1750000"/>
    <n v="1400000"/>
    <n v="350000"/>
    <n v="1003"/>
  </r>
  <r>
    <s v="2025-04-17"/>
    <x v="1"/>
    <x v="0"/>
    <x v="1"/>
    <s v="Retail"/>
    <x v="1"/>
    <x v="5"/>
    <x v="0"/>
    <n v="320000"/>
    <n v="4"/>
    <x v="1"/>
    <n v="256000"/>
    <n v="1280000"/>
    <n v="1024000"/>
    <n v="256000"/>
    <n v="1004"/>
  </r>
  <r>
    <s v="2025-01-08"/>
    <x v="0"/>
    <x v="1"/>
    <x v="1"/>
    <s v="Retail"/>
    <x v="0"/>
    <x v="1"/>
    <x v="1"/>
    <n v="30000"/>
    <n v="2"/>
    <x v="0"/>
    <n v="24000"/>
    <n v="60000"/>
    <n v="48000"/>
    <n v="12000"/>
    <n v="1005"/>
  </r>
  <r>
    <s v="2025-01-20"/>
    <x v="0"/>
    <x v="3"/>
    <x v="3"/>
    <s v="Retail"/>
    <x v="0"/>
    <x v="6"/>
    <x v="2"/>
    <n v="150000"/>
    <n v="4"/>
    <x v="0"/>
    <n v="120000"/>
    <n v="600000"/>
    <n v="480000"/>
    <n v="120000"/>
    <n v="1006"/>
  </r>
  <r>
    <s v="2025-04-14"/>
    <x v="1"/>
    <x v="3"/>
    <x v="2"/>
    <s v="Corporate"/>
    <x v="1"/>
    <x v="2"/>
    <x v="1"/>
    <n v="60000"/>
    <n v="4"/>
    <x v="2"/>
    <n v="48000"/>
    <n v="240000"/>
    <n v="192000"/>
    <n v="48000"/>
    <n v="1007"/>
  </r>
  <r>
    <s v="2025-01-04"/>
    <x v="0"/>
    <x v="1"/>
    <x v="3"/>
    <s v="Retail"/>
    <x v="1"/>
    <x v="5"/>
    <x v="0"/>
    <n v="320000"/>
    <n v="4"/>
    <x v="4"/>
    <n v="256000"/>
    <n v="1280000"/>
    <n v="1024000"/>
    <n v="256000"/>
    <n v="1008"/>
  </r>
  <r>
    <s v="2025-04-17"/>
    <x v="1"/>
    <x v="3"/>
    <x v="1"/>
    <s v="Retail"/>
    <x v="0"/>
    <x v="2"/>
    <x v="1"/>
    <n v="60000"/>
    <n v="2"/>
    <x v="1"/>
    <n v="48000"/>
    <n v="120000"/>
    <n v="96000"/>
    <n v="24000"/>
    <n v="1009"/>
  </r>
  <r>
    <s v="2025-04-25"/>
    <x v="1"/>
    <x v="0"/>
    <x v="0"/>
    <s v="Corporate"/>
    <x v="0"/>
    <x v="1"/>
    <x v="1"/>
    <n v="30000"/>
    <n v="7"/>
    <x v="3"/>
    <n v="24000"/>
    <n v="210000"/>
    <n v="168000"/>
    <n v="42000"/>
    <n v="1010"/>
  </r>
  <r>
    <s v="2025-01-22"/>
    <x v="0"/>
    <x v="1"/>
    <x v="0"/>
    <s v="Retail"/>
    <x v="1"/>
    <x v="8"/>
    <x v="2"/>
    <n v="250000"/>
    <n v="6"/>
    <x v="3"/>
    <n v="200000"/>
    <n v="1500000"/>
    <n v="1200000"/>
    <n v="300000"/>
    <n v="1011"/>
  </r>
  <r>
    <s v="2025-03-01"/>
    <x v="3"/>
    <x v="3"/>
    <x v="2"/>
    <s v="Retail"/>
    <x v="0"/>
    <x v="9"/>
    <x v="1"/>
    <n v="220000"/>
    <n v="9"/>
    <x v="0"/>
    <n v="176000"/>
    <n v="1980000"/>
    <n v="1584000"/>
    <n v="396000"/>
    <n v="1012"/>
  </r>
  <r>
    <s v="2025-01-31"/>
    <x v="0"/>
    <x v="1"/>
    <x v="2"/>
    <s v="Corporate"/>
    <x v="0"/>
    <x v="3"/>
    <x v="2"/>
    <n v="300000"/>
    <n v="2"/>
    <x v="1"/>
    <n v="240000"/>
    <n v="600000"/>
    <n v="480000"/>
    <n v="120000"/>
    <n v="1013"/>
  </r>
  <r>
    <s v="2025-03-14"/>
    <x v="3"/>
    <x v="0"/>
    <x v="2"/>
    <s v="Retail"/>
    <x v="1"/>
    <x v="7"/>
    <x v="2"/>
    <n v="420000"/>
    <n v="2"/>
    <x v="1"/>
    <n v="336000"/>
    <n v="840000"/>
    <n v="672000"/>
    <n v="168000"/>
    <n v="1014"/>
  </r>
  <r>
    <s v="2025-03-03"/>
    <x v="3"/>
    <x v="2"/>
    <x v="1"/>
    <s v="Retail"/>
    <x v="1"/>
    <x v="9"/>
    <x v="1"/>
    <n v="220000"/>
    <n v="3"/>
    <x v="3"/>
    <n v="176000"/>
    <n v="660000"/>
    <n v="528000"/>
    <n v="132000"/>
    <n v="1015"/>
  </r>
  <r>
    <s v="2025-03-26"/>
    <x v="3"/>
    <x v="2"/>
    <x v="0"/>
    <s v="Corporate"/>
    <x v="0"/>
    <x v="9"/>
    <x v="1"/>
    <n v="220000"/>
    <n v="10"/>
    <x v="3"/>
    <n v="176000"/>
    <n v="2200000"/>
    <n v="1760000"/>
    <n v="440000"/>
    <n v="1016"/>
  </r>
  <r>
    <s v="2025-02-03"/>
    <x v="2"/>
    <x v="2"/>
    <x v="3"/>
    <s v="Corporate"/>
    <x v="1"/>
    <x v="8"/>
    <x v="2"/>
    <n v="250000"/>
    <n v="8"/>
    <x v="0"/>
    <n v="200000"/>
    <n v="2000000"/>
    <n v="1600000"/>
    <n v="400000"/>
    <n v="1017"/>
  </r>
  <r>
    <s v="2025-02-20"/>
    <x v="2"/>
    <x v="1"/>
    <x v="3"/>
    <s v="Retail"/>
    <x v="0"/>
    <x v="2"/>
    <x v="1"/>
    <n v="60000"/>
    <n v="6"/>
    <x v="2"/>
    <n v="48000"/>
    <n v="360000"/>
    <n v="288000"/>
    <n v="72000"/>
    <n v="1018"/>
  </r>
  <r>
    <s v="2025-02-24"/>
    <x v="2"/>
    <x v="1"/>
    <x v="1"/>
    <s v="Retail"/>
    <x v="0"/>
    <x v="5"/>
    <x v="0"/>
    <n v="320000"/>
    <n v="4"/>
    <x v="5"/>
    <n v="256000"/>
    <n v="1280000"/>
    <n v="1024000"/>
    <n v="256000"/>
    <n v="1019"/>
  </r>
  <r>
    <s v="2025-01-20"/>
    <x v="0"/>
    <x v="1"/>
    <x v="0"/>
    <s v="Retail"/>
    <x v="1"/>
    <x v="4"/>
    <x v="1"/>
    <n v="180000"/>
    <n v="7"/>
    <x v="5"/>
    <n v="144000"/>
    <n v="1260000"/>
    <n v="1008000"/>
    <n v="252000"/>
    <n v="1020"/>
  </r>
  <r>
    <s v="2025-01-25"/>
    <x v="0"/>
    <x v="1"/>
    <x v="0"/>
    <s v="Retail"/>
    <x v="0"/>
    <x v="2"/>
    <x v="1"/>
    <n v="60000"/>
    <n v="7"/>
    <x v="0"/>
    <n v="48000"/>
    <n v="420000"/>
    <n v="336000"/>
    <n v="84000"/>
    <n v="1021"/>
  </r>
  <r>
    <s v="2025-01-25"/>
    <x v="0"/>
    <x v="2"/>
    <x v="3"/>
    <s v="Retail"/>
    <x v="0"/>
    <x v="4"/>
    <x v="1"/>
    <n v="180000"/>
    <n v="9"/>
    <x v="1"/>
    <n v="144000"/>
    <n v="1620000"/>
    <n v="1296000"/>
    <n v="324000"/>
    <n v="1022"/>
  </r>
  <r>
    <s v="2025-01-28"/>
    <x v="0"/>
    <x v="3"/>
    <x v="0"/>
    <s v="Corporate"/>
    <x v="0"/>
    <x v="1"/>
    <x v="1"/>
    <n v="30000"/>
    <n v="6"/>
    <x v="1"/>
    <n v="24000"/>
    <n v="180000"/>
    <n v="144000"/>
    <n v="36000"/>
    <n v="1023"/>
  </r>
  <r>
    <s v="2025-01-13"/>
    <x v="0"/>
    <x v="2"/>
    <x v="1"/>
    <s v="Retail"/>
    <x v="0"/>
    <x v="3"/>
    <x v="2"/>
    <n v="300000"/>
    <n v="10"/>
    <x v="4"/>
    <n v="240000"/>
    <n v="3000000"/>
    <n v="2400000"/>
    <n v="600000"/>
    <n v="1024"/>
  </r>
  <r>
    <s v="2025-01-13"/>
    <x v="0"/>
    <x v="2"/>
    <x v="3"/>
    <s v="Corporate"/>
    <x v="0"/>
    <x v="1"/>
    <x v="1"/>
    <n v="30000"/>
    <n v="2"/>
    <x v="2"/>
    <n v="24000"/>
    <n v="60000"/>
    <n v="48000"/>
    <n v="12000"/>
    <n v="1025"/>
  </r>
  <r>
    <s v="2025-03-07"/>
    <x v="3"/>
    <x v="1"/>
    <x v="2"/>
    <s v="Corporate"/>
    <x v="0"/>
    <x v="1"/>
    <x v="1"/>
    <n v="30000"/>
    <n v="8"/>
    <x v="5"/>
    <n v="24000"/>
    <n v="240000"/>
    <n v="192000"/>
    <n v="48000"/>
    <n v="1026"/>
  </r>
  <r>
    <s v="2025-01-02"/>
    <x v="0"/>
    <x v="2"/>
    <x v="2"/>
    <s v="Corporate"/>
    <x v="1"/>
    <x v="1"/>
    <x v="1"/>
    <n v="30000"/>
    <n v="9"/>
    <x v="2"/>
    <n v="24000"/>
    <n v="270000"/>
    <n v="216000"/>
    <n v="54000"/>
    <n v="1027"/>
  </r>
  <r>
    <s v="2025-03-28"/>
    <x v="3"/>
    <x v="3"/>
    <x v="0"/>
    <s v="Retail"/>
    <x v="1"/>
    <x v="9"/>
    <x v="1"/>
    <n v="220000"/>
    <n v="2"/>
    <x v="5"/>
    <n v="176000"/>
    <n v="440000"/>
    <n v="352000"/>
    <n v="88000"/>
    <n v="1028"/>
  </r>
  <r>
    <s v="2025-02-01"/>
    <x v="2"/>
    <x v="2"/>
    <x v="2"/>
    <s v="Retail"/>
    <x v="1"/>
    <x v="9"/>
    <x v="1"/>
    <n v="220000"/>
    <n v="3"/>
    <x v="5"/>
    <n v="176000"/>
    <n v="660000"/>
    <n v="528000"/>
    <n v="132000"/>
    <n v="1029"/>
  </r>
  <r>
    <s v="2025-04-25"/>
    <x v="1"/>
    <x v="2"/>
    <x v="3"/>
    <s v="Retail"/>
    <x v="1"/>
    <x v="0"/>
    <x v="0"/>
    <n v="85000"/>
    <n v="3"/>
    <x v="1"/>
    <n v="68000"/>
    <n v="255000"/>
    <n v="204000"/>
    <n v="51000"/>
    <n v="1030"/>
  </r>
  <r>
    <s v="2025-02-05"/>
    <x v="2"/>
    <x v="0"/>
    <x v="1"/>
    <s v="Corporate"/>
    <x v="0"/>
    <x v="2"/>
    <x v="1"/>
    <n v="60000"/>
    <n v="3"/>
    <x v="3"/>
    <n v="48000"/>
    <n v="180000"/>
    <n v="144000"/>
    <n v="36000"/>
    <n v="1031"/>
  </r>
  <r>
    <s v="2025-04-25"/>
    <x v="1"/>
    <x v="0"/>
    <x v="2"/>
    <s v="Corporate"/>
    <x v="1"/>
    <x v="9"/>
    <x v="1"/>
    <n v="220000"/>
    <n v="3"/>
    <x v="5"/>
    <n v="176000"/>
    <n v="660000"/>
    <n v="528000"/>
    <n v="132000"/>
    <n v="1032"/>
  </r>
  <r>
    <s v="2025-03-12"/>
    <x v="3"/>
    <x v="0"/>
    <x v="0"/>
    <s v="Retail"/>
    <x v="1"/>
    <x v="1"/>
    <x v="1"/>
    <n v="30000"/>
    <n v="1"/>
    <x v="0"/>
    <n v="24000"/>
    <n v="30000"/>
    <n v="24000"/>
    <n v="6000"/>
    <n v="1033"/>
  </r>
  <r>
    <s v="2025-02-04"/>
    <x v="2"/>
    <x v="1"/>
    <x v="3"/>
    <s v="Corporate"/>
    <x v="1"/>
    <x v="7"/>
    <x v="2"/>
    <n v="420000"/>
    <n v="1"/>
    <x v="5"/>
    <n v="336000"/>
    <n v="420000"/>
    <n v="336000"/>
    <n v="84000"/>
    <n v="1034"/>
  </r>
  <r>
    <s v="2025-02-22"/>
    <x v="2"/>
    <x v="0"/>
    <x v="1"/>
    <s v="Retail"/>
    <x v="1"/>
    <x v="9"/>
    <x v="1"/>
    <n v="220000"/>
    <n v="10"/>
    <x v="1"/>
    <n v="176000"/>
    <n v="2200000"/>
    <n v="1760000"/>
    <n v="440000"/>
    <n v="1035"/>
  </r>
  <r>
    <s v="2025-04-10"/>
    <x v="1"/>
    <x v="2"/>
    <x v="2"/>
    <s v="Corporate"/>
    <x v="1"/>
    <x v="4"/>
    <x v="1"/>
    <n v="180000"/>
    <n v="10"/>
    <x v="5"/>
    <n v="144000"/>
    <n v="1800000"/>
    <n v="1440000"/>
    <n v="360000"/>
    <n v="1036"/>
  </r>
  <r>
    <s v="2025-04-15"/>
    <x v="1"/>
    <x v="2"/>
    <x v="0"/>
    <s v="Retail"/>
    <x v="0"/>
    <x v="7"/>
    <x v="2"/>
    <n v="420000"/>
    <n v="3"/>
    <x v="4"/>
    <n v="336000"/>
    <n v="1260000"/>
    <n v="1008000"/>
    <n v="252000"/>
    <n v="1037"/>
  </r>
  <r>
    <s v="2025-01-03"/>
    <x v="0"/>
    <x v="0"/>
    <x v="3"/>
    <s v="Corporate"/>
    <x v="0"/>
    <x v="0"/>
    <x v="0"/>
    <n v="85000"/>
    <n v="4"/>
    <x v="2"/>
    <n v="68000"/>
    <n v="340000"/>
    <n v="272000"/>
    <n v="68000"/>
    <n v="1038"/>
  </r>
  <r>
    <s v="2025-04-09"/>
    <x v="1"/>
    <x v="2"/>
    <x v="2"/>
    <s v="Corporate"/>
    <x v="0"/>
    <x v="5"/>
    <x v="0"/>
    <n v="320000"/>
    <n v="4"/>
    <x v="3"/>
    <n v="256000"/>
    <n v="1280000"/>
    <n v="1024000"/>
    <n v="256000"/>
    <n v="1039"/>
  </r>
  <r>
    <s v="2025-01-08"/>
    <x v="0"/>
    <x v="0"/>
    <x v="3"/>
    <s v="Retail"/>
    <x v="1"/>
    <x v="9"/>
    <x v="1"/>
    <n v="220000"/>
    <n v="1"/>
    <x v="4"/>
    <n v="176000"/>
    <n v="220000"/>
    <n v="176000"/>
    <n v="44000"/>
    <n v="1040"/>
  </r>
  <r>
    <s v="2025-04-01"/>
    <x v="1"/>
    <x v="2"/>
    <x v="1"/>
    <s v="Corporate"/>
    <x v="1"/>
    <x v="0"/>
    <x v="0"/>
    <n v="85000"/>
    <n v="1"/>
    <x v="1"/>
    <n v="68000"/>
    <n v="85000"/>
    <n v="68000"/>
    <n v="17000"/>
    <n v="1041"/>
  </r>
  <r>
    <s v="2025-01-10"/>
    <x v="0"/>
    <x v="0"/>
    <x v="3"/>
    <s v="Retail"/>
    <x v="0"/>
    <x v="6"/>
    <x v="2"/>
    <n v="150000"/>
    <n v="8"/>
    <x v="5"/>
    <n v="120000"/>
    <n v="1200000"/>
    <n v="960000"/>
    <n v="240000"/>
    <n v="1042"/>
  </r>
  <r>
    <s v="2025-01-11"/>
    <x v="0"/>
    <x v="3"/>
    <x v="1"/>
    <s v="Corporate"/>
    <x v="0"/>
    <x v="6"/>
    <x v="2"/>
    <n v="150000"/>
    <n v="9"/>
    <x v="0"/>
    <n v="120000"/>
    <n v="1350000"/>
    <n v="1080000"/>
    <n v="270000"/>
    <n v="1043"/>
  </r>
  <r>
    <s v="2025-04-26"/>
    <x v="1"/>
    <x v="0"/>
    <x v="1"/>
    <s v="Corporate"/>
    <x v="0"/>
    <x v="3"/>
    <x v="2"/>
    <n v="300000"/>
    <n v="3"/>
    <x v="0"/>
    <n v="240000"/>
    <n v="900000"/>
    <n v="720000"/>
    <n v="180000"/>
    <n v="1044"/>
  </r>
  <r>
    <s v="2025-04-03"/>
    <x v="1"/>
    <x v="3"/>
    <x v="3"/>
    <s v="Corporate"/>
    <x v="0"/>
    <x v="6"/>
    <x v="2"/>
    <n v="150000"/>
    <n v="10"/>
    <x v="3"/>
    <n v="120000"/>
    <n v="1500000"/>
    <n v="1200000"/>
    <n v="300000"/>
    <n v="1045"/>
  </r>
  <r>
    <s v="2025-04-25"/>
    <x v="1"/>
    <x v="0"/>
    <x v="3"/>
    <s v="Retail"/>
    <x v="1"/>
    <x v="0"/>
    <x v="0"/>
    <n v="85000"/>
    <n v="2"/>
    <x v="3"/>
    <n v="68000"/>
    <n v="170000"/>
    <n v="136000"/>
    <n v="34000"/>
    <n v="1046"/>
  </r>
  <r>
    <s v="2025-01-09"/>
    <x v="0"/>
    <x v="1"/>
    <x v="0"/>
    <s v="Corporate"/>
    <x v="1"/>
    <x v="7"/>
    <x v="2"/>
    <n v="420000"/>
    <n v="9"/>
    <x v="1"/>
    <n v="336000"/>
    <n v="3780000"/>
    <n v="3024000"/>
    <n v="756000"/>
    <n v="1047"/>
  </r>
  <r>
    <s v="2025-01-09"/>
    <x v="0"/>
    <x v="0"/>
    <x v="1"/>
    <s v="Corporate"/>
    <x v="0"/>
    <x v="3"/>
    <x v="2"/>
    <n v="300000"/>
    <n v="2"/>
    <x v="5"/>
    <n v="240000"/>
    <n v="600000"/>
    <n v="480000"/>
    <n v="120000"/>
    <n v="1048"/>
  </r>
  <r>
    <s v="2025-04-05"/>
    <x v="1"/>
    <x v="1"/>
    <x v="2"/>
    <s v="Corporate"/>
    <x v="0"/>
    <x v="6"/>
    <x v="2"/>
    <n v="150000"/>
    <n v="4"/>
    <x v="4"/>
    <n v="120000"/>
    <n v="600000"/>
    <n v="480000"/>
    <n v="120000"/>
    <n v="1049"/>
  </r>
  <r>
    <s v="2025-04-11"/>
    <x v="1"/>
    <x v="1"/>
    <x v="1"/>
    <s v="Retail"/>
    <x v="0"/>
    <x v="7"/>
    <x v="2"/>
    <n v="420000"/>
    <n v="9"/>
    <x v="1"/>
    <n v="336000"/>
    <n v="3780000"/>
    <n v="3024000"/>
    <n v="756000"/>
    <n v="1050"/>
  </r>
  <r>
    <s v="2025-01-30"/>
    <x v="0"/>
    <x v="3"/>
    <x v="2"/>
    <s v="Retail"/>
    <x v="1"/>
    <x v="8"/>
    <x v="2"/>
    <n v="250000"/>
    <n v="5"/>
    <x v="1"/>
    <n v="200000"/>
    <n v="1250000"/>
    <n v="1000000"/>
    <n v="250000"/>
    <n v="1051"/>
  </r>
  <r>
    <s v="2025-01-02"/>
    <x v="0"/>
    <x v="3"/>
    <x v="3"/>
    <s v="Corporate"/>
    <x v="0"/>
    <x v="1"/>
    <x v="1"/>
    <n v="30000"/>
    <n v="10"/>
    <x v="4"/>
    <n v="24000"/>
    <n v="300000"/>
    <n v="240000"/>
    <n v="60000"/>
    <n v="1052"/>
  </r>
  <r>
    <s v="2025-05-01"/>
    <x v="4"/>
    <x v="2"/>
    <x v="2"/>
    <s v="Retail"/>
    <x v="1"/>
    <x v="7"/>
    <x v="2"/>
    <n v="420000"/>
    <n v="3"/>
    <x v="0"/>
    <n v="336000"/>
    <n v="1260000"/>
    <n v="1008000"/>
    <n v="252000"/>
    <n v="1053"/>
  </r>
  <r>
    <s v="2025-02-27"/>
    <x v="2"/>
    <x v="2"/>
    <x v="3"/>
    <s v="Retail"/>
    <x v="0"/>
    <x v="5"/>
    <x v="0"/>
    <n v="320000"/>
    <n v="8"/>
    <x v="4"/>
    <n v="256000"/>
    <n v="2560000"/>
    <n v="2048000"/>
    <n v="512000"/>
    <n v="1054"/>
  </r>
  <r>
    <s v="2025-02-10"/>
    <x v="2"/>
    <x v="3"/>
    <x v="1"/>
    <s v="Corporate"/>
    <x v="0"/>
    <x v="7"/>
    <x v="2"/>
    <n v="420000"/>
    <n v="8"/>
    <x v="4"/>
    <n v="336000"/>
    <n v="3360000"/>
    <n v="2688000"/>
    <n v="672000"/>
    <n v="1055"/>
  </r>
  <r>
    <s v="2025-01-26"/>
    <x v="0"/>
    <x v="2"/>
    <x v="2"/>
    <s v="Corporate"/>
    <x v="0"/>
    <x v="6"/>
    <x v="2"/>
    <n v="150000"/>
    <n v="1"/>
    <x v="4"/>
    <n v="120000"/>
    <n v="150000"/>
    <n v="120000"/>
    <n v="30000"/>
    <n v="1056"/>
  </r>
  <r>
    <s v="2025-03-12"/>
    <x v="3"/>
    <x v="2"/>
    <x v="1"/>
    <s v="Retail"/>
    <x v="0"/>
    <x v="2"/>
    <x v="1"/>
    <n v="60000"/>
    <n v="7"/>
    <x v="3"/>
    <n v="48000"/>
    <n v="420000"/>
    <n v="336000"/>
    <n v="84000"/>
    <n v="1057"/>
  </r>
  <r>
    <s v="2025-02-01"/>
    <x v="2"/>
    <x v="2"/>
    <x v="1"/>
    <s v="Retail"/>
    <x v="1"/>
    <x v="7"/>
    <x v="2"/>
    <n v="420000"/>
    <n v="9"/>
    <x v="4"/>
    <n v="336000"/>
    <n v="3780000"/>
    <n v="3024000"/>
    <n v="756000"/>
    <n v="1058"/>
  </r>
  <r>
    <s v="2025-03-29"/>
    <x v="3"/>
    <x v="1"/>
    <x v="2"/>
    <s v="Corporate"/>
    <x v="1"/>
    <x v="7"/>
    <x v="2"/>
    <n v="420000"/>
    <n v="6"/>
    <x v="1"/>
    <n v="336000"/>
    <n v="2520000"/>
    <n v="2016000"/>
    <n v="504000"/>
    <n v="1059"/>
  </r>
  <r>
    <s v="2025-01-02"/>
    <x v="0"/>
    <x v="1"/>
    <x v="0"/>
    <s v="Retail"/>
    <x v="0"/>
    <x v="3"/>
    <x v="2"/>
    <n v="300000"/>
    <n v="9"/>
    <x v="4"/>
    <n v="240000"/>
    <n v="2700000"/>
    <n v="2160000"/>
    <n v="540000"/>
    <n v="1060"/>
  </r>
  <r>
    <s v="2025-02-12"/>
    <x v="2"/>
    <x v="3"/>
    <x v="0"/>
    <s v="Corporate"/>
    <x v="0"/>
    <x v="4"/>
    <x v="1"/>
    <n v="180000"/>
    <n v="5"/>
    <x v="5"/>
    <n v="144000"/>
    <n v="900000"/>
    <n v="720000"/>
    <n v="180000"/>
    <n v="1061"/>
  </r>
  <r>
    <s v="2025-01-20"/>
    <x v="0"/>
    <x v="2"/>
    <x v="2"/>
    <s v="Retail"/>
    <x v="1"/>
    <x v="6"/>
    <x v="2"/>
    <n v="150000"/>
    <n v="5"/>
    <x v="2"/>
    <n v="120000"/>
    <n v="750000"/>
    <n v="600000"/>
    <n v="150000"/>
    <n v="1062"/>
  </r>
  <r>
    <s v="2025-01-30"/>
    <x v="0"/>
    <x v="1"/>
    <x v="0"/>
    <s v="Retail"/>
    <x v="0"/>
    <x v="0"/>
    <x v="0"/>
    <n v="85000"/>
    <n v="9"/>
    <x v="2"/>
    <n v="68000"/>
    <n v="765000"/>
    <n v="612000"/>
    <n v="153000"/>
    <n v="1063"/>
  </r>
  <r>
    <s v="2025-02-01"/>
    <x v="2"/>
    <x v="0"/>
    <x v="3"/>
    <s v="Corporate"/>
    <x v="0"/>
    <x v="7"/>
    <x v="2"/>
    <n v="420000"/>
    <n v="5"/>
    <x v="5"/>
    <n v="336000"/>
    <n v="2100000"/>
    <n v="1680000"/>
    <n v="420000"/>
    <n v="1064"/>
  </r>
  <r>
    <s v="2025-03-20"/>
    <x v="3"/>
    <x v="1"/>
    <x v="1"/>
    <s v="Retail"/>
    <x v="1"/>
    <x v="5"/>
    <x v="0"/>
    <n v="320000"/>
    <n v="4"/>
    <x v="2"/>
    <n v="256000"/>
    <n v="1280000"/>
    <n v="1024000"/>
    <n v="256000"/>
    <n v="1065"/>
  </r>
  <r>
    <s v="2025-03-25"/>
    <x v="3"/>
    <x v="1"/>
    <x v="1"/>
    <s v="Corporate"/>
    <x v="0"/>
    <x v="1"/>
    <x v="1"/>
    <n v="30000"/>
    <n v="4"/>
    <x v="2"/>
    <n v="24000"/>
    <n v="120000"/>
    <n v="96000"/>
    <n v="24000"/>
    <n v="1066"/>
  </r>
  <r>
    <s v="2025-01-18"/>
    <x v="0"/>
    <x v="2"/>
    <x v="3"/>
    <s v="Corporate"/>
    <x v="1"/>
    <x v="6"/>
    <x v="2"/>
    <n v="150000"/>
    <n v="3"/>
    <x v="4"/>
    <n v="120000"/>
    <n v="450000"/>
    <n v="360000"/>
    <n v="90000"/>
    <n v="1067"/>
  </r>
  <r>
    <s v="2025-02-13"/>
    <x v="2"/>
    <x v="0"/>
    <x v="1"/>
    <s v="Retail"/>
    <x v="0"/>
    <x v="9"/>
    <x v="1"/>
    <n v="220000"/>
    <n v="7"/>
    <x v="0"/>
    <n v="176000"/>
    <n v="1540000"/>
    <n v="1232000"/>
    <n v="308000"/>
    <n v="1068"/>
  </r>
  <r>
    <s v="2025-01-14"/>
    <x v="0"/>
    <x v="1"/>
    <x v="0"/>
    <s v="Retail"/>
    <x v="1"/>
    <x v="4"/>
    <x v="1"/>
    <n v="180000"/>
    <n v="10"/>
    <x v="3"/>
    <n v="144000"/>
    <n v="1800000"/>
    <n v="1440000"/>
    <n v="360000"/>
    <n v="1069"/>
  </r>
  <r>
    <s v="2025-03-11"/>
    <x v="3"/>
    <x v="0"/>
    <x v="3"/>
    <s v="Corporate"/>
    <x v="0"/>
    <x v="0"/>
    <x v="0"/>
    <n v="85000"/>
    <n v="7"/>
    <x v="1"/>
    <n v="68000"/>
    <n v="595000"/>
    <n v="476000"/>
    <n v="119000"/>
    <n v="1070"/>
  </r>
  <r>
    <s v="2025-02-16"/>
    <x v="2"/>
    <x v="1"/>
    <x v="1"/>
    <s v="Retail"/>
    <x v="0"/>
    <x v="1"/>
    <x v="1"/>
    <n v="30000"/>
    <n v="3"/>
    <x v="1"/>
    <n v="24000"/>
    <n v="90000"/>
    <n v="72000"/>
    <n v="18000"/>
    <n v="1071"/>
  </r>
  <r>
    <s v="2025-01-12"/>
    <x v="0"/>
    <x v="3"/>
    <x v="0"/>
    <s v="Corporate"/>
    <x v="0"/>
    <x v="5"/>
    <x v="0"/>
    <n v="320000"/>
    <n v="9"/>
    <x v="4"/>
    <n v="256000"/>
    <n v="2880000"/>
    <n v="2304000"/>
    <n v="576000"/>
    <n v="1072"/>
  </r>
  <r>
    <s v="2025-02-11"/>
    <x v="2"/>
    <x v="0"/>
    <x v="1"/>
    <s v="Retail"/>
    <x v="1"/>
    <x v="6"/>
    <x v="2"/>
    <n v="150000"/>
    <n v="2"/>
    <x v="1"/>
    <n v="120000"/>
    <n v="300000"/>
    <n v="240000"/>
    <n v="60000"/>
    <n v="1073"/>
  </r>
  <r>
    <s v="2025-02-15"/>
    <x v="2"/>
    <x v="1"/>
    <x v="1"/>
    <s v="Corporate"/>
    <x v="1"/>
    <x v="4"/>
    <x v="1"/>
    <n v="180000"/>
    <n v="8"/>
    <x v="4"/>
    <n v="144000"/>
    <n v="1440000"/>
    <n v="1152000"/>
    <n v="288000"/>
    <n v="1074"/>
  </r>
  <r>
    <s v="2025-02-08"/>
    <x v="2"/>
    <x v="1"/>
    <x v="1"/>
    <s v="Corporate"/>
    <x v="1"/>
    <x v="0"/>
    <x v="0"/>
    <n v="85000"/>
    <n v="7"/>
    <x v="0"/>
    <n v="68000"/>
    <n v="595000"/>
    <n v="476000"/>
    <n v="119000"/>
    <n v="1075"/>
  </r>
  <r>
    <s v="2025-04-27"/>
    <x v="1"/>
    <x v="0"/>
    <x v="3"/>
    <s v="Corporate"/>
    <x v="0"/>
    <x v="4"/>
    <x v="1"/>
    <n v="180000"/>
    <n v="8"/>
    <x v="5"/>
    <n v="144000"/>
    <n v="1440000"/>
    <n v="1152000"/>
    <n v="288000"/>
    <n v="1076"/>
  </r>
  <r>
    <s v="2025-02-26"/>
    <x v="2"/>
    <x v="3"/>
    <x v="0"/>
    <s v="Corporate"/>
    <x v="0"/>
    <x v="9"/>
    <x v="1"/>
    <n v="220000"/>
    <n v="5"/>
    <x v="5"/>
    <n v="176000"/>
    <n v="1100000"/>
    <n v="880000"/>
    <n v="220000"/>
    <n v="1077"/>
  </r>
  <r>
    <s v="2025-02-13"/>
    <x v="2"/>
    <x v="3"/>
    <x v="2"/>
    <s v="Retail"/>
    <x v="0"/>
    <x v="3"/>
    <x v="2"/>
    <n v="300000"/>
    <n v="5"/>
    <x v="4"/>
    <n v="240000"/>
    <n v="1500000"/>
    <n v="1200000"/>
    <n v="300000"/>
    <n v="1078"/>
  </r>
  <r>
    <s v="2025-04-07"/>
    <x v="1"/>
    <x v="3"/>
    <x v="3"/>
    <s v="Retail"/>
    <x v="1"/>
    <x v="8"/>
    <x v="2"/>
    <n v="250000"/>
    <n v="7"/>
    <x v="0"/>
    <n v="200000"/>
    <n v="1750000"/>
    <n v="1400000"/>
    <n v="350000"/>
    <n v="1079"/>
  </r>
  <r>
    <s v="2025-01-06"/>
    <x v="0"/>
    <x v="0"/>
    <x v="3"/>
    <s v="Corporate"/>
    <x v="1"/>
    <x v="2"/>
    <x v="1"/>
    <n v="60000"/>
    <n v="7"/>
    <x v="4"/>
    <n v="48000"/>
    <n v="420000"/>
    <n v="336000"/>
    <n v="84000"/>
    <n v="1080"/>
  </r>
  <r>
    <s v="2025-03-27"/>
    <x v="3"/>
    <x v="1"/>
    <x v="0"/>
    <s v="Corporate"/>
    <x v="0"/>
    <x v="0"/>
    <x v="0"/>
    <n v="85000"/>
    <n v="2"/>
    <x v="3"/>
    <n v="68000"/>
    <n v="170000"/>
    <n v="136000"/>
    <n v="34000"/>
    <n v="1081"/>
  </r>
  <r>
    <s v="2025-01-07"/>
    <x v="0"/>
    <x v="0"/>
    <x v="0"/>
    <s v="Retail"/>
    <x v="1"/>
    <x v="2"/>
    <x v="1"/>
    <n v="60000"/>
    <n v="2"/>
    <x v="5"/>
    <n v="48000"/>
    <n v="120000"/>
    <n v="96000"/>
    <n v="24000"/>
    <n v="1082"/>
  </r>
  <r>
    <s v="2025-01-10"/>
    <x v="0"/>
    <x v="1"/>
    <x v="3"/>
    <s v="Corporate"/>
    <x v="0"/>
    <x v="1"/>
    <x v="1"/>
    <n v="30000"/>
    <n v="10"/>
    <x v="5"/>
    <n v="24000"/>
    <n v="300000"/>
    <n v="240000"/>
    <n v="60000"/>
    <n v="1083"/>
  </r>
  <r>
    <s v="2025-03-23"/>
    <x v="3"/>
    <x v="3"/>
    <x v="1"/>
    <s v="Corporate"/>
    <x v="1"/>
    <x v="7"/>
    <x v="2"/>
    <n v="420000"/>
    <n v="8"/>
    <x v="1"/>
    <n v="336000"/>
    <n v="3360000"/>
    <n v="2688000"/>
    <n v="672000"/>
    <n v="1084"/>
  </r>
  <r>
    <s v="2025-04-03"/>
    <x v="1"/>
    <x v="0"/>
    <x v="1"/>
    <s v="Corporate"/>
    <x v="0"/>
    <x v="2"/>
    <x v="1"/>
    <n v="60000"/>
    <n v="2"/>
    <x v="4"/>
    <n v="48000"/>
    <n v="120000"/>
    <n v="96000"/>
    <n v="24000"/>
    <n v="1085"/>
  </r>
  <r>
    <s v="2025-03-14"/>
    <x v="3"/>
    <x v="2"/>
    <x v="2"/>
    <s v="Corporate"/>
    <x v="1"/>
    <x v="0"/>
    <x v="0"/>
    <n v="85000"/>
    <n v="8"/>
    <x v="5"/>
    <n v="68000"/>
    <n v="680000"/>
    <n v="544000"/>
    <n v="136000"/>
    <n v="1086"/>
  </r>
  <r>
    <s v="2025-02-13"/>
    <x v="2"/>
    <x v="0"/>
    <x v="0"/>
    <s v="Retail"/>
    <x v="1"/>
    <x v="7"/>
    <x v="2"/>
    <n v="420000"/>
    <n v="7"/>
    <x v="3"/>
    <n v="336000"/>
    <n v="2940000"/>
    <n v="2352000"/>
    <n v="588000"/>
    <n v="1087"/>
  </r>
  <r>
    <s v="2025-02-23"/>
    <x v="2"/>
    <x v="1"/>
    <x v="3"/>
    <s v="Retail"/>
    <x v="1"/>
    <x v="3"/>
    <x v="2"/>
    <n v="300000"/>
    <n v="6"/>
    <x v="5"/>
    <n v="240000"/>
    <n v="1800000"/>
    <n v="1440000"/>
    <n v="360000"/>
    <n v="1088"/>
  </r>
  <r>
    <s v="2025-03-20"/>
    <x v="3"/>
    <x v="3"/>
    <x v="0"/>
    <s v="Retail"/>
    <x v="0"/>
    <x v="7"/>
    <x v="2"/>
    <n v="420000"/>
    <n v="2"/>
    <x v="4"/>
    <n v="336000"/>
    <n v="840000"/>
    <n v="672000"/>
    <n v="168000"/>
    <n v="1089"/>
  </r>
  <r>
    <s v="2025-04-06"/>
    <x v="1"/>
    <x v="3"/>
    <x v="0"/>
    <s v="Corporate"/>
    <x v="0"/>
    <x v="3"/>
    <x v="2"/>
    <n v="300000"/>
    <n v="8"/>
    <x v="3"/>
    <n v="240000"/>
    <n v="2400000"/>
    <n v="1920000"/>
    <n v="480000"/>
    <n v="1090"/>
  </r>
  <r>
    <s v="2025-03-15"/>
    <x v="3"/>
    <x v="3"/>
    <x v="2"/>
    <s v="Retail"/>
    <x v="0"/>
    <x v="8"/>
    <x v="2"/>
    <n v="250000"/>
    <n v="5"/>
    <x v="3"/>
    <n v="200000"/>
    <n v="1250000"/>
    <n v="1000000"/>
    <n v="250000"/>
    <n v="1091"/>
  </r>
  <r>
    <s v="2025-02-21"/>
    <x v="2"/>
    <x v="1"/>
    <x v="3"/>
    <s v="Corporate"/>
    <x v="1"/>
    <x v="7"/>
    <x v="2"/>
    <n v="420000"/>
    <n v="5"/>
    <x v="3"/>
    <n v="336000"/>
    <n v="2100000"/>
    <n v="1680000"/>
    <n v="420000"/>
    <n v="1092"/>
  </r>
  <r>
    <s v="2025-02-08"/>
    <x v="2"/>
    <x v="1"/>
    <x v="2"/>
    <s v="Corporate"/>
    <x v="0"/>
    <x v="7"/>
    <x v="2"/>
    <n v="420000"/>
    <n v="10"/>
    <x v="1"/>
    <n v="336000"/>
    <n v="4200000"/>
    <n v="3360000"/>
    <n v="840000"/>
    <n v="1093"/>
  </r>
  <r>
    <s v="2025-04-20"/>
    <x v="1"/>
    <x v="3"/>
    <x v="2"/>
    <s v="Retail"/>
    <x v="0"/>
    <x v="5"/>
    <x v="0"/>
    <n v="320000"/>
    <n v="1"/>
    <x v="2"/>
    <n v="256000"/>
    <n v="320000"/>
    <n v="256000"/>
    <n v="64000"/>
    <n v="1094"/>
  </r>
  <r>
    <s v="2025-02-26"/>
    <x v="2"/>
    <x v="2"/>
    <x v="3"/>
    <s v="Retail"/>
    <x v="0"/>
    <x v="5"/>
    <x v="0"/>
    <n v="320000"/>
    <n v="1"/>
    <x v="3"/>
    <n v="256000"/>
    <n v="320000"/>
    <n v="256000"/>
    <n v="64000"/>
    <n v="1095"/>
  </r>
  <r>
    <s v="2025-04-30"/>
    <x v="1"/>
    <x v="3"/>
    <x v="2"/>
    <s v="Corporate"/>
    <x v="1"/>
    <x v="6"/>
    <x v="2"/>
    <n v="150000"/>
    <n v="1"/>
    <x v="5"/>
    <n v="120000"/>
    <n v="150000"/>
    <n v="120000"/>
    <n v="30000"/>
    <n v="1096"/>
  </r>
  <r>
    <s v="2025-01-06"/>
    <x v="0"/>
    <x v="1"/>
    <x v="0"/>
    <s v="Corporate"/>
    <x v="0"/>
    <x v="4"/>
    <x v="1"/>
    <n v="180000"/>
    <n v="10"/>
    <x v="2"/>
    <n v="144000"/>
    <n v="1800000"/>
    <n v="1440000"/>
    <n v="360000"/>
    <n v="1097"/>
  </r>
  <r>
    <s v="2025-04-29"/>
    <x v="1"/>
    <x v="3"/>
    <x v="2"/>
    <s v="Retail"/>
    <x v="1"/>
    <x v="7"/>
    <x v="2"/>
    <n v="420000"/>
    <n v="3"/>
    <x v="1"/>
    <n v="336000"/>
    <n v="1260000"/>
    <n v="1008000"/>
    <n v="252000"/>
    <n v="1098"/>
  </r>
  <r>
    <s v="2025-03-01"/>
    <x v="3"/>
    <x v="3"/>
    <x v="3"/>
    <s v="Retail"/>
    <x v="0"/>
    <x v="9"/>
    <x v="1"/>
    <n v="220000"/>
    <n v="10"/>
    <x v="5"/>
    <n v="176000"/>
    <n v="2200000"/>
    <n v="1760000"/>
    <n v="440000"/>
    <n v="1099"/>
  </r>
  <r>
    <s v="2025-03-27"/>
    <x v="3"/>
    <x v="1"/>
    <x v="3"/>
    <s v="Corporate"/>
    <x v="1"/>
    <x v="7"/>
    <x v="2"/>
    <n v="420000"/>
    <n v="9"/>
    <x v="3"/>
    <n v="336000"/>
    <n v="3780000"/>
    <n v="3024000"/>
    <n v="756000"/>
    <n v="1100"/>
  </r>
  <r>
    <s v="2025-02-21"/>
    <x v="2"/>
    <x v="0"/>
    <x v="3"/>
    <s v="Retail"/>
    <x v="1"/>
    <x v="1"/>
    <x v="1"/>
    <n v="30000"/>
    <n v="6"/>
    <x v="5"/>
    <n v="24000"/>
    <n v="180000"/>
    <n v="144000"/>
    <n v="36000"/>
    <n v="1101"/>
  </r>
  <r>
    <s v="2025-04-30"/>
    <x v="1"/>
    <x v="3"/>
    <x v="0"/>
    <s v="Retail"/>
    <x v="1"/>
    <x v="8"/>
    <x v="2"/>
    <n v="250000"/>
    <n v="10"/>
    <x v="1"/>
    <n v="200000"/>
    <n v="2500000"/>
    <n v="2000000"/>
    <n v="500000"/>
    <n v="1102"/>
  </r>
  <r>
    <s v="2025-01-08"/>
    <x v="0"/>
    <x v="1"/>
    <x v="2"/>
    <s v="Retail"/>
    <x v="1"/>
    <x v="0"/>
    <x v="0"/>
    <n v="85000"/>
    <n v="6"/>
    <x v="5"/>
    <n v="68000"/>
    <n v="510000"/>
    <n v="408000"/>
    <n v="102000"/>
    <n v="1103"/>
  </r>
  <r>
    <s v="2025-03-03"/>
    <x v="3"/>
    <x v="3"/>
    <x v="1"/>
    <s v="Corporate"/>
    <x v="1"/>
    <x v="7"/>
    <x v="2"/>
    <n v="420000"/>
    <n v="3"/>
    <x v="4"/>
    <n v="336000"/>
    <n v="1260000"/>
    <n v="1008000"/>
    <n v="252000"/>
    <n v="1104"/>
  </r>
  <r>
    <s v="2025-02-15"/>
    <x v="2"/>
    <x v="1"/>
    <x v="3"/>
    <s v="Retail"/>
    <x v="0"/>
    <x v="6"/>
    <x v="2"/>
    <n v="150000"/>
    <n v="8"/>
    <x v="0"/>
    <n v="120000"/>
    <n v="1200000"/>
    <n v="960000"/>
    <n v="240000"/>
    <n v="1105"/>
  </r>
  <r>
    <s v="2025-01-07"/>
    <x v="0"/>
    <x v="0"/>
    <x v="1"/>
    <s v="Corporate"/>
    <x v="0"/>
    <x v="2"/>
    <x v="1"/>
    <n v="60000"/>
    <n v="5"/>
    <x v="3"/>
    <n v="48000"/>
    <n v="300000"/>
    <n v="240000"/>
    <n v="60000"/>
    <n v="1106"/>
  </r>
  <r>
    <s v="2025-02-04"/>
    <x v="2"/>
    <x v="0"/>
    <x v="2"/>
    <s v="Corporate"/>
    <x v="1"/>
    <x v="5"/>
    <x v="0"/>
    <n v="320000"/>
    <n v="9"/>
    <x v="4"/>
    <n v="256000"/>
    <n v="2880000"/>
    <n v="2304000"/>
    <n v="576000"/>
    <n v="1107"/>
  </r>
  <r>
    <s v="2025-01-27"/>
    <x v="0"/>
    <x v="0"/>
    <x v="1"/>
    <s v="Corporate"/>
    <x v="0"/>
    <x v="7"/>
    <x v="2"/>
    <n v="420000"/>
    <n v="5"/>
    <x v="0"/>
    <n v="336000"/>
    <n v="2100000"/>
    <n v="1680000"/>
    <n v="420000"/>
    <n v="1108"/>
  </r>
  <r>
    <s v="2025-01-03"/>
    <x v="0"/>
    <x v="3"/>
    <x v="1"/>
    <s v="Corporate"/>
    <x v="0"/>
    <x v="2"/>
    <x v="1"/>
    <n v="60000"/>
    <n v="9"/>
    <x v="2"/>
    <n v="48000"/>
    <n v="540000"/>
    <n v="432000"/>
    <n v="108000"/>
    <n v="1109"/>
  </r>
  <r>
    <s v="2025-02-24"/>
    <x v="2"/>
    <x v="2"/>
    <x v="1"/>
    <s v="Retail"/>
    <x v="0"/>
    <x v="7"/>
    <x v="2"/>
    <n v="420000"/>
    <n v="1"/>
    <x v="5"/>
    <n v="336000"/>
    <n v="420000"/>
    <n v="336000"/>
    <n v="84000"/>
    <n v="1110"/>
  </r>
  <r>
    <s v="2025-01-10"/>
    <x v="0"/>
    <x v="1"/>
    <x v="3"/>
    <s v="Retail"/>
    <x v="0"/>
    <x v="6"/>
    <x v="2"/>
    <n v="150000"/>
    <n v="9"/>
    <x v="4"/>
    <n v="120000"/>
    <n v="1350000"/>
    <n v="1080000"/>
    <n v="270000"/>
    <n v="1111"/>
  </r>
  <r>
    <s v="2025-04-27"/>
    <x v="1"/>
    <x v="2"/>
    <x v="3"/>
    <s v="Corporate"/>
    <x v="1"/>
    <x v="9"/>
    <x v="1"/>
    <n v="220000"/>
    <n v="7"/>
    <x v="0"/>
    <n v="176000"/>
    <n v="1540000"/>
    <n v="1232000"/>
    <n v="308000"/>
    <n v="1112"/>
  </r>
  <r>
    <s v="2025-02-06"/>
    <x v="2"/>
    <x v="3"/>
    <x v="0"/>
    <s v="Retail"/>
    <x v="1"/>
    <x v="5"/>
    <x v="0"/>
    <n v="320000"/>
    <n v="3"/>
    <x v="3"/>
    <n v="256000"/>
    <n v="960000"/>
    <n v="768000"/>
    <n v="192000"/>
    <n v="1113"/>
  </r>
  <r>
    <s v="2025-02-18"/>
    <x v="2"/>
    <x v="2"/>
    <x v="1"/>
    <s v="Corporate"/>
    <x v="0"/>
    <x v="5"/>
    <x v="0"/>
    <n v="320000"/>
    <n v="8"/>
    <x v="4"/>
    <n v="256000"/>
    <n v="2560000"/>
    <n v="2048000"/>
    <n v="512000"/>
    <n v="1114"/>
  </r>
  <r>
    <s v="2025-01-25"/>
    <x v="0"/>
    <x v="2"/>
    <x v="2"/>
    <s v="Corporate"/>
    <x v="0"/>
    <x v="6"/>
    <x v="2"/>
    <n v="150000"/>
    <n v="3"/>
    <x v="4"/>
    <n v="120000"/>
    <n v="450000"/>
    <n v="360000"/>
    <n v="90000"/>
    <n v="1115"/>
  </r>
  <r>
    <s v="2025-04-01"/>
    <x v="1"/>
    <x v="0"/>
    <x v="3"/>
    <s v="Retail"/>
    <x v="0"/>
    <x v="8"/>
    <x v="2"/>
    <n v="250000"/>
    <n v="9"/>
    <x v="0"/>
    <n v="200000"/>
    <n v="2250000"/>
    <n v="1800000"/>
    <n v="450000"/>
    <n v="1116"/>
  </r>
  <r>
    <s v="2025-02-17"/>
    <x v="2"/>
    <x v="0"/>
    <x v="1"/>
    <s v="Retail"/>
    <x v="1"/>
    <x v="7"/>
    <x v="2"/>
    <n v="420000"/>
    <n v="7"/>
    <x v="2"/>
    <n v="336000"/>
    <n v="2940000"/>
    <n v="2352000"/>
    <n v="588000"/>
    <n v="1117"/>
  </r>
  <r>
    <s v="2025-03-13"/>
    <x v="3"/>
    <x v="0"/>
    <x v="0"/>
    <s v="Corporate"/>
    <x v="1"/>
    <x v="8"/>
    <x v="2"/>
    <n v="250000"/>
    <n v="10"/>
    <x v="1"/>
    <n v="200000"/>
    <n v="2500000"/>
    <n v="2000000"/>
    <n v="500000"/>
    <n v="1118"/>
  </r>
  <r>
    <s v="2025-04-02"/>
    <x v="1"/>
    <x v="1"/>
    <x v="2"/>
    <s v="Retail"/>
    <x v="0"/>
    <x v="2"/>
    <x v="1"/>
    <n v="60000"/>
    <n v="4"/>
    <x v="1"/>
    <n v="48000"/>
    <n v="240000"/>
    <n v="192000"/>
    <n v="48000"/>
    <n v="1119"/>
  </r>
  <r>
    <s v="2025-03-11"/>
    <x v="3"/>
    <x v="3"/>
    <x v="1"/>
    <s v="Retail"/>
    <x v="0"/>
    <x v="8"/>
    <x v="2"/>
    <n v="250000"/>
    <n v="4"/>
    <x v="0"/>
    <n v="200000"/>
    <n v="1000000"/>
    <n v="800000"/>
    <n v="200000"/>
    <n v="1120"/>
  </r>
  <r>
    <s v="2025-02-10"/>
    <x v="2"/>
    <x v="3"/>
    <x v="0"/>
    <s v="Retail"/>
    <x v="0"/>
    <x v="3"/>
    <x v="2"/>
    <n v="300000"/>
    <n v="3"/>
    <x v="5"/>
    <n v="240000"/>
    <n v="900000"/>
    <n v="720000"/>
    <n v="180000"/>
    <n v="1121"/>
  </r>
  <r>
    <s v="2025-03-29"/>
    <x v="3"/>
    <x v="2"/>
    <x v="1"/>
    <s v="Corporate"/>
    <x v="0"/>
    <x v="7"/>
    <x v="2"/>
    <n v="420000"/>
    <n v="9"/>
    <x v="4"/>
    <n v="336000"/>
    <n v="3780000"/>
    <n v="3024000"/>
    <n v="756000"/>
    <n v="1122"/>
  </r>
  <r>
    <s v="2025-03-08"/>
    <x v="3"/>
    <x v="2"/>
    <x v="1"/>
    <s v="Corporate"/>
    <x v="0"/>
    <x v="7"/>
    <x v="2"/>
    <n v="420000"/>
    <n v="7"/>
    <x v="2"/>
    <n v="336000"/>
    <n v="2940000"/>
    <n v="2352000"/>
    <n v="588000"/>
    <n v="1123"/>
  </r>
  <r>
    <s v="2025-02-08"/>
    <x v="2"/>
    <x v="1"/>
    <x v="2"/>
    <s v="Retail"/>
    <x v="0"/>
    <x v="9"/>
    <x v="1"/>
    <n v="220000"/>
    <n v="9"/>
    <x v="5"/>
    <n v="176000"/>
    <n v="1980000"/>
    <n v="1584000"/>
    <n v="396000"/>
    <n v="1124"/>
  </r>
  <r>
    <s v="2025-02-11"/>
    <x v="2"/>
    <x v="1"/>
    <x v="3"/>
    <s v="Corporate"/>
    <x v="0"/>
    <x v="0"/>
    <x v="0"/>
    <n v="85000"/>
    <n v="8"/>
    <x v="2"/>
    <n v="68000"/>
    <n v="680000"/>
    <n v="544000"/>
    <n v="136000"/>
    <n v="1125"/>
  </r>
  <r>
    <s v="2025-01-19"/>
    <x v="0"/>
    <x v="2"/>
    <x v="0"/>
    <s v="Corporate"/>
    <x v="1"/>
    <x v="0"/>
    <x v="0"/>
    <n v="85000"/>
    <n v="5"/>
    <x v="3"/>
    <n v="68000"/>
    <n v="425000"/>
    <n v="340000"/>
    <n v="85000"/>
    <n v="1126"/>
  </r>
  <r>
    <s v="2025-04-04"/>
    <x v="1"/>
    <x v="2"/>
    <x v="3"/>
    <s v="Retail"/>
    <x v="1"/>
    <x v="8"/>
    <x v="2"/>
    <n v="250000"/>
    <n v="6"/>
    <x v="5"/>
    <n v="200000"/>
    <n v="1500000"/>
    <n v="1200000"/>
    <n v="300000"/>
    <n v="1127"/>
  </r>
  <r>
    <s v="2025-04-21"/>
    <x v="1"/>
    <x v="1"/>
    <x v="2"/>
    <s v="Corporate"/>
    <x v="1"/>
    <x v="1"/>
    <x v="1"/>
    <n v="30000"/>
    <n v="8"/>
    <x v="5"/>
    <n v="24000"/>
    <n v="240000"/>
    <n v="192000"/>
    <n v="48000"/>
    <n v="1128"/>
  </r>
  <r>
    <s v="2025-02-21"/>
    <x v="2"/>
    <x v="3"/>
    <x v="0"/>
    <s v="Corporate"/>
    <x v="0"/>
    <x v="8"/>
    <x v="2"/>
    <n v="250000"/>
    <n v="6"/>
    <x v="4"/>
    <n v="200000"/>
    <n v="1500000"/>
    <n v="1200000"/>
    <n v="300000"/>
    <n v="1129"/>
  </r>
  <r>
    <s v="2025-03-28"/>
    <x v="3"/>
    <x v="2"/>
    <x v="1"/>
    <s v="Corporate"/>
    <x v="1"/>
    <x v="5"/>
    <x v="0"/>
    <n v="320000"/>
    <n v="10"/>
    <x v="3"/>
    <n v="256000"/>
    <n v="3200000"/>
    <n v="2560000"/>
    <n v="640000"/>
    <n v="1130"/>
  </r>
  <r>
    <s v="2025-03-18"/>
    <x v="3"/>
    <x v="1"/>
    <x v="3"/>
    <s v="Retail"/>
    <x v="1"/>
    <x v="1"/>
    <x v="1"/>
    <n v="30000"/>
    <n v="4"/>
    <x v="3"/>
    <n v="24000"/>
    <n v="120000"/>
    <n v="96000"/>
    <n v="24000"/>
    <n v="1131"/>
  </r>
  <r>
    <s v="2025-02-08"/>
    <x v="2"/>
    <x v="2"/>
    <x v="3"/>
    <s v="Retail"/>
    <x v="1"/>
    <x v="0"/>
    <x v="0"/>
    <n v="85000"/>
    <n v="10"/>
    <x v="0"/>
    <n v="68000"/>
    <n v="850000"/>
    <n v="680000"/>
    <n v="170000"/>
    <n v="1132"/>
  </r>
  <r>
    <s v="2025-04-15"/>
    <x v="1"/>
    <x v="3"/>
    <x v="3"/>
    <s v="Corporate"/>
    <x v="1"/>
    <x v="8"/>
    <x v="2"/>
    <n v="250000"/>
    <n v="6"/>
    <x v="2"/>
    <n v="200000"/>
    <n v="1500000"/>
    <n v="1200000"/>
    <n v="300000"/>
    <n v="1133"/>
  </r>
  <r>
    <s v="2025-01-12"/>
    <x v="0"/>
    <x v="2"/>
    <x v="1"/>
    <s v="Retail"/>
    <x v="1"/>
    <x v="2"/>
    <x v="1"/>
    <n v="60000"/>
    <n v="10"/>
    <x v="1"/>
    <n v="48000"/>
    <n v="600000"/>
    <n v="480000"/>
    <n v="120000"/>
    <n v="1134"/>
  </r>
  <r>
    <s v="2025-02-05"/>
    <x v="2"/>
    <x v="1"/>
    <x v="1"/>
    <s v="Retail"/>
    <x v="1"/>
    <x v="3"/>
    <x v="2"/>
    <n v="300000"/>
    <n v="3"/>
    <x v="1"/>
    <n v="240000"/>
    <n v="900000"/>
    <n v="720000"/>
    <n v="180000"/>
    <n v="1135"/>
  </r>
  <r>
    <s v="2025-01-17"/>
    <x v="0"/>
    <x v="0"/>
    <x v="3"/>
    <s v="Retail"/>
    <x v="1"/>
    <x v="6"/>
    <x v="2"/>
    <n v="150000"/>
    <n v="10"/>
    <x v="5"/>
    <n v="120000"/>
    <n v="1500000"/>
    <n v="1200000"/>
    <n v="300000"/>
    <n v="1136"/>
  </r>
  <r>
    <s v="2025-03-30"/>
    <x v="3"/>
    <x v="2"/>
    <x v="1"/>
    <s v="Corporate"/>
    <x v="1"/>
    <x v="1"/>
    <x v="1"/>
    <n v="30000"/>
    <n v="7"/>
    <x v="3"/>
    <n v="24000"/>
    <n v="210000"/>
    <n v="168000"/>
    <n v="42000"/>
    <n v="1137"/>
  </r>
  <r>
    <s v="2025-01-14"/>
    <x v="0"/>
    <x v="1"/>
    <x v="1"/>
    <s v="Corporate"/>
    <x v="1"/>
    <x v="3"/>
    <x v="2"/>
    <n v="300000"/>
    <n v="9"/>
    <x v="4"/>
    <n v="240000"/>
    <n v="2700000"/>
    <n v="2160000"/>
    <n v="540000"/>
    <n v="1138"/>
  </r>
  <r>
    <s v="2025-01-03"/>
    <x v="0"/>
    <x v="3"/>
    <x v="3"/>
    <s v="Corporate"/>
    <x v="1"/>
    <x v="9"/>
    <x v="1"/>
    <n v="220000"/>
    <n v="4"/>
    <x v="2"/>
    <n v="176000"/>
    <n v="880000"/>
    <n v="704000"/>
    <n v="176000"/>
    <n v="1139"/>
  </r>
  <r>
    <s v="2025-01-25"/>
    <x v="0"/>
    <x v="1"/>
    <x v="2"/>
    <s v="Corporate"/>
    <x v="0"/>
    <x v="8"/>
    <x v="2"/>
    <n v="250000"/>
    <n v="9"/>
    <x v="0"/>
    <n v="200000"/>
    <n v="2250000"/>
    <n v="1800000"/>
    <n v="450000"/>
    <n v="1140"/>
  </r>
  <r>
    <s v="2025-01-10"/>
    <x v="0"/>
    <x v="0"/>
    <x v="0"/>
    <s v="Corporate"/>
    <x v="1"/>
    <x v="3"/>
    <x v="2"/>
    <n v="300000"/>
    <n v="4"/>
    <x v="5"/>
    <n v="240000"/>
    <n v="1200000"/>
    <n v="960000"/>
    <n v="240000"/>
    <n v="1141"/>
  </r>
  <r>
    <s v="2025-01-01"/>
    <x v="0"/>
    <x v="0"/>
    <x v="0"/>
    <s v="Retail"/>
    <x v="1"/>
    <x v="2"/>
    <x v="1"/>
    <n v="60000"/>
    <n v="10"/>
    <x v="4"/>
    <n v="48000"/>
    <n v="600000"/>
    <n v="480000"/>
    <n v="120000"/>
    <n v="1142"/>
  </r>
  <r>
    <s v="2025-03-17"/>
    <x v="3"/>
    <x v="3"/>
    <x v="2"/>
    <s v="Corporate"/>
    <x v="0"/>
    <x v="7"/>
    <x v="2"/>
    <n v="420000"/>
    <n v="10"/>
    <x v="2"/>
    <n v="336000"/>
    <n v="4200000"/>
    <n v="3360000"/>
    <n v="840000"/>
    <n v="1143"/>
  </r>
  <r>
    <s v="2025-03-22"/>
    <x v="3"/>
    <x v="0"/>
    <x v="2"/>
    <s v="Retail"/>
    <x v="1"/>
    <x v="6"/>
    <x v="2"/>
    <n v="150000"/>
    <n v="1"/>
    <x v="5"/>
    <n v="120000"/>
    <n v="150000"/>
    <n v="120000"/>
    <n v="30000"/>
    <n v="1144"/>
  </r>
  <r>
    <s v="2025-02-19"/>
    <x v="2"/>
    <x v="2"/>
    <x v="2"/>
    <s v="Retail"/>
    <x v="1"/>
    <x v="8"/>
    <x v="2"/>
    <n v="250000"/>
    <n v="7"/>
    <x v="1"/>
    <n v="200000"/>
    <n v="1750000"/>
    <n v="1400000"/>
    <n v="350000"/>
    <n v="1145"/>
  </r>
  <r>
    <s v="2025-04-12"/>
    <x v="1"/>
    <x v="2"/>
    <x v="3"/>
    <s v="Retail"/>
    <x v="1"/>
    <x v="3"/>
    <x v="2"/>
    <n v="300000"/>
    <n v="9"/>
    <x v="2"/>
    <n v="240000"/>
    <n v="2700000"/>
    <n v="2160000"/>
    <n v="540000"/>
    <n v="1146"/>
  </r>
  <r>
    <s v="2025-03-22"/>
    <x v="3"/>
    <x v="3"/>
    <x v="0"/>
    <s v="Retail"/>
    <x v="1"/>
    <x v="6"/>
    <x v="2"/>
    <n v="150000"/>
    <n v="2"/>
    <x v="4"/>
    <n v="120000"/>
    <n v="300000"/>
    <n v="240000"/>
    <n v="60000"/>
    <n v="1147"/>
  </r>
  <r>
    <s v="2025-04-11"/>
    <x v="1"/>
    <x v="0"/>
    <x v="1"/>
    <s v="Retail"/>
    <x v="1"/>
    <x v="9"/>
    <x v="1"/>
    <n v="220000"/>
    <n v="9"/>
    <x v="1"/>
    <n v="176000"/>
    <n v="1980000"/>
    <n v="1584000"/>
    <n v="396000"/>
    <n v="1148"/>
  </r>
  <r>
    <s v="2025-03-26"/>
    <x v="3"/>
    <x v="3"/>
    <x v="3"/>
    <s v="Retail"/>
    <x v="1"/>
    <x v="2"/>
    <x v="1"/>
    <n v="60000"/>
    <n v="5"/>
    <x v="0"/>
    <n v="48000"/>
    <n v="300000"/>
    <n v="240000"/>
    <n v="60000"/>
    <n v="1149"/>
  </r>
  <r>
    <s v="2025-02-20"/>
    <x v="2"/>
    <x v="0"/>
    <x v="0"/>
    <s v="Corporate"/>
    <x v="1"/>
    <x v="4"/>
    <x v="1"/>
    <n v="180000"/>
    <n v="6"/>
    <x v="3"/>
    <n v="144000"/>
    <n v="1080000"/>
    <n v="864000"/>
    <n v="216000"/>
    <n v="1150"/>
  </r>
  <r>
    <s v="2025-02-22"/>
    <x v="2"/>
    <x v="1"/>
    <x v="0"/>
    <s v="Corporate"/>
    <x v="1"/>
    <x v="8"/>
    <x v="2"/>
    <n v="250000"/>
    <n v="10"/>
    <x v="0"/>
    <n v="200000"/>
    <n v="2500000"/>
    <n v="2000000"/>
    <n v="500000"/>
    <n v="1151"/>
  </r>
  <r>
    <s v="2025-03-27"/>
    <x v="3"/>
    <x v="1"/>
    <x v="3"/>
    <s v="Retail"/>
    <x v="1"/>
    <x v="0"/>
    <x v="0"/>
    <n v="85000"/>
    <n v="1"/>
    <x v="4"/>
    <n v="68000"/>
    <n v="85000"/>
    <n v="68000"/>
    <n v="17000"/>
    <n v="1152"/>
  </r>
  <r>
    <s v="2025-03-08"/>
    <x v="3"/>
    <x v="3"/>
    <x v="0"/>
    <s v="Retail"/>
    <x v="0"/>
    <x v="8"/>
    <x v="2"/>
    <n v="250000"/>
    <n v="9"/>
    <x v="1"/>
    <n v="200000"/>
    <n v="2250000"/>
    <n v="1800000"/>
    <n v="450000"/>
    <n v="1153"/>
  </r>
  <r>
    <s v="2025-04-09"/>
    <x v="1"/>
    <x v="1"/>
    <x v="1"/>
    <s v="Retail"/>
    <x v="0"/>
    <x v="8"/>
    <x v="2"/>
    <n v="250000"/>
    <n v="2"/>
    <x v="1"/>
    <n v="200000"/>
    <n v="500000"/>
    <n v="400000"/>
    <n v="100000"/>
    <n v="1154"/>
  </r>
  <r>
    <s v="2025-02-02"/>
    <x v="2"/>
    <x v="2"/>
    <x v="1"/>
    <s v="Retail"/>
    <x v="0"/>
    <x v="8"/>
    <x v="2"/>
    <n v="250000"/>
    <n v="1"/>
    <x v="5"/>
    <n v="200000"/>
    <n v="250000"/>
    <n v="200000"/>
    <n v="50000"/>
    <n v="1155"/>
  </r>
  <r>
    <s v="2025-02-03"/>
    <x v="2"/>
    <x v="0"/>
    <x v="0"/>
    <s v="Corporate"/>
    <x v="1"/>
    <x v="3"/>
    <x v="2"/>
    <n v="300000"/>
    <n v="9"/>
    <x v="2"/>
    <n v="240000"/>
    <n v="2700000"/>
    <n v="2160000"/>
    <n v="540000"/>
    <n v="1156"/>
  </r>
  <r>
    <s v="2025-03-08"/>
    <x v="3"/>
    <x v="0"/>
    <x v="1"/>
    <s v="Corporate"/>
    <x v="0"/>
    <x v="5"/>
    <x v="0"/>
    <n v="320000"/>
    <n v="10"/>
    <x v="1"/>
    <n v="256000"/>
    <n v="3200000"/>
    <n v="2560000"/>
    <n v="640000"/>
    <n v="1157"/>
  </r>
  <r>
    <s v="2025-01-08"/>
    <x v="0"/>
    <x v="2"/>
    <x v="1"/>
    <s v="Corporate"/>
    <x v="0"/>
    <x v="4"/>
    <x v="1"/>
    <n v="180000"/>
    <n v="9"/>
    <x v="4"/>
    <n v="144000"/>
    <n v="1620000"/>
    <n v="1296000"/>
    <n v="324000"/>
    <n v="1158"/>
  </r>
  <r>
    <s v="2025-04-14"/>
    <x v="1"/>
    <x v="2"/>
    <x v="2"/>
    <s v="Corporate"/>
    <x v="0"/>
    <x v="8"/>
    <x v="2"/>
    <n v="250000"/>
    <n v="1"/>
    <x v="5"/>
    <n v="200000"/>
    <n v="250000"/>
    <n v="200000"/>
    <n v="50000"/>
    <n v="1159"/>
  </r>
  <r>
    <s v="2025-03-31"/>
    <x v="3"/>
    <x v="2"/>
    <x v="3"/>
    <s v="Corporate"/>
    <x v="0"/>
    <x v="0"/>
    <x v="0"/>
    <n v="85000"/>
    <n v="7"/>
    <x v="5"/>
    <n v="68000"/>
    <n v="595000"/>
    <n v="476000"/>
    <n v="119000"/>
    <n v="1160"/>
  </r>
  <r>
    <s v="2025-04-20"/>
    <x v="1"/>
    <x v="0"/>
    <x v="0"/>
    <s v="Retail"/>
    <x v="1"/>
    <x v="1"/>
    <x v="1"/>
    <n v="30000"/>
    <n v="6"/>
    <x v="2"/>
    <n v="24000"/>
    <n v="180000"/>
    <n v="144000"/>
    <n v="36000"/>
    <n v="1161"/>
  </r>
  <r>
    <s v="2025-01-29"/>
    <x v="0"/>
    <x v="0"/>
    <x v="1"/>
    <s v="Retail"/>
    <x v="1"/>
    <x v="1"/>
    <x v="1"/>
    <n v="30000"/>
    <n v="6"/>
    <x v="1"/>
    <n v="24000"/>
    <n v="180000"/>
    <n v="144000"/>
    <n v="36000"/>
    <n v="1162"/>
  </r>
  <r>
    <s v="2025-03-23"/>
    <x v="3"/>
    <x v="0"/>
    <x v="0"/>
    <s v="Corporate"/>
    <x v="1"/>
    <x v="5"/>
    <x v="0"/>
    <n v="320000"/>
    <n v="2"/>
    <x v="4"/>
    <n v="256000"/>
    <n v="640000"/>
    <n v="512000"/>
    <n v="128000"/>
    <n v="1163"/>
  </r>
  <r>
    <s v="2025-01-25"/>
    <x v="0"/>
    <x v="0"/>
    <x v="3"/>
    <s v="Retail"/>
    <x v="1"/>
    <x v="2"/>
    <x v="1"/>
    <n v="60000"/>
    <n v="6"/>
    <x v="1"/>
    <n v="48000"/>
    <n v="360000"/>
    <n v="288000"/>
    <n v="72000"/>
    <n v="1164"/>
  </r>
  <r>
    <s v="2025-03-12"/>
    <x v="3"/>
    <x v="0"/>
    <x v="1"/>
    <s v="Retail"/>
    <x v="1"/>
    <x v="9"/>
    <x v="1"/>
    <n v="220000"/>
    <n v="10"/>
    <x v="5"/>
    <n v="176000"/>
    <n v="2200000"/>
    <n v="1760000"/>
    <n v="440000"/>
    <n v="1165"/>
  </r>
  <r>
    <s v="2025-04-10"/>
    <x v="1"/>
    <x v="0"/>
    <x v="3"/>
    <s v="Retail"/>
    <x v="0"/>
    <x v="2"/>
    <x v="1"/>
    <n v="60000"/>
    <n v="6"/>
    <x v="5"/>
    <n v="48000"/>
    <n v="360000"/>
    <n v="288000"/>
    <n v="72000"/>
    <n v="1166"/>
  </r>
  <r>
    <s v="2025-01-01"/>
    <x v="0"/>
    <x v="0"/>
    <x v="2"/>
    <s v="Retail"/>
    <x v="0"/>
    <x v="9"/>
    <x v="1"/>
    <n v="220000"/>
    <n v="7"/>
    <x v="4"/>
    <n v="176000"/>
    <n v="1540000"/>
    <n v="1232000"/>
    <n v="308000"/>
    <n v="1167"/>
  </r>
  <r>
    <s v="2025-01-20"/>
    <x v="0"/>
    <x v="1"/>
    <x v="1"/>
    <s v="Corporate"/>
    <x v="1"/>
    <x v="7"/>
    <x v="2"/>
    <n v="420000"/>
    <n v="8"/>
    <x v="4"/>
    <n v="336000"/>
    <n v="3360000"/>
    <n v="2688000"/>
    <n v="672000"/>
    <n v="1168"/>
  </r>
  <r>
    <s v="2025-01-06"/>
    <x v="0"/>
    <x v="1"/>
    <x v="1"/>
    <s v="Retail"/>
    <x v="1"/>
    <x v="7"/>
    <x v="2"/>
    <n v="420000"/>
    <n v="1"/>
    <x v="5"/>
    <n v="336000"/>
    <n v="420000"/>
    <n v="336000"/>
    <n v="84000"/>
    <n v="1169"/>
  </r>
  <r>
    <s v="2025-03-12"/>
    <x v="3"/>
    <x v="1"/>
    <x v="0"/>
    <s v="Corporate"/>
    <x v="1"/>
    <x v="8"/>
    <x v="2"/>
    <n v="250000"/>
    <n v="9"/>
    <x v="4"/>
    <n v="200000"/>
    <n v="2250000"/>
    <n v="1800000"/>
    <n v="450000"/>
    <n v="1170"/>
  </r>
  <r>
    <s v="2025-02-28"/>
    <x v="2"/>
    <x v="3"/>
    <x v="3"/>
    <s v="Retail"/>
    <x v="0"/>
    <x v="1"/>
    <x v="1"/>
    <n v="30000"/>
    <n v="3"/>
    <x v="1"/>
    <n v="24000"/>
    <n v="90000"/>
    <n v="72000"/>
    <n v="18000"/>
    <n v="1171"/>
  </r>
  <r>
    <s v="2025-05-01"/>
    <x v="4"/>
    <x v="3"/>
    <x v="2"/>
    <s v="Retail"/>
    <x v="0"/>
    <x v="5"/>
    <x v="0"/>
    <n v="320000"/>
    <n v="1"/>
    <x v="5"/>
    <n v="256000"/>
    <n v="320000"/>
    <n v="256000"/>
    <n v="64000"/>
    <n v="1172"/>
  </r>
  <r>
    <s v="2025-02-02"/>
    <x v="2"/>
    <x v="0"/>
    <x v="3"/>
    <s v="Corporate"/>
    <x v="0"/>
    <x v="5"/>
    <x v="0"/>
    <n v="320000"/>
    <n v="10"/>
    <x v="2"/>
    <n v="256000"/>
    <n v="3200000"/>
    <n v="2560000"/>
    <n v="640000"/>
    <n v="1173"/>
  </r>
  <r>
    <s v="2025-04-16"/>
    <x v="1"/>
    <x v="3"/>
    <x v="1"/>
    <s v="Corporate"/>
    <x v="0"/>
    <x v="4"/>
    <x v="1"/>
    <n v="180000"/>
    <n v="4"/>
    <x v="2"/>
    <n v="144000"/>
    <n v="720000"/>
    <n v="576000"/>
    <n v="144000"/>
    <n v="1174"/>
  </r>
  <r>
    <s v="2025-03-03"/>
    <x v="3"/>
    <x v="0"/>
    <x v="1"/>
    <s v="Retail"/>
    <x v="1"/>
    <x v="7"/>
    <x v="2"/>
    <n v="420000"/>
    <n v="5"/>
    <x v="4"/>
    <n v="336000"/>
    <n v="2100000"/>
    <n v="1680000"/>
    <n v="420000"/>
    <n v="1175"/>
  </r>
  <r>
    <s v="2025-03-19"/>
    <x v="3"/>
    <x v="3"/>
    <x v="3"/>
    <s v="Retail"/>
    <x v="0"/>
    <x v="2"/>
    <x v="1"/>
    <n v="60000"/>
    <n v="5"/>
    <x v="1"/>
    <n v="48000"/>
    <n v="300000"/>
    <n v="240000"/>
    <n v="60000"/>
    <n v="1176"/>
  </r>
  <r>
    <s v="2025-02-10"/>
    <x v="2"/>
    <x v="3"/>
    <x v="3"/>
    <s v="Retail"/>
    <x v="1"/>
    <x v="2"/>
    <x v="1"/>
    <n v="60000"/>
    <n v="9"/>
    <x v="4"/>
    <n v="48000"/>
    <n v="540000"/>
    <n v="432000"/>
    <n v="108000"/>
    <n v="1177"/>
  </r>
  <r>
    <s v="2025-01-19"/>
    <x v="0"/>
    <x v="1"/>
    <x v="2"/>
    <s v="Corporate"/>
    <x v="1"/>
    <x v="3"/>
    <x v="2"/>
    <n v="300000"/>
    <n v="10"/>
    <x v="1"/>
    <n v="240000"/>
    <n v="3000000"/>
    <n v="2400000"/>
    <n v="600000"/>
    <n v="1178"/>
  </r>
  <r>
    <s v="2025-04-28"/>
    <x v="1"/>
    <x v="2"/>
    <x v="3"/>
    <s v="Retail"/>
    <x v="1"/>
    <x v="7"/>
    <x v="2"/>
    <n v="420000"/>
    <n v="8"/>
    <x v="5"/>
    <n v="336000"/>
    <n v="3360000"/>
    <n v="2688000"/>
    <n v="672000"/>
    <n v="1179"/>
  </r>
  <r>
    <s v="2025-03-09"/>
    <x v="3"/>
    <x v="2"/>
    <x v="2"/>
    <s v="Corporate"/>
    <x v="1"/>
    <x v="4"/>
    <x v="1"/>
    <n v="180000"/>
    <n v="4"/>
    <x v="1"/>
    <n v="144000"/>
    <n v="720000"/>
    <n v="576000"/>
    <n v="144000"/>
    <n v="1180"/>
  </r>
  <r>
    <s v="2025-02-13"/>
    <x v="2"/>
    <x v="1"/>
    <x v="2"/>
    <s v="Retail"/>
    <x v="1"/>
    <x v="1"/>
    <x v="1"/>
    <n v="30000"/>
    <n v="5"/>
    <x v="4"/>
    <n v="24000"/>
    <n v="150000"/>
    <n v="120000"/>
    <n v="30000"/>
    <n v="1181"/>
  </r>
  <r>
    <s v="2025-01-28"/>
    <x v="0"/>
    <x v="3"/>
    <x v="1"/>
    <s v="Retail"/>
    <x v="0"/>
    <x v="8"/>
    <x v="2"/>
    <n v="250000"/>
    <n v="3"/>
    <x v="1"/>
    <n v="200000"/>
    <n v="750000"/>
    <n v="600000"/>
    <n v="150000"/>
    <n v="1182"/>
  </r>
  <r>
    <s v="2025-03-24"/>
    <x v="3"/>
    <x v="1"/>
    <x v="2"/>
    <s v="Corporate"/>
    <x v="1"/>
    <x v="0"/>
    <x v="0"/>
    <n v="85000"/>
    <n v="8"/>
    <x v="2"/>
    <n v="68000"/>
    <n v="680000"/>
    <n v="544000"/>
    <n v="136000"/>
    <n v="1183"/>
  </r>
  <r>
    <s v="2025-01-31"/>
    <x v="0"/>
    <x v="2"/>
    <x v="0"/>
    <s v="Corporate"/>
    <x v="0"/>
    <x v="2"/>
    <x v="1"/>
    <n v="60000"/>
    <n v="8"/>
    <x v="4"/>
    <n v="48000"/>
    <n v="480000"/>
    <n v="384000"/>
    <n v="96000"/>
    <n v="1184"/>
  </r>
  <r>
    <s v="2025-03-12"/>
    <x v="3"/>
    <x v="2"/>
    <x v="0"/>
    <s v="Corporate"/>
    <x v="1"/>
    <x v="6"/>
    <x v="2"/>
    <n v="150000"/>
    <n v="5"/>
    <x v="0"/>
    <n v="120000"/>
    <n v="750000"/>
    <n v="600000"/>
    <n v="150000"/>
    <n v="1185"/>
  </r>
  <r>
    <s v="2025-03-07"/>
    <x v="3"/>
    <x v="3"/>
    <x v="0"/>
    <s v="Corporate"/>
    <x v="0"/>
    <x v="5"/>
    <x v="0"/>
    <n v="320000"/>
    <n v="9"/>
    <x v="3"/>
    <n v="256000"/>
    <n v="2880000"/>
    <n v="2304000"/>
    <n v="576000"/>
    <n v="1186"/>
  </r>
  <r>
    <s v="2025-02-13"/>
    <x v="2"/>
    <x v="3"/>
    <x v="3"/>
    <s v="Corporate"/>
    <x v="0"/>
    <x v="7"/>
    <x v="2"/>
    <n v="420000"/>
    <n v="7"/>
    <x v="0"/>
    <n v="336000"/>
    <n v="2940000"/>
    <n v="2352000"/>
    <n v="588000"/>
    <n v="1187"/>
  </r>
  <r>
    <s v="2025-04-16"/>
    <x v="1"/>
    <x v="2"/>
    <x v="2"/>
    <s v="Corporate"/>
    <x v="1"/>
    <x v="2"/>
    <x v="1"/>
    <n v="60000"/>
    <n v="6"/>
    <x v="4"/>
    <n v="48000"/>
    <n v="360000"/>
    <n v="288000"/>
    <n v="72000"/>
    <n v="1188"/>
  </r>
  <r>
    <s v="2025-03-10"/>
    <x v="3"/>
    <x v="3"/>
    <x v="0"/>
    <s v="Retail"/>
    <x v="1"/>
    <x v="6"/>
    <x v="2"/>
    <n v="150000"/>
    <n v="7"/>
    <x v="5"/>
    <n v="120000"/>
    <n v="1050000"/>
    <n v="840000"/>
    <n v="210000"/>
    <n v="1189"/>
  </r>
  <r>
    <s v="2025-03-15"/>
    <x v="3"/>
    <x v="1"/>
    <x v="2"/>
    <s v="Retail"/>
    <x v="1"/>
    <x v="5"/>
    <x v="0"/>
    <n v="320000"/>
    <n v="10"/>
    <x v="2"/>
    <n v="256000"/>
    <n v="3200000"/>
    <n v="2560000"/>
    <n v="640000"/>
    <n v="1190"/>
  </r>
  <r>
    <s v="2025-03-16"/>
    <x v="3"/>
    <x v="1"/>
    <x v="0"/>
    <s v="Corporate"/>
    <x v="0"/>
    <x v="3"/>
    <x v="2"/>
    <n v="300000"/>
    <n v="8"/>
    <x v="1"/>
    <n v="240000"/>
    <n v="2400000"/>
    <n v="1920000"/>
    <n v="480000"/>
    <n v="1191"/>
  </r>
  <r>
    <s v="2025-01-15"/>
    <x v="0"/>
    <x v="0"/>
    <x v="0"/>
    <s v="Retail"/>
    <x v="0"/>
    <x v="7"/>
    <x v="2"/>
    <n v="420000"/>
    <n v="5"/>
    <x v="3"/>
    <n v="336000"/>
    <n v="2100000"/>
    <n v="1680000"/>
    <n v="420000"/>
    <n v="1192"/>
  </r>
  <r>
    <s v="2025-04-26"/>
    <x v="1"/>
    <x v="1"/>
    <x v="2"/>
    <s v="Retail"/>
    <x v="1"/>
    <x v="9"/>
    <x v="1"/>
    <n v="220000"/>
    <n v="5"/>
    <x v="0"/>
    <n v="176000"/>
    <n v="1100000"/>
    <n v="880000"/>
    <n v="220000"/>
    <n v="1193"/>
  </r>
  <r>
    <s v="2025-04-06"/>
    <x v="1"/>
    <x v="0"/>
    <x v="0"/>
    <s v="Corporate"/>
    <x v="1"/>
    <x v="5"/>
    <x v="0"/>
    <n v="320000"/>
    <n v="3"/>
    <x v="1"/>
    <n v="256000"/>
    <n v="960000"/>
    <n v="768000"/>
    <n v="192000"/>
    <n v="1194"/>
  </r>
  <r>
    <s v="2025-04-16"/>
    <x v="1"/>
    <x v="1"/>
    <x v="0"/>
    <s v="Retail"/>
    <x v="0"/>
    <x v="4"/>
    <x v="1"/>
    <n v="180000"/>
    <n v="9"/>
    <x v="5"/>
    <n v="144000"/>
    <n v="1620000"/>
    <n v="1296000"/>
    <n v="324000"/>
    <n v="1195"/>
  </r>
  <r>
    <s v="2025-03-30"/>
    <x v="3"/>
    <x v="3"/>
    <x v="0"/>
    <s v="Retail"/>
    <x v="0"/>
    <x v="3"/>
    <x v="2"/>
    <n v="300000"/>
    <n v="1"/>
    <x v="5"/>
    <n v="240000"/>
    <n v="300000"/>
    <n v="240000"/>
    <n v="60000"/>
    <n v="1196"/>
  </r>
  <r>
    <s v="2025-04-03"/>
    <x v="1"/>
    <x v="3"/>
    <x v="2"/>
    <s v="Retail"/>
    <x v="1"/>
    <x v="9"/>
    <x v="1"/>
    <n v="220000"/>
    <n v="7"/>
    <x v="5"/>
    <n v="176000"/>
    <n v="1540000"/>
    <n v="1232000"/>
    <n v="308000"/>
    <n v="1197"/>
  </r>
  <r>
    <s v="2025-03-25"/>
    <x v="3"/>
    <x v="1"/>
    <x v="1"/>
    <s v="Corporate"/>
    <x v="1"/>
    <x v="0"/>
    <x v="0"/>
    <n v="85000"/>
    <n v="9"/>
    <x v="1"/>
    <n v="68000"/>
    <n v="765000"/>
    <n v="612000"/>
    <n v="153000"/>
    <n v="1198"/>
  </r>
  <r>
    <s v="2025-02-07"/>
    <x v="2"/>
    <x v="1"/>
    <x v="1"/>
    <s v="Retail"/>
    <x v="0"/>
    <x v="0"/>
    <x v="0"/>
    <n v="85000"/>
    <n v="4"/>
    <x v="2"/>
    <n v="68000"/>
    <n v="340000"/>
    <n v="272000"/>
    <n v="68000"/>
    <n v="1199"/>
  </r>
  <r>
    <s v="2025-03-30"/>
    <x v="3"/>
    <x v="1"/>
    <x v="3"/>
    <s v="Retail"/>
    <x v="1"/>
    <x v="2"/>
    <x v="1"/>
    <n v="60000"/>
    <n v="8"/>
    <x v="2"/>
    <n v="48000"/>
    <n v="480000"/>
    <n v="384000"/>
    <n v="96000"/>
    <n v="1200"/>
  </r>
  <r>
    <s v="2025-01-24"/>
    <x v="0"/>
    <x v="2"/>
    <x v="1"/>
    <s v="Corporate"/>
    <x v="1"/>
    <x v="6"/>
    <x v="2"/>
    <n v="150000"/>
    <n v="6"/>
    <x v="3"/>
    <n v="120000"/>
    <n v="900000"/>
    <n v="720000"/>
    <n v="180000"/>
    <n v="1201"/>
  </r>
  <r>
    <s v="2025-04-02"/>
    <x v="1"/>
    <x v="1"/>
    <x v="2"/>
    <s v="Corporate"/>
    <x v="0"/>
    <x v="0"/>
    <x v="0"/>
    <n v="85000"/>
    <n v="10"/>
    <x v="2"/>
    <n v="68000"/>
    <n v="850000"/>
    <n v="680000"/>
    <n v="170000"/>
    <n v="1202"/>
  </r>
  <r>
    <s v="2025-04-12"/>
    <x v="1"/>
    <x v="0"/>
    <x v="1"/>
    <s v="Corporate"/>
    <x v="1"/>
    <x v="0"/>
    <x v="0"/>
    <n v="85000"/>
    <n v="3"/>
    <x v="5"/>
    <n v="68000"/>
    <n v="255000"/>
    <n v="204000"/>
    <n v="51000"/>
    <n v="1203"/>
  </r>
  <r>
    <s v="2025-03-26"/>
    <x v="3"/>
    <x v="0"/>
    <x v="2"/>
    <s v="Corporate"/>
    <x v="0"/>
    <x v="3"/>
    <x v="2"/>
    <n v="300000"/>
    <n v="8"/>
    <x v="3"/>
    <n v="240000"/>
    <n v="2400000"/>
    <n v="1920000"/>
    <n v="480000"/>
    <n v="1204"/>
  </r>
  <r>
    <s v="2025-02-25"/>
    <x v="2"/>
    <x v="0"/>
    <x v="0"/>
    <s v="Corporate"/>
    <x v="0"/>
    <x v="7"/>
    <x v="2"/>
    <n v="420000"/>
    <n v="6"/>
    <x v="4"/>
    <n v="336000"/>
    <n v="2520000"/>
    <n v="2016000"/>
    <n v="504000"/>
    <n v="1205"/>
  </r>
  <r>
    <s v="2025-01-18"/>
    <x v="0"/>
    <x v="2"/>
    <x v="2"/>
    <s v="Corporate"/>
    <x v="0"/>
    <x v="8"/>
    <x v="2"/>
    <n v="250000"/>
    <n v="3"/>
    <x v="1"/>
    <n v="200000"/>
    <n v="750000"/>
    <n v="600000"/>
    <n v="150000"/>
    <n v="1206"/>
  </r>
  <r>
    <s v="2025-03-11"/>
    <x v="3"/>
    <x v="0"/>
    <x v="3"/>
    <s v="Retail"/>
    <x v="1"/>
    <x v="8"/>
    <x v="2"/>
    <n v="250000"/>
    <n v="8"/>
    <x v="2"/>
    <n v="200000"/>
    <n v="2000000"/>
    <n v="1600000"/>
    <n v="400000"/>
    <n v="1207"/>
  </r>
  <r>
    <s v="2025-01-08"/>
    <x v="0"/>
    <x v="3"/>
    <x v="1"/>
    <s v="Corporate"/>
    <x v="0"/>
    <x v="0"/>
    <x v="0"/>
    <n v="85000"/>
    <n v="3"/>
    <x v="2"/>
    <n v="68000"/>
    <n v="255000"/>
    <n v="204000"/>
    <n v="51000"/>
    <n v="1208"/>
  </r>
  <r>
    <s v="2025-03-27"/>
    <x v="3"/>
    <x v="3"/>
    <x v="3"/>
    <s v="Corporate"/>
    <x v="0"/>
    <x v="1"/>
    <x v="1"/>
    <n v="30000"/>
    <n v="7"/>
    <x v="2"/>
    <n v="24000"/>
    <n v="210000"/>
    <n v="168000"/>
    <n v="42000"/>
    <n v="1209"/>
  </r>
  <r>
    <s v="2025-01-16"/>
    <x v="0"/>
    <x v="1"/>
    <x v="2"/>
    <s v="Retail"/>
    <x v="1"/>
    <x v="2"/>
    <x v="1"/>
    <n v="60000"/>
    <n v="7"/>
    <x v="3"/>
    <n v="48000"/>
    <n v="420000"/>
    <n v="336000"/>
    <n v="84000"/>
    <n v="1210"/>
  </r>
  <r>
    <s v="2025-01-07"/>
    <x v="0"/>
    <x v="2"/>
    <x v="0"/>
    <s v="Retail"/>
    <x v="1"/>
    <x v="9"/>
    <x v="1"/>
    <n v="220000"/>
    <n v="10"/>
    <x v="1"/>
    <n v="176000"/>
    <n v="2200000"/>
    <n v="1760000"/>
    <n v="440000"/>
    <n v="1211"/>
  </r>
  <r>
    <s v="2025-04-02"/>
    <x v="1"/>
    <x v="2"/>
    <x v="1"/>
    <s v="Retail"/>
    <x v="1"/>
    <x v="8"/>
    <x v="2"/>
    <n v="250000"/>
    <n v="5"/>
    <x v="5"/>
    <n v="200000"/>
    <n v="1250000"/>
    <n v="1000000"/>
    <n v="250000"/>
    <n v="1212"/>
  </r>
  <r>
    <s v="2025-04-09"/>
    <x v="1"/>
    <x v="2"/>
    <x v="3"/>
    <s v="Retail"/>
    <x v="0"/>
    <x v="0"/>
    <x v="0"/>
    <n v="85000"/>
    <n v="7"/>
    <x v="5"/>
    <n v="68000"/>
    <n v="595000"/>
    <n v="476000"/>
    <n v="119000"/>
    <n v="1213"/>
  </r>
  <r>
    <s v="2025-04-30"/>
    <x v="1"/>
    <x v="0"/>
    <x v="1"/>
    <s v="Corporate"/>
    <x v="0"/>
    <x v="6"/>
    <x v="2"/>
    <n v="150000"/>
    <n v="4"/>
    <x v="2"/>
    <n v="120000"/>
    <n v="600000"/>
    <n v="480000"/>
    <n v="120000"/>
    <n v="1214"/>
  </r>
  <r>
    <s v="2025-04-02"/>
    <x v="1"/>
    <x v="2"/>
    <x v="3"/>
    <s v="Retail"/>
    <x v="0"/>
    <x v="7"/>
    <x v="2"/>
    <n v="420000"/>
    <n v="5"/>
    <x v="1"/>
    <n v="336000"/>
    <n v="2100000"/>
    <n v="1680000"/>
    <n v="420000"/>
    <n v="1215"/>
  </r>
  <r>
    <s v="2025-02-15"/>
    <x v="2"/>
    <x v="1"/>
    <x v="2"/>
    <s v="Retail"/>
    <x v="0"/>
    <x v="2"/>
    <x v="1"/>
    <n v="60000"/>
    <n v="5"/>
    <x v="0"/>
    <n v="48000"/>
    <n v="300000"/>
    <n v="240000"/>
    <n v="60000"/>
    <n v="1216"/>
  </r>
  <r>
    <s v="2025-02-18"/>
    <x v="2"/>
    <x v="2"/>
    <x v="0"/>
    <s v="Corporate"/>
    <x v="0"/>
    <x v="8"/>
    <x v="2"/>
    <n v="250000"/>
    <n v="10"/>
    <x v="1"/>
    <n v="200000"/>
    <n v="2500000"/>
    <n v="2000000"/>
    <n v="500000"/>
    <n v="1217"/>
  </r>
  <r>
    <s v="2025-04-02"/>
    <x v="1"/>
    <x v="0"/>
    <x v="1"/>
    <s v="Retail"/>
    <x v="0"/>
    <x v="2"/>
    <x v="1"/>
    <n v="60000"/>
    <n v="3"/>
    <x v="1"/>
    <n v="48000"/>
    <n v="180000"/>
    <n v="144000"/>
    <n v="36000"/>
    <n v="1218"/>
  </r>
  <r>
    <s v="2025-01-12"/>
    <x v="0"/>
    <x v="0"/>
    <x v="3"/>
    <s v="Corporate"/>
    <x v="0"/>
    <x v="9"/>
    <x v="1"/>
    <n v="220000"/>
    <n v="5"/>
    <x v="4"/>
    <n v="176000"/>
    <n v="1100000"/>
    <n v="880000"/>
    <n v="220000"/>
    <n v="1219"/>
  </r>
  <r>
    <s v="2025-04-20"/>
    <x v="1"/>
    <x v="2"/>
    <x v="0"/>
    <s v="Corporate"/>
    <x v="1"/>
    <x v="7"/>
    <x v="2"/>
    <n v="420000"/>
    <n v="3"/>
    <x v="2"/>
    <n v="336000"/>
    <n v="1260000"/>
    <n v="1008000"/>
    <n v="252000"/>
    <n v="1220"/>
  </r>
  <r>
    <s v="2025-03-17"/>
    <x v="3"/>
    <x v="0"/>
    <x v="1"/>
    <s v="Corporate"/>
    <x v="1"/>
    <x v="2"/>
    <x v="1"/>
    <n v="60000"/>
    <n v="7"/>
    <x v="3"/>
    <n v="48000"/>
    <n v="420000"/>
    <n v="336000"/>
    <n v="84000"/>
    <n v="1221"/>
  </r>
  <r>
    <s v="2025-03-03"/>
    <x v="3"/>
    <x v="0"/>
    <x v="0"/>
    <s v="Retail"/>
    <x v="0"/>
    <x v="9"/>
    <x v="1"/>
    <n v="220000"/>
    <n v="8"/>
    <x v="2"/>
    <n v="176000"/>
    <n v="1760000"/>
    <n v="1408000"/>
    <n v="352000"/>
    <n v="1222"/>
  </r>
  <r>
    <s v="2025-05-01"/>
    <x v="4"/>
    <x v="0"/>
    <x v="3"/>
    <s v="Corporate"/>
    <x v="1"/>
    <x v="8"/>
    <x v="2"/>
    <n v="250000"/>
    <n v="6"/>
    <x v="4"/>
    <n v="200000"/>
    <n v="1500000"/>
    <n v="1200000"/>
    <n v="300000"/>
    <n v="1223"/>
  </r>
  <r>
    <s v="2025-04-24"/>
    <x v="1"/>
    <x v="0"/>
    <x v="1"/>
    <s v="Corporate"/>
    <x v="0"/>
    <x v="6"/>
    <x v="2"/>
    <n v="150000"/>
    <n v="5"/>
    <x v="2"/>
    <n v="120000"/>
    <n v="750000"/>
    <n v="600000"/>
    <n v="150000"/>
    <n v="1224"/>
  </r>
  <r>
    <s v="2025-01-20"/>
    <x v="0"/>
    <x v="3"/>
    <x v="1"/>
    <s v="Corporate"/>
    <x v="0"/>
    <x v="0"/>
    <x v="0"/>
    <n v="85000"/>
    <n v="2"/>
    <x v="3"/>
    <n v="68000"/>
    <n v="170000"/>
    <n v="136000"/>
    <n v="34000"/>
    <n v="1225"/>
  </r>
  <r>
    <s v="2025-02-07"/>
    <x v="2"/>
    <x v="2"/>
    <x v="0"/>
    <s v="Corporate"/>
    <x v="1"/>
    <x v="0"/>
    <x v="0"/>
    <n v="85000"/>
    <n v="6"/>
    <x v="1"/>
    <n v="68000"/>
    <n v="510000"/>
    <n v="408000"/>
    <n v="102000"/>
    <n v="1226"/>
  </r>
  <r>
    <s v="2025-01-04"/>
    <x v="0"/>
    <x v="0"/>
    <x v="3"/>
    <s v="Corporate"/>
    <x v="0"/>
    <x v="6"/>
    <x v="2"/>
    <n v="150000"/>
    <n v="5"/>
    <x v="3"/>
    <n v="120000"/>
    <n v="750000"/>
    <n v="600000"/>
    <n v="150000"/>
    <n v="1227"/>
  </r>
  <r>
    <s v="2025-01-10"/>
    <x v="0"/>
    <x v="0"/>
    <x v="2"/>
    <s v="Corporate"/>
    <x v="1"/>
    <x v="7"/>
    <x v="2"/>
    <n v="420000"/>
    <n v="4"/>
    <x v="4"/>
    <n v="336000"/>
    <n v="1680000"/>
    <n v="1344000"/>
    <n v="336000"/>
    <n v="1228"/>
  </r>
  <r>
    <s v="2025-04-14"/>
    <x v="1"/>
    <x v="1"/>
    <x v="2"/>
    <s v="Corporate"/>
    <x v="1"/>
    <x v="3"/>
    <x v="2"/>
    <n v="300000"/>
    <n v="6"/>
    <x v="5"/>
    <n v="240000"/>
    <n v="1800000"/>
    <n v="1440000"/>
    <n v="360000"/>
    <n v="1229"/>
  </r>
  <r>
    <s v="2025-03-12"/>
    <x v="3"/>
    <x v="3"/>
    <x v="0"/>
    <s v="Corporate"/>
    <x v="0"/>
    <x v="2"/>
    <x v="1"/>
    <n v="60000"/>
    <n v="2"/>
    <x v="4"/>
    <n v="48000"/>
    <n v="120000"/>
    <n v="96000"/>
    <n v="24000"/>
    <n v="1230"/>
  </r>
  <r>
    <s v="2025-01-20"/>
    <x v="0"/>
    <x v="3"/>
    <x v="3"/>
    <s v="Corporate"/>
    <x v="0"/>
    <x v="0"/>
    <x v="0"/>
    <n v="85000"/>
    <n v="5"/>
    <x v="3"/>
    <n v="68000"/>
    <n v="425000"/>
    <n v="340000"/>
    <n v="85000"/>
    <n v="1231"/>
  </r>
  <r>
    <s v="2025-04-23"/>
    <x v="1"/>
    <x v="0"/>
    <x v="3"/>
    <s v="Retail"/>
    <x v="1"/>
    <x v="2"/>
    <x v="1"/>
    <n v="60000"/>
    <n v="3"/>
    <x v="1"/>
    <n v="48000"/>
    <n v="180000"/>
    <n v="144000"/>
    <n v="36000"/>
    <n v="1232"/>
  </r>
  <r>
    <s v="2025-02-12"/>
    <x v="2"/>
    <x v="3"/>
    <x v="3"/>
    <s v="Corporate"/>
    <x v="0"/>
    <x v="0"/>
    <x v="0"/>
    <n v="85000"/>
    <n v="7"/>
    <x v="3"/>
    <n v="68000"/>
    <n v="595000"/>
    <n v="476000"/>
    <n v="119000"/>
    <n v="1233"/>
  </r>
  <r>
    <s v="2025-04-04"/>
    <x v="1"/>
    <x v="3"/>
    <x v="1"/>
    <s v="Corporate"/>
    <x v="0"/>
    <x v="4"/>
    <x v="1"/>
    <n v="180000"/>
    <n v="5"/>
    <x v="5"/>
    <n v="144000"/>
    <n v="900000"/>
    <n v="720000"/>
    <n v="180000"/>
    <n v="1234"/>
  </r>
  <r>
    <s v="2025-03-23"/>
    <x v="3"/>
    <x v="1"/>
    <x v="1"/>
    <s v="Retail"/>
    <x v="0"/>
    <x v="7"/>
    <x v="2"/>
    <n v="420000"/>
    <n v="5"/>
    <x v="2"/>
    <n v="336000"/>
    <n v="2100000"/>
    <n v="1680000"/>
    <n v="420000"/>
    <n v="1235"/>
  </r>
  <r>
    <s v="2025-04-10"/>
    <x v="1"/>
    <x v="1"/>
    <x v="3"/>
    <s v="Corporate"/>
    <x v="1"/>
    <x v="0"/>
    <x v="0"/>
    <n v="85000"/>
    <n v="6"/>
    <x v="2"/>
    <n v="68000"/>
    <n v="510000"/>
    <n v="408000"/>
    <n v="102000"/>
    <n v="1236"/>
  </r>
  <r>
    <s v="2025-03-05"/>
    <x v="3"/>
    <x v="3"/>
    <x v="0"/>
    <s v="Retail"/>
    <x v="1"/>
    <x v="7"/>
    <x v="2"/>
    <n v="420000"/>
    <n v="7"/>
    <x v="0"/>
    <n v="336000"/>
    <n v="2940000"/>
    <n v="2352000"/>
    <n v="588000"/>
    <n v="1237"/>
  </r>
  <r>
    <s v="2025-02-02"/>
    <x v="2"/>
    <x v="2"/>
    <x v="3"/>
    <s v="Corporate"/>
    <x v="0"/>
    <x v="7"/>
    <x v="2"/>
    <n v="420000"/>
    <n v="9"/>
    <x v="5"/>
    <n v="336000"/>
    <n v="3780000"/>
    <n v="3024000"/>
    <n v="756000"/>
    <n v="1238"/>
  </r>
  <r>
    <s v="2025-02-18"/>
    <x v="2"/>
    <x v="0"/>
    <x v="1"/>
    <s v="Corporate"/>
    <x v="0"/>
    <x v="3"/>
    <x v="2"/>
    <n v="300000"/>
    <n v="3"/>
    <x v="4"/>
    <n v="240000"/>
    <n v="900000"/>
    <n v="720000"/>
    <n v="180000"/>
    <n v="1239"/>
  </r>
  <r>
    <s v="2025-01-10"/>
    <x v="0"/>
    <x v="1"/>
    <x v="2"/>
    <s v="Retail"/>
    <x v="0"/>
    <x v="0"/>
    <x v="0"/>
    <n v="85000"/>
    <n v="9"/>
    <x v="4"/>
    <n v="68000"/>
    <n v="765000"/>
    <n v="612000"/>
    <n v="153000"/>
    <n v="1240"/>
  </r>
  <r>
    <s v="2025-03-02"/>
    <x v="3"/>
    <x v="2"/>
    <x v="0"/>
    <s v="Corporate"/>
    <x v="1"/>
    <x v="9"/>
    <x v="1"/>
    <n v="220000"/>
    <n v="7"/>
    <x v="3"/>
    <n v="176000"/>
    <n v="1540000"/>
    <n v="1232000"/>
    <n v="308000"/>
    <n v="1241"/>
  </r>
  <r>
    <s v="2025-04-07"/>
    <x v="1"/>
    <x v="0"/>
    <x v="1"/>
    <s v="Corporate"/>
    <x v="1"/>
    <x v="3"/>
    <x v="2"/>
    <n v="300000"/>
    <n v="10"/>
    <x v="0"/>
    <n v="240000"/>
    <n v="3000000"/>
    <n v="2400000"/>
    <n v="600000"/>
    <n v="1242"/>
  </r>
  <r>
    <s v="2025-04-13"/>
    <x v="1"/>
    <x v="0"/>
    <x v="0"/>
    <s v="Retail"/>
    <x v="1"/>
    <x v="0"/>
    <x v="0"/>
    <n v="85000"/>
    <n v="8"/>
    <x v="4"/>
    <n v="68000"/>
    <n v="680000"/>
    <n v="544000"/>
    <n v="136000"/>
    <n v="1243"/>
  </r>
  <r>
    <s v="2025-02-13"/>
    <x v="2"/>
    <x v="1"/>
    <x v="1"/>
    <s v="Corporate"/>
    <x v="0"/>
    <x v="1"/>
    <x v="1"/>
    <n v="30000"/>
    <n v="3"/>
    <x v="4"/>
    <n v="24000"/>
    <n v="90000"/>
    <n v="72000"/>
    <n v="18000"/>
    <n v="1244"/>
  </r>
  <r>
    <s v="2025-02-11"/>
    <x v="2"/>
    <x v="2"/>
    <x v="2"/>
    <s v="Corporate"/>
    <x v="1"/>
    <x v="0"/>
    <x v="0"/>
    <n v="85000"/>
    <n v="8"/>
    <x v="3"/>
    <n v="68000"/>
    <n v="680000"/>
    <n v="544000"/>
    <n v="136000"/>
    <n v="1245"/>
  </r>
  <r>
    <s v="2025-02-09"/>
    <x v="2"/>
    <x v="0"/>
    <x v="2"/>
    <s v="Retail"/>
    <x v="1"/>
    <x v="4"/>
    <x v="1"/>
    <n v="180000"/>
    <n v="3"/>
    <x v="3"/>
    <n v="144000"/>
    <n v="540000"/>
    <n v="432000"/>
    <n v="108000"/>
    <n v="1246"/>
  </r>
  <r>
    <s v="2025-03-25"/>
    <x v="3"/>
    <x v="3"/>
    <x v="0"/>
    <s v="Retail"/>
    <x v="0"/>
    <x v="9"/>
    <x v="1"/>
    <n v="220000"/>
    <n v="7"/>
    <x v="4"/>
    <n v="176000"/>
    <n v="1540000"/>
    <n v="1232000"/>
    <n v="308000"/>
    <n v="1247"/>
  </r>
  <r>
    <s v="2025-03-09"/>
    <x v="3"/>
    <x v="3"/>
    <x v="2"/>
    <s v="Retail"/>
    <x v="0"/>
    <x v="4"/>
    <x v="1"/>
    <n v="180000"/>
    <n v="8"/>
    <x v="5"/>
    <n v="144000"/>
    <n v="1440000"/>
    <n v="1152000"/>
    <n v="288000"/>
    <n v="1248"/>
  </r>
  <r>
    <s v="2025-03-22"/>
    <x v="3"/>
    <x v="2"/>
    <x v="3"/>
    <s v="Retail"/>
    <x v="0"/>
    <x v="1"/>
    <x v="1"/>
    <n v="30000"/>
    <n v="1"/>
    <x v="2"/>
    <n v="24000"/>
    <n v="30000"/>
    <n v="24000"/>
    <n v="6000"/>
    <n v="1249"/>
  </r>
  <r>
    <s v="2025-02-18"/>
    <x v="2"/>
    <x v="1"/>
    <x v="1"/>
    <s v="Retail"/>
    <x v="0"/>
    <x v="1"/>
    <x v="1"/>
    <n v="30000"/>
    <n v="8"/>
    <x v="3"/>
    <n v="24000"/>
    <n v="240000"/>
    <n v="192000"/>
    <n v="48000"/>
    <n v="1250"/>
  </r>
  <r>
    <s v="2025-02-15"/>
    <x v="2"/>
    <x v="2"/>
    <x v="0"/>
    <s v="Retail"/>
    <x v="0"/>
    <x v="4"/>
    <x v="1"/>
    <n v="180000"/>
    <n v="3"/>
    <x v="5"/>
    <n v="144000"/>
    <n v="540000"/>
    <n v="432000"/>
    <n v="108000"/>
    <n v="1251"/>
  </r>
  <r>
    <s v="2025-02-25"/>
    <x v="2"/>
    <x v="2"/>
    <x v="1"/>
    <s v="Retail"/>
    <x v="1"/>
    <x v="0"/>
    <x v="0"/>
    <n v="85000"/>
    <n v="7"/>
    <x v="1"/>
    <n v="68000"/>
    <n v="595000"/>
    <n v="476000"/>
    <n v="119000"/>
    <n v="1252"/>
  </r>
  <r>
    <s v="2025-03-29"/>
    <x v="3"/>
    <x v="0"/>
    <x v="1"/>
    <s v="Retail"/>
    <x v="1"/>
    <x v="1"/>
    <x v="1"/>
    <n v="30000"/>
    <n v="7"/>
    <x v="2"/>
    <n v="24000"/>
    <n v="210000"/>
    <n v="168000"/>
    <n v="42000"/>
    <n v="1253"/>
  </r>
  <r>
    <s v="2025-03-10"/>
    <x v="3"/>
    <x v="3"/>
    <x v="3"/>
    <s v="Retail"/>
    <x v="1"/>
    <x v="2"/>
    <x v="1"/>
    <n v="60000"/>
    <n v="3"/>
    <x v="2"/>
    <n v="48000"/>
    <n v="180000"/>
    <n v="144000"/>
    <n v="36000"/>
    <n v="1254"/>
  </r>
  <r>
    <s v="2025-02-01"/>
    <x v="2"/>
    <x v="3"/>
    <x v="3"/>
    <s v="Retail"/>
    <x v="1"/>
    <x v="0"/>
    <x v="0"/>
    <n v="85000"/>
    <n v="5"/>
    <x v="0"/>
    <n v="68000"/>
    <n v="425000"/>
    <n v="340000"/>
    <n v="85000"/>
    <n v="1255"/>
  </r>
  <r>
    <s v="2025-02-15"/>
    <x v="2"/>
    <x v="1"/>
    <x v="3"/>
    <s v="Corporate"/>
    <x v="0"/>
    <x v="7"/>
    <x v="2"/>
    <n v="420000"/>
    <n v="1"/>
    <x v="0"/>
    <n v="336000"/>
    <n v="420000"/>
    <n v="336000"/>
    <n v="84000"/>
    <n v="1256"/>
  </r>
  <r>
    <s v="2025-04-07"/>
    <x v="1"/>
    <x v="2"/>
    <x v="2"/>
    <s v="Corporate"/>
    <x v="1"/>
    <x v="1"/>
    <x v="1"/>
    <n v="30000"/>
    <n v="5"/>
    <x v="0"/>
    <n v="24000"/>
    <n v="150000"/>
    <n v="120000"/>
    <n v="30000"/>
    <n v="1257"/>
  </r>
  <r>
    <s v="2025-04-02"/>
    <x v="1"/>
    <x v="0"/>
    <x v="2"/>
    <s v="Retail"/>
    <x v="0"/>
    <x v="8"/>
    <x v="2"/>
    <n v="250000"/>
    <n v="9"/>
    <x v="3"/>
    <n v="200000"/>
    <n v="2250000"/>
    <n v="1800000"/>
    <n v="450000"/>
    <n v="1258"/>
  </r>
  <r>
    <s v="2025-01-20"/>
    <x v="0"/>
    <x v="3"/>
    <x v="1"/>
    <s v="Corporate"/>
    <x v="0"/>
    <x v="6"/>
    <x v="2"/>
    <n v="150000"/>
    <n v="3"/>
    <x v="5"/>
    <n v="120000"/>
    <n v="450000"/>
    <n v="360000"/>
    <n v="90000"/>
    <n v="1259"/>
  </r>
  <r>
    <s v="2025-01-19"/>
    <x v="0"/>
    <x v="1"/>
    <x v="1"/>
    <s v="Corporate"/>
    <x v="0"/>
    <x v="3"/>
    <x v="2"/>
    <n v="300000"/>
    <n v="5"/>
    <x v="5"/>
    <n v="240000"/>
    <n v="1500000"/>
    <n v="1200000"/>
    <n v="300000"/>
    <n v="1260"/>
  </r>
  <r>
    <s v="2025-01-10"/>
    <x v="0"/>
    <x v="0"/>
    <x v="0"/>
    <s v="Retail"/>
    <x v="1"/>
    <x v="5"/>
    <x v="0"/>
    <n v="320000"/>
    <n v="5"/>
    <x v="0"/>
    <n v="256000"/>
    <n v="1600000"/>
    <n v="1280000"/>
    <n v="320000"/>
    <n v="1261"/>
  </r>
  <r>
    <s v="2025-01-02"/>
    <x v="0"/>
    <x v="0"/>
    <x v="3"/>
    <s v="Corporate"/>
    <x v="1"/>
    <x v="0"/>
    <x v="0"/>
    <n v="85000"/>
    <n v="10"/>
    <x v="4"/>
    <n v="68000"/>
    <n v="850000"/>
    <n v="680000"/>
    <n v="170000"/>
    <n v="1262"/>
  </r>
  <r>
    <s v="2025-01-24"/>
    <x v="0"/>
    <x v="0"/>
    <x v="1"/>
    <s v="Retail"/>
    <x v="1"/>
    <x v="4"/>
    <x v="1"/>
    <n v="180000"/>
    <n v="3"/>
    <x v="4"/>
    <n v="144000"/>
    <n v="540000"/>
    <n v="432000"/>
    <n v="108000"/>
    <n v="1263"/>
  </r>
  <r>
    <s v="2025-03-02"/>
    <x v="3"/>
    <x v="1"/>
    <x v="3"/>
    <s v="Corporate"/>
    <x v="1"/>
    <x v="1"/>
    <x v="1"/>
    <n v="30000"/>
    <n v="3"/>
    <x v="5"/>
    <n v="24000"/>
    <n v="90000"/>
    <n v="72000"/>
    <n v="18000"/>
    <n v="1264"/>
  </r>
  <r>
    <s v="2025-01-03"/>
    <x v="0"/>
    <x v="3"/>
    <x v="1"/>
    <s v="Retail"/>
    <x v="1"/>
    <x v="6"/>
    <x v="2"/>
    <n v="150000"/>
    <n v="5"/>
    <x v="4"/>
    <n v="120000"/>
    <n v="750000"/>
    <n v="600000"/>
    <n v="150000"/>
    <n v="1265"/>
  </r>
  <r>
    <s v="2025-02-28"/>
    <x v="2"/>
    <x v="3"/>
    <x v="2"/>
    <s v="Retail"/>
    <x v="0"/>
    <x v="3"/>
    <x v="2"/>
    <n v="300000"/>
    <n v="4"/>
    <x v="3"/>
    <n v="240000"/>
    <n v="1200000"/>
    <n v="960000"/>
    <n v="240000"/>
    <n v="1266"/>
  </r>
  <r>
    <s v="2025-01-29"/>
    <x v="0"/>
    <x v="1"/>
    <x v="2"/>
    <s v="Corporate"/>
    <x v="1"/>
    <x v="1"/>
    <x v="1"/>
    <n v="30000"/>
    <n v="8"/>
    <x v="4"/>
    <n v="24000"/>
    <n v="240000"/>
    <n v="192000"/>
    <n v="48000"/>
    <n v="1267"/>
  </r>
  <r>
    <s v="2025-02-26"/>
    <x v="2"/>
    <x v="0"/>
    <x v="0"/>
    <s v="Retail"/>
    <x v="1"/>
    <x v="9"/>
    <x v="1"/>
    <n v="220000"/>
    <n v="10"/>
    <x v="1"/>
    <n v="176000"/>
    <n v="2200000"/>
    <n v="1760000"/>
    <n v="440000"/>
    <n v="1268"/>
  </r>
  <r>
    <s v="2025-03-09"/>
    <x v="3"/>
    <x v="2"/>
    <x v="2"/>
    <s v="Retail"/>
    <x v="0"/>
    <x v="1"/>
    <x v="1"/>
    <n v="30000"/>
    <n v="10"/>
    <x v="2"/>
    <n v="24000"/>
    <n v="300000"/>
    <n v="240000"/>
    <n v="60000"/>
    <n v="1269"/>
  </r>
  <r>
    <s v="2025-04-25"/>
    <x v="1"/>
    <x v="1"/>
    <x v="1"/>
    <s v="Corporate"/>
    <x v="1"/>
    <x v="8"/>
    <x v="2"/>
    <n v="250000"/>
    <n v="5"/>
    <x v="0"/>
    <n v="200000"/>
    <n v="1250000"/>
    <n v="1000000"/>
    <n v="250000"/>
    <n v="1270"/>
  </r>
  <r>
    <s v="2025-02-08"/>
    <x v="2"/>
    <x v="2"/>
    <x v="1"/>
    <s v="Corporate"/>
    <x v="1"/>
    <x v="6"/>
    <x v="2"/>
    <n v="150000"/>
    <n v="8"/>
    <x v="0"/>
    <n v="120000"/>
    <n v="1200000"/>
    <n v="960000"/>
    <n v="240000"/>
    <n v="1271"/>
  </r>
  <r>
    <s v="2025-04-28"/>
    <x v="1"/>
    <x v="2"/>
    <x v="0"/>
    <s v="Retail"/>
    <x v="1"/>
    <x v="0"/>
    <x v="0"/>
    <n v="85000"/>
    <n v="1"/>
    <x v="0"/>
    <n v="68000"/>
    <n v="85000"/>
    <n v="68000"/>
    <n v="17000"/>
    <n v="1272"/>
  </r>
  <r>
    <s v="2025-05-01"/>
    <x v="4"/>
    <x v="1"/>
    <x v="2"/>
    <s v="Retail"/>
    <x v="0"/>
    <x v="9"/>
    <x v="1"/>
    <n v="220000"/>
    <n v="2"/>
    <x v="4"/>
    <n v="176000"/>
    <n v="440000"/>
    <n v="352000"/>
    <n v="88000"/>
    <n v="1273"/>
  </r>
  <r>
    <s v="2025-01-28"/>
    <x v="0"/>
    <x v="2"/>
    <x v="1"/>
    <s v="Corporate"/>
    <x v="0"/>
    <x v="2"/>
    <x v="1"/>
    <n v="60000"/>
    <n v="9"/>
    <x v="2"/>
    <n v="48000"/>
    <n v="540000"/>
    <n v="432000"/>
    <n v="108000"/>
    <n v="1274"/>
  </r>
  <r>
    <s v="2025-02-17"/>
    <x v="2"/>
    <x v="3"/>
    <x v="2"/>
    <s v="Retail"/>
    <x v="0"/>
    <x v="8"/>
    <x v="2"/>
    <n v="250000"/>
    <n v="9"/>
    <x v="3"/>
    <n v="200000"/>
    <n v="2250000"/>
    <n v="1800000"/>
    <n v="450000"/>
    <n v="1275"/>
  </r>
  <r>
    <s v="2025-03-25"/>
    <x v="3"/>
    <x v="1"/>
    <x v="0"/>
    <s v="Retail"/>
    <x v="1"/>
    <x v="0"/>
    <x v="0"/>
    <n v="85000"/>
    <n v="7"/>
    <x v="4"/>
    <n v="68000"/>
    <n v="595000"/>
    <n v="476000"/>
    <n v="119000"/>
    <n v="1276"/>
  </r>
  <r>
    <s v="2025-04-26"/>
    <x v="1"/>
    <x v="2"/>
    <x v="2"/>
    <s v="Retail"/>
    <x v="1"/>
    <x v="6"/>
    <x v="2"/>
    <n v="150000"/>
    <n v="7"/>
    <x v="3"/>
    <n v="120000"/>
    <n v="1050000"/>
    <n v="840000"/>
    <n v="210000"/>
    <n v="1277"/>
  </r>
  <r>
    <s v="2025-02-26"/>
    <x v="2"/>
    <x v="1"/>
    <x v="2"/>
    <s v="Corporate"/>
    <x v="0"/>
    <x v="1"/>
    <x v="1"/>
    <n v="30000"/>
    <n v="3"/>
    <x v="1"/>
    <n v="24000"/>
    <n v="90000"/>
    <n v="72000"/>
    <n v="18000"/>
    <n v="1278"/>
  </r>
  <r>
    <s v="2025-04-23"/>
    <x v="1"/>
    <x v="1"/>
    <x v="2"/>
    <s v="Corporate"/>
    <x v="1"/>
    <x v="1"/>
    <x v="1"/>
    <n v="30000"/>
    <n v="3"/>
    <x v="5"/>
    <n v="24000"/>
    <n v="90000"/>
    <n v="72000"/>
    <n v="18000"/>
    <n v="1279"/>
  </r>
  <r>
    <s v="2025-02-23"/>
    <x v="2"/>
    <x v="3"/>
    <x v="3"/>
    <s v="Retail"/>
    <x v="0"/>
    <x v="1"/>
    <x v="1"/>
    <n v="30000"/>
    <n v="4"/>
    <x v="4"/>
    <n v="24000"/>
    <n v="120000"/>
    <n v="96000"/>
    <n v="24000"/>
    <n v="1280"/>
  </r>
  <r>
    <s v="2025-04-22"/>
    <x v="1"/>
    <x v="2"/>
    <x v="1"/>
    <s v="Retail"/>
    <x v="1"/>
    <x v="2"/>
    <x v="1"/>
    <n v="60000"/>
    <n v="9"/>
    <x v="1"/>
    <n v="48000"/>
    <n v="540000"/>
    <n v="432000"/>
    <n v="108000"/>
    <n v="1281"/>
  </r>
  <r>
    <s v="2025-01-27"/>
    <x v="0"/>
    <x v="2"/>
    <x v="3"/>
    <s v="Corporate"/>
    <x v="0"/>
    <x v="2"/>
    <x v="1"/>
    <n v="60000"/>
    <n v="9"/>
    <x v="3"/>
    <n v="48000"/>
    <n v="540000"/>
    <n v="432000"/>
    <n v="108000"/>
    <n v="1282"/>
  </r>
  <r>
    <s v="2025-03-31"/>
    <x v="3"/>
    <x v="2"/>
    <x v="0"/>
    <s v="Corporate"/>
    <x v="0"/>
    <x v="7"/>
    <x v="2"/>
    <n v="420000"/>
    <n v="2"/>
    <x v="2"/>
    <n v="336000"/>
    <n v="840000"/>
    <n v="672000"/>
    <n v="168000"/>
    <n v="1283"/>
  </r>
  <r>
    <s v="2025-03-11"/>
    <x v="3"/>
    <x v="3"/>
    <x v="2"/>
    <s v="Retail"/>
    <x v="1"/>
    <x v="5"/>
    <x v="0"/>
    <n v="320000"/>
    <n v="1"/>
    <x v="5"/>
    <n v="256000"/>
    <n v="320000"/>
    <n v="256000"/>
    <n v="64000"/>
    <n v="1284"/>
  </r>
  <r>
    <s v="2025-01-02"/>
    <x v="0"/>
    <x v="0"/>
    <x v="0"/>
    <s v="Retail"/>
    <x v="1"/>
    <x v="1"/>
    <x v="1"/>
    <n v="30000"/>
    <n v="5"/>
    <x v="1"/>
    <n v="24000"/>
    <n v="150000"/>
    <n v="120000"/>
    <n v="30000"/>
    <n v="1285"/>
  </r>
  <r>
    <s v="2025-03-02"/>
    <x v="3"/>
    <x v="0"/>
    <x v="2"/>
    <s v="Corporate"/>
    <x v="1"/>
    <x v="0"/>
    <x v="0"/>
    <n v="85000"/>
    <n v="5"/>
    <x v="5"/>
    <n v="68000"/>
    <n v="425000"/>
    <n v="340000"/>
    <n v="85000"/>
    <n v="1286"/>
  </r>
  <r>
    <s v="2025-01-16"/>
    <x v="0"/>
    <x v="0"/>
    <x v="2"/>
    <s v="Corporate"/>
    <x v="0"/>
    <x v="7"/>
    <x v="2"/>
    <n v="420000"/>
    <n v="10"/>
    <x v="3"/>
    <n v="336000"/>
    <n v="4200000"/>
    <n v="3360000"/>
    <n v="840000"/>
    <n v="1287"/>
  </r>
  <r>
    <s v="2025-03-14"/>
    <x v="3"/>
    <x v="1"/>
    <x v="0"/>
    <s v="Corporate"/>
    <x v="0"/>
    <x v="8"/>
    <x v="2"/>
    <n v="250000"/>
    <n v="8"/>
    <x v="4"/>
    <n v="200000"/>
    <n v="2000000"/>
    <n v="1600000"/>
    <n v="400000"/>
    <n v="1288"/>
  </r>
  <r>
    <s v="2025-03-25"/>
    <x v="3"/>
    <x v="0"/>
    <x v="1"/>
    <s v="Corporate"/>
    <x v="1"/>
    <x v="8"/>
    <x v="2"/>
    <n v="250000"/>
    <n v="10"/>
    <x v="3"/>
    <n v="200000"/>
    <n v="2500000"/>
    <n v="2000000"/>
    <n v="500000"/>
    <n v="1289"/>
  </r>
  <r>
    <s v="2025-02-11"/>
    <x v="2"/>
    <x v="1"/>
    <x v="1"/>
    <s v="Corporate"/>
    <x v="1"/>
    <x v="6"/>
    <x v="2"/>
    <n v="150000"/>
    <n v="4"/>
    <x v="2"/>
    <n v="120000"/>
    <n v="600000"/>
    <n v="480000"/>
    <n v="120000"/>
    <n v="1290"/>
  </r>
  <r>
    <s v="2025-02-01"/>
    <x v="2"/>
    <x v="1"/>
    <x v="1"/>
    <s v="Corporate"/>
    <x v="0"/>
    <x v="4"/>
    <x v="1"/>
    <n v="180000"/>
    <n v="6"/>
    <x v="2"/>
    <n v="144000"/>
    <n v="1080000"/>
    <n v="864000"/>
    <n v="216000"/>
    <n v="1291"/>
  </r>
  <r>
    <s v="2025-04-30"/>
    <x v="1"/>
    <x v="1"/>
    <x v="2"/>
    <s v="Corporate"/>
    <x v="1"/>
    <x v="1"/>
    <x v="1"/>
    <n v="30000"/>
    <n v="6"/>
    <x v="2"/>
    <n v="24000"/>
    <n v="180000"/>
    <n v="144000"/>
    <n v="36000"/>
    <n v="1292"/>
  </r>
  <r>
    <s v="2025-02-08"/>
    <x v="2"/>
    <x v="0"/>
    <x v="1"/>
    <s v="Corporate"/>
    <x v="0"/>
    <x v="8"/>
    <x v="2"/>
    <n v="250000"/>
    <n v="5"/>
    <x v="3"/>
    <n v="200000"/>
    <n v="1250000"/>
    <n v="1000000"/>
    <n v="250000"/>
    <n v="1293"/>
  </r>
  <r>
    <s v="2025-02-02"/>
    <x v="2"/>
    <x v="2"/>
    <x v="1"/>
    <s v="Corporate"/>
    <x v="0"/>
    <x v="5"/>
    <x v="0"/>
    <n v="320000"/>
    <n v="2"/>
    <x v="5"/>
    <n v="256000"/>
    <n v="640000"/>
    <n v="512000"/>
    <n v="128000"/>
    <n v="1294"/>
  </r>
  <r>
    <s v="2025-02-10"/>
    <x v="2"/>
    <x v="1"/>
    <x v="1"/>
    <s v="Corporate"/>
    <x v="1"/>
    <x v="3"/>
    <x v="2"/>
    <n v="300000"/>
    <n v="10"/>
    <x v="3"/>
    <n v="240000"/>
    <n v="3000000"/>
    <n v="2400000"/>
    <n v="600000"/>
    <n v="1295"/>
  </r>
  <r>
    <s v="2025-01-24"/>
    <x v="0"/>
    <x v="0"/>
    <x v="1"/>
    <s v="Corporate"/>
    <x v="1"/>
    <x v="3"/>
    <x v="2"/>
    <n v="300000"/>
    <n v="7"/>
    <x v="4"/>
    <n v="240000"/>
    <n v="2100000"/>
    <n v="1680000"/>
    <n v="420000"/>
    <n v="1296"/>
  </r>
  <r>
    <s v="2025-01-12"/>
    <x v="0"/>
    <x v="3"/>
    <x v="0"/>
    <s v="Corporate"/>
    <x v="0"/>
    <x v="4"/>
    <x v="1"/>
    <n v="180000"/>
    <n v="1"/>
    <x v="5"/>
    <n v="144000"/>
    <n v="180000"/>
    <n v="144000"/>
    <n v="36000"/>
    <n v="1297"/>
  </r>
  <r>
    <s v="2025-02-25"/>
    <x v="2"/>
    <x v="1"/>
    <x v="2"/>
    <s v="Corporate"/>
    <x v="1"/>
    <x v="3"/>
    <x v="2"/>
    <n v="300000"/>
    <n v="10"/>
    <x v="0"/>
    <n v="240000"/>
    <n v="3000000"/>
    <n v="2400000"/>
    <n v="600000"/>
    <n v="1298"/>
  </r>
  <r>
    <s v="2025-04-20"/>
    <x v="1"/>
    <x v="0"/>
    <x v="3"/>
    <s v="Corporate"/>
    <x v="0"/>
    <x v="4"/>
    <x v="1"/>
    <n v="180000"/>
    <n v="7"/>
    <x v="4"/>
    <n v="144000"/>
    <n v="1260000"/>
    <n v="1008000"/>
    <n v="252000"/>
    <n v="1299"/>
  </r>
  <r>
    <s v="2025-01-27"/>
    <x v="0"/>
    <x v="0"/>
    <x v="1"/>
    <s v="Corporate"/>
    <x v="0"/>
    <x v="1"/>
    <x v="1"/>
    <n v="30000"/>
    <n v="7"/>
    <x v="2"/>
    <n v="24000"/>
    <n v="210000"/>
    <n v="168000"/>
    <n v="42000"/>
    <n v="1300"/>
  </r>
  <r>
    <s v="2025-01-28"/>
    <x v="0"/>
    <x v="1"/>
    <x v="0"/>
    <s v="Corporate"/>
    <x v="0"/>
    <x v="1"/>
    <x v="1"/>
    <n v="30000"/>
    <n v="6"/>
    <x v="1"/>
    <n v="24000"/>
    <n v="180000"/>
    <n v="144000"/>
    <n v="36000"/>
    <n v="1301"/>
  </r>
  <r>
    <s v="2025-02-23"/>
    <x v="2"/>
    <x v="1"/>
    <x v="1"/>
    <s v="Corporate"/>
    <x v="0"/>
    <x v="0"/>
    <x v="0"/>
    <n v="85000"/>
    <n v="7"/>
    <x v="3"/>
    <n v="68000"/>
    <n v="595000"/>
    <n v="476000"/>
    <n v="119000"/>
    <n v="1302"/>
  </r>
  <r>
    <s v="2025-04-15"/>
    <x v="1"/>
    <x v="1"/>
    <x v="0"/>
    <s v="Corporate"/>
    <x v="1"/>
    <x v="8"/>
    <x v="2"/>
    <n v="250000"/>
    <n v="3"/>
    <x v="3"/>
    <n v="200000"/>
    <n v="750000"/>
    <n v="600000"/>
    <n v="150000"/>
    <n v="1303"/>
  </r>
  <r>
    <s v="2025-02-20"/>
    <x v="2"/>
    <x v="0"/>
    <x v="1"/>
    <s v="Corporate"/>
    <x v="0"/>
    <x v="5"/>
    <x v="0"/>
    <n v="320000"/>
    <n v="7"/>
    <x v="2"/>
    <n v="256000"/>
    <n v="2240000"/>
    <n v="1792000"/>
    <n v="448000"/>
    <n v="1304"/>
  </r>
  <r>
    <s v="2025-01-11"/>
    <x v="0"/>
    <x v="2"/>
    <x v="2"/>
    <s v="Corporate"/>
    <x v="1"/>
    <x v="1"/>
    <x v="1"/>
    <n v="30000"/>
    <n v="7"/>
    <x v="3"/>
    <n v="24000"/>
    <n v="210000"/>
    <n v="168000"/>
    <n v="42000"/>
    <n v="1305"/>
  </r>
  <r>
    <s v="2025-03-14"/>
    <x v="3"/>
    <x v="0"/>
    <x v="2"/>
    <s v="Corporate"/>
    <x v="0"/>
    <x v="5"/>
    <x v="0"/>
    <n v="320000"/>
    <n v="8"/>
    <x v="0"/>
    <n v="256000"/>
    <n v="2560000"/>
    <n v="2048000"/>
    <n v="512000"/>
    <n v="1306"/>
  </r>
  <r>
    <s v="2025-04-25"/>
    <x v="1"/>
    <x v="3"/>
    <x v="3"/>
    <s v="Corporate"/>
    <x v="0"/>
    <x v="5"/>
    <x v="0"/>
    <n v="320000"/>
    <n v="7"/>
    <x v="4"/>
    <n v="256000"/>
    <n v="2240000"/>
    <n v="1792000"/>
    <n v="448000"/>
    <n v="1307"/>
  </r>
  <r>
    <s v="2025-04-23"/>
    <x v="1"/>
    <x v="1"/>
    <x v="1"/>
    <s v="Corporate"/>
    <x v="1"/>
    <x v="2"/>
    <x v="1"/>
    <n v="60000"/>
    <n v="2"/>
    <x v="2"/>
    <n v="48000"/>
    <n v="120000"/>
    <n v="96000"/>
    <n v="24000"/>
    <n v="1308"/>
  </r>
  <r>
    <s v="2025-03-05"/>
    <x v="3"/>
    <x v="0"/>
    <x v="0"/>
    <s v="Corporate"/>
    <x v="1"/>
    <x v="9"/>
    <x v="1"/>
    <n v="220000"/>
    <n v="8"/>
    <x v="4"/>
    <n v="176000"/>
    <n v="1760000"/>
    <n v="1408000"/>
    <n v="352000"/>
    <n v="1309"/>
  </r>
  <r>
    <s v="2025-01-27"/>
    <x v="0"/>
    <x v="2"/>
    <x v="2"/>
    <s v="Corporate"/>
    <x v="0"/>
    <x v="2"/>
    <x v="1"/>
    <n v="60000"/>
    <n v="2"/>
    <x v="2"/>
    <n v="48000"/>
    <n v="120000"/>
    <n v="96000"/>
    <n v="24000"/>
    <n v="1310"/>
  </r>
  <r>
    <s v="2025-04-06"/>
    <x v="1"/>
    <x v="0"/>
    <x v="2"/>
    <s v="Corporate"/>
    <x v="0"/>
    <x v="5"/>
    <x v="0"/>
    <n v="320000"/>
    <n v="2"/>
    <x v="5"/>
    <n v="256000"/>
    <n v="640000"/>
    <n v="512000"/>
    <n v="128000"/>
    <n v="1311"/>
  </r>
  <r>
    <s v="2025-04-15"/>
    <x v="1"/>
    <x v="1"/>
    <x v="0"/>
    <s v="Corporate"/>
    <x v="1"/>
    <x v="1"/>
    <x v="1"/>
    <n v="30000"/>
    <n v="2"/>
    <x v="3"/>
    <n v="24000"/>
    <n v="60000"/>
    <n v="48000"/>
    <n v="12000"/>
    <n v="1312"/>
  </r>
  <r>
    <s v="2025-04-05"/>
    <x v="1"/>
    <x v="3"/>
    <x v="1"/>
    <s v="Corporate"/>
    <x v="1"/>
    <x v="1"/>
    <x v="1"/>
    <n v="30000"/>
    <n v="7"/>
    <x v="3"/>
    <n v="24000"/>
    <n v="210000"/>
    <n v="168000"/>
    <n v="42000"/>
    <n v="1313"/>
  </r>
  <r>
    <s v="2025-03-12"/>
    <x v="3"/>
    <x v="3"/>
    <x v="0"/>
    <s v="Corporate"/>
    <x v="1"/>
    <x v="8"/>
    <x v="2"/>
    <n v="250000"/>
    <n v="10"/>
    <x v="3"/>
    <n v="200000"/>
    <n v="2500000"/>
    <n v="2000000"/>
    <n v="500000"/>
    <n v="1314"/>
  </r>
  <r>
    <s v="2025-04-21"/>
    <x v="1"/>
    <x v="1"/>
    <x v="3"/>
    <s v="Corporate"/>
    <x v="1"/>
    <x v="3"/>
    <x v="2"/>
    <n v="300000"/>
    <n v="9"/>
    <x v="2"/>
    <n v="240000"/>
    <n v="2700000"/>
    <n v="2160000"/>
    <n v="540000"/>
    <n v="1315"/>
  </r>
  <r>
    <s v="2025-03-04"/>
    <x v="3"/>
    <x v="2"/>
    <x v="2"/>
    <s v="Corporate"/>
    <x v="1"/>
    <x v="0"/>
    <x v="0"/>
    <n v="85000"/>
    <n v="6"/>
    <x v="4"/>
    <n v="68000"/>
    <n v="510000"/>
    <n v="408000"/>
    <n v="102000"/>
    <n v="1316"/>
  </r>
  <r>
    <s v="2025-01-30"/>
    <x v="0"/>
    <x v="0"/>
    <x v="0"/>
    <s v="Corporate"/>
    <x v="1"/>
    <x v="1"/>
    <x v="1"/>
    <n v="30000"/>
    <n v="4"/>
    <x v="0"/>
    <n v="24000"/>
    <n v="120000"/>
    <n v="96000"/>
    <n v="24000"/>
    <n v="1317"/>
  </r>
  <r>
    <s v="2025-03-29"/>
    <x v="3"/>
    <x v="2"/>
    <x v="3"/>
    <s v="Corporate"/>
    <x v="0"/>
    <x v="3"/>
    <x v="2"/>
    <n v="300000"/>
    <n v="4"/>
    <x v="0"/>
    <n v="240000"/>
    <n v="1200000"/>
    <n v="960000"/>
    <n v="240000"/>
    <n v="1318"/>
  </r>
  <r>
    <s v="2025-02-09"/>
    <x v="2"/>
    <x v="2"/>
    <x v="3"/>
    <s v="Corporate"/>
    <x v="1"/>
    <x v="9"/>
    <x v="1"/>
    <n v="220000"/>
    <n v="5"/>
    <x v="3"/>
    <n v="176000"/>
    <n v="1100000"/>
    <n v="880000"/>
    <n v="220000"/>
    <n v="1319"/>
  </r>
  <r>
    <s v="2025-01-22"/>
    <x v="0"/>
    <x v="1"/>
    <x v="3"/>
    <s v="Corporate"/>
    <x v="1"/>
    <x v="9"/>
    <x v="1"/>
    <n v="220000"/>
    <n v="4"/>
    <x v="3"/>
    <n v="176000"/>
    <n v="880000"/>
    <n v="704000"/>
    <n v="176000"/>
    <n v="1320"/>
  </r>
  <r>
    <s v="2025-01-23"/>
    <x v="0"/>
    <x v="1"/>
    <x v="3"/>
    <s v="Corporate"/>
    <x v="0"/>
    <x v="1"/>
    <x v="1"/>
    <n v="30000"/>
    <n v="1"/>
    <x v="5"/>
    <n v="24000"/>
    <n v="30000"/>
    <n v="24000"/>
    <n v="6000"/>
    <n v="1321"/>
  </r>
  <r>
    <s v="2025-02-12"/>
    <x v="2"/>
    <x v="2"/>
    <x v="1"/>
    <s v="Retail"/>
    <x v="0"/>
    <x v="7"/>
    <x v="2"/>
    <n v="420000"/>
    <n v="9"/>
    <x v="1"/>
    <n v="336000"/>
    <n v="3780000"/>
    <n v="3024000"/>
    <n v="756000"/>
    <n v="1322"/>
  </r>
  <r>
    <s v="2025-04-13"/>
    <x v="1"/>
    <x v="0"/>
    <x v="1"/>
    <s v="Corporate"/>
    <x v="0"/>
    <x v="2"/>
    <x v="1"/>
    <n v="60000"/>
    <n v="6"/>
    <x v="1"/>
    <n v="48000"/>
    <n v="360000"/>
    <n v="288000"/>
    <n v="72000"/>
    <n v="1323"/>
  </r>
  <r>
    <s v="2025-01-27"/>
    <x v="0"/>
    <x v="0"/>
    <x v="3"/>
    <s v="Retail"/>
    <x v="0"/>
    <x v="4"/>
    <x v="1"/>
    <n v="180000"/>
    <n v="2"/>
    <x v="2"/>
    <n v="144000"/>
    <n v="360000"/>
    <n v="288000"/>
    <n v="72000"/>
    <n v="1324"/>
  </r>
  <r>
    <s v="2025-04-16"/>
    <x v="1"/>
    <x v="1"/>
    <x v="1"/>
    <s v="Retail"/>
    <x v="0"/>
    <x v="0"/>
    <x v="0"/>
    <n v="85000"/>
    <n v="1"/>
    <x v="1"/>
    <n v="68000"/>
    <n v="85000"/>
    <n v="68000"/>
    <n v="17000"/>
    <n v="1325"/>
  </r>
  <r>
    <s v="2025-02-13"/>
    <x v="2"/>
    <x v="0"/>
    <x v="2"/>
    <s v="Retail"/>
    <x v="1"/>
    <x v="8"/>
    <x v="2"/>
    <n v="250000"/>
    <n v="2"/>
    <x v="0"/>
    <n v="200000"/>
    <n v="500000"/>
    <n v="400000"/>
    <n v="100000"/>
    <n v="1326"/>
  </r>
  <r>
    <s v="2025-01-13"/>
    <x v="0"/>
    <x v="3"/>
    <x v="3"/>
    <s v="Retail"/>
    <x v="1"/>
    <x v="1"/>
    <x v="1"/>
    <n v="30000"/>
    <n v="7"/>
    <x v="3"/>
    <n v="24000"/>
    <n v="210000"/>
    <n v="168000"/>
    <n v="42000"/>
    <n v="1327"/>
  </r>
  <r>
    <s v="2025-04-24"/>
    <x v="1"/>
    <x v="0"/>
    <x v="1"/>
    <s v="Retail"/>
    <x v="1"/>
    <x v="7"/>
    <x v="2"/>
    <n v="420000"/>
    <n v="9"/>
    <x v="3"/>
    <n v="336000"/>
    <n v="3780000"/>
    <n v="3024000"/>
    <n v="756000"/>
    <n v="1328"/>
  </r>
  <r>
    <s v="2025-01-19"/>
    <x v="0"/>
    <x v="2"/>
    <x v="3"/>
    <s v="Retail"/>
    <x v="0"/>
    <x v="2"/>
    <x v="1"/>
    <n v="60000"/>
    <n v="7"/>
    <x v="1"/>
    <n v="48000"/>
    <n v="420000"/>
    <n v="336000"/>
    <n v="84000"/>
    <n v="1329"/>
  </r>
  <r>
    <s v="2025-04-01"/>
    <x v="1"/>
    <x v="3"/>
    <x v="2"/>
    <s v="Retail"/>
    <x v="1"/>
    <x v="3"/>
    <x v="2"/>
    <n v="300000"/>
    <n v="7"/>
    <x v="3"/>
    <n v="240000"/>
    <n v="2100000"/>
    <n v="1680000"/>
    <n v="420000"/>
    <n v="1330"/>
  </r>
  <r>
    <s v="2025-03-03"/>
    <x v="3"/>
    <x v="1"/>
    <x v="0"/>
    <s v="Corporate"/>
    <x v="0"/>
    <x v="6"/>
    <x v="2"/>
    <n v="150000"/>
    <n v="9"/>
    <x v="5"/>
    <n v="120000"/>
    <n v="1350000"/>
    <n v="1080000"/>
    <n v="270000"/>
    <n v="1331"/>
  </r>
  <r>
    <s v="2025-02-05"/>
    <x v="2"/>
    <x v="2"/>
    <x v="2"/>
    <s v="Corporate"/>
    <x v="0"/>
    <x v="3"/>
    <x v="2"/>
    <n v="300000"/>
    <n v="7"/>
    <x v="2"/>
    <n v="240000"/>
    <n v="2100000"/>
    <n v="1680000"/>
    <n v="420000"/>
    <n v="1332"/>
  </r>
  <r>
    <s v="2025-01-24"/>
    <x v="0"/>
    <x v="0"/>
    <x v="1"/>
    <s v="Retail"/>
    <x v="0"/>
    <x v="8"/>
    <x v="2"/>
    <n v="250000"/>
    <n v="1"/>
    <x v="4"/>
    <n v="200000"/>
    <n v="250000"/>
    <n v="200000"/>
    <n v="50000"/>
    <n v="1333"/>
  </r>
  <r>
    <s v="2025-01-11"/>
    <x v="0"/>
    <x v="0"/>
    <x v="1"/>
    <s v="Corporate"/>
    <x v="0"/>
    <x v="8"/>
    <x v="2"/>
    <n v="250000"/>
    <n v="6"/>
    <x v="2"/>
    <n v="200000"/>
    <n v="1500000"/>
    <n v="1200000"/>
    <n v="300000"/>
    <n v="1334"/>
  </r>
  <r>
    <s v="2025-01-18"/>
    <x v="0"/>
    <x v="1"/>
    <x v="2"/>
    <s v="Corporate"/>
    <x v="1"/>
    <x v="7"/>
    <x v="2"/>
    <n v="420000"/>
    <n v="9"/>
    <x v="5"/>
    <n v="336000"/>
    <n v="3780000"/>
    <n v="3024000"/>
    <n v="756000"/>
    <n v="1335"/>
  </r>
  <r>
    <s v="2025-03-14"/>
    <x v="3"/>
    <x v="2"/>
    <x v="3"/>
    <s v="Corporate"/>
    <x v="0"/>
    <x v="4"/>
    <x v="1"/>
    <n v="180000"/>
    <n v="6"/>
    <x v="1"/>
    <n v="144000"/>
    <n v="1080000"/>
    <n v="864000"/>
    <n v="216000"/>
    <n v="1336"/>
  </r>
  <r>
    <s v="2025-01-11"/>
    <x v="0"/>
    <x v="2"/>
    <x v="2"/>
    <s v="Corporate"/>
    <x v="0"/>
    <x v="0"/>
    <x v="0"/>
    <n v="85000"/>
    <n v="5"/>
    <x v="5"/>
    <n v="68000"/>
    <n v="425000"/>
    <n v="340000"/>
    <n v="85000"/>
    <n v="1337"/>
  </r>
  <r>
    <s v="2025-04-30"/>
    <x v="1"/>
    <x v="0"/>
    <x v="2"/>
    <s v="Corporate"/>
    <x v="0"/>
    <x v="9"/>
    <x v="1"/>
    <n v="220000"/>
    <n v="5"/>
    <x v="5"/>
    <n v="176000"/>
    <n v="1100000"/>
    <n v="880000"/>
    <n v="220000"/>
    <n v="1338"/>
  </r>
  <r>
    <s v="2025-03-18"/>
    <x v="3"/>
    <x v="1"/>
    <x v="3"/>
    <s v="Retail"/>
    <x v="0"/>
    <x v="2"/>
    <x v="1"/>
    <n v="60000"/>
    <n v="8"/>
    <x v="4"/>
    <n v="48000"/>
    <n v="480000"/>
    <n v="384000"/>
    <n v="96000"/>
    <n v="1339"/>
  </r>
  <r>
    <s v="2025-01-06"/>
    <x v="0"/>
    <x v="1"/>
    <x v="3"/>
    <s v="Corporate"/>
    <x v="1"/>
    <x v="0"/>
    <x v="0"/>
    <n v="85000"/>
    <n v="10"/>
    <x v="3"/>
    <n v="68000"/>
    <n v="850000"/>
    <n v="680000"/>
    <n v="170000"/>
    <n v="1340"/>
  </r>
  <r>
    <s v="2025-02-17"/>
    <x v="2"/>
    <x v="3"/>
    <x v="1"/>
    <s v="Retail"/>
    <x v="1"/>
    <x v="1"/>
    <x v="1"/>
    <n v="30000"/>
    <n v="6"/>
    <x v="5"/>
    <n v="24000"/>
    <n v="180000"/>
    <n v="144000"/>
    <n v="36000"/>
    <n v="1341"/>
  </r>
  <r>
    <s v="2025-04-07"/>
    <x v="1"/>
    <x v="0"/>
    <x v="1"/>
    <s v="Corporate"/>
    <x v="1"/>
    <x v="5"/>
    <x v="0"/>
    <n v="320000"/>
    <n v="10"/>
    <x v="1"/>
    <n v="256000"/>
    <n v="3200000"/>
    <n v="2560000"/>
    <n v="640000"/>
    <n v="1342"/>
  </r>
  <r>
    <s v="2025-04-19"/>
    <x v="1"/>
    <x v="2"/>
    <x v="3"/>
    <s v="Corporate"/>
    <x v="1"/>
    <x v="2"/>
    <x v="1"/>
    <n v="60000"/>
    <n v="2"/>
    <x v="1"/>
    <n v="48000"/>
    <n v="120000"/>
    <n v="96000"/>
    <n v="24000"/>
    <n v="1343"/>
  </r>
  <r>
    <s v="2025-04-11"/>
    <x v="1"/>
    <x v="1"/>
    <x v="1"/>
    <s v="Corporate"/>
    <x v="1"/>
    <x v="7"/>
    <x v="2"/>
    <n v="420000"/>
    <n v="3"/>
    <x v="0"/>
    <n v="336000"/>
    <n v="1260000"/>
    <n v="1008000"/>
    <n v="252000"/>
    <n v="1344"/>
  </r>
  <r>
    <s v="2025-03-09"/>
    <x v="3"/>
    <x v="1"/>
    <x v="1"/>
    <s v="Retail"/>
    <x v="0"/>
    <x v="6"/>
    <x v="2"/>
    <n v="150000"/>
    <n v="5"/>
    <x v="2"/>
    <n v="120000"/>
    <n v="750000"/>
    <n v="600000"/>
    <n v="150000"/>
    <n v="1345"/>
  </r>
  <r>
    <s v="2025-02-18"/>
    <x v="2"/>
    <x v="2"/>
    <x v="1"/>
    <s v="Retail"/>
    <x v="1"/>
    <x v="6"/>
    <x v="2"/>
    <n v="150000"/>
    <n v="9"/>
    <x v="3"/>
    <n v="120000"/>
    <n v="1350000"/>
    <n v="1080000"/>
    <n v="270000"/>
    <n v="1346"/>
  </r>
  <r>
    <s v="2025-02-16"/>
    <x v="2"/>
    <x v="2"/>
    <x v="0"/>
    <s v="Corporate"/>
    <x v="1"/>
    <x v="0"/>
    <x v="0"/>
    <n v="85000"/>
    <n v="5"/>
    <x v="4"/>
    <n v="68000"/>
    <n v="425000"/>
    <n v="340000"/>
    <n v="85000"/>
    <n v="1347"/>
  </r>
  <r>
    <s v="2025-02-06"/>
    <x v="2"/>
    <x v="3"/>
    <x v="1"/>
    <s v="Corporate"/>
    <x v="0"/>
    <x v="5"/>
    <x v="0"/>
    <n v="320000"/>
    <n v="1"/>
    <x v="1"/>
    <n v="256000"/>
    <n v="320000"/>
    <n v="256000"/>
    <n v="64000"/>
    <n v="1348"/>
  </r>
  <r>
    <s v="2025-03-26"/>
    <x v="3"/>
    <x v="1"/>
    <x v="0"/>
    <s v="Retail"/>
    <x v="1"/>
    <x v="1"/>
    <x v="1"/>
    <n v="30000"/>
    <n v="4"/>
    <x v="2"/>
    <n v="24000"/>
    <n v="120000"/>
    <n v="96000"/>
    <n v="24000"/>
    <n v="1349"/>
  </r>
  <r>
    <s v="2025-04-27"/>
    <x v="1"/>
    <x v="2"/>
    <x v="2"/>
    <s v="Corporate"/>
    <x v="1"/>
    <x v="9"/>
    <x v="1"/>
    <n v="220000"/>
    <n v="8"/>
    <x v="4"/>
    <n v="176000"/>
    <n v="1760000"/>
    <n v="1408000"/>
    <n v="352000"/>
    <n v="1350"/>
  </r>
  <r>
    <s v="2025-03-25"/>
    <x v="3"/>
    <x v="0"/>
    <x v="3"/>
    <s v="Corporate"/>
    <x v="1"/>
    <x v="5"/>
    <x v="0"/>
    <n v="320000"/>
    <n v="5"/>
    <x v="5"/>
    <n v="256000"/>
    <n v="1600000"/>
    <n v="1280000"/>
    <n v="320000"/>
    <n v="1351"/>
  </r>
  <r>
    <s v="2025-02-15"/>
    <x v="2"/>
    <x v="0"/>
    <x v="3"/>
    <s v="Corporate"/>
    <x v="1"/>
    <x v="0"/>
    <x v="0"/>
    <n v="85000"/>
    <n v="3"/>
    <x v="4"/>
    <n v="68000"/>
    <n v="255000"/>
    <n v="204000"/>
    <n v="51000"/>
    <n v="1352"/>
  </r>
  <r>
    <s v="2025-02-01"/>
    <x v="2"/>
    <x v="1"/>
    <x v="2"/>
    <s v="Retail"/>
    <x v="1"/>
    <x v="5"/>
    <x v="0"/>
    <n v="320000"/>
    <n v="10"/>
    <x v="0"/>
    <n v="256000"/>
    <n v="3200000"/>
    <n v="2560000"/>
    <n v="640000"/>
    <n v="1353"/>
  </r>
  <r>
    <s v="2025-02-28"/>
    <x v="2"/>
    <x v="0"/>
    <x v="2"/>
    <s v="Retail"/>
    <x v="0"/>
    <x v="7"/>
    <x v="2"/>
    <n v="420000"/>
    <n v="2"/>
    <x v="5"/>
    <n v="336000"/>
    <n v="840000"/>
    <n v="672000"/>
    <n v="168000"/>
    <n v="1354"/>
  </r>
  <r>
    <s v="2025-03-22"/>
    <x v="3"/>
    <x v="3"/>
    <x v="3"/>
    <s v="Retail"/>
    <x v="0"/>
    <x v="1"/>
    <x v="1"/>
    <n v="30000"/>
    <n v="3"/>
    <x v="0"/>
    <n v="24000"/>
    <n v="90000"/>
    <n v="72000"/>
    <n v="18000"/>
    <n v="1355"/>
  </r>
  <r>
    <s v="2025-04-10"/>
    <x v="1"/>
    <x v="0"/>
    <x v="3"/>
    <s v="Corporate"/>
    <x v="0"/>
    <x v="1"/>
    <x v="1"/>
    <n v="30000"/>
    <n v="1"/>
    <x v="5"/>
    <n v="24000"/>
    <n v="30000"/>
    <n v="24000"/>
    <n v="6000"/>
    <n v="1356"/>
  </r>
  <r>
    <s v="2025-01-09"/>
    <x v="0"/>
    <x v="1"/>
    <x v="2"/>
    <s v="Retail"/>
    <x v="1"/>
    <x v="7"/>
    <x v="2"/>
    <n v="420000"/>
    <n v="10"/>
    <x v="5"/>
    <n v="336000"/>
    <n v="4200000"/>
    <n v="3360000"/>
    <n v="840000"/>
    <n v="1357"/>
  </r>
  <r>
    <s v="2025-04-15"/>
    <x v="1"/>
    <x v="2"/>
    <x v="2"/>
    <s v="Retail"/>
    <x v="1"/>
    <x v="6"/>
    <x v="2"/>
    <n v="150000"/>
    <n v="8"/>
    <x v="0"/>
    <n v="120000"/>
    <n v="1200000"/>
    <n v="960000"/>
    <n v="240000"/>
    <n v="1358"/>
  </r>
  <r>
    <s v="2025-03-01"/>
    <x v="3"/>
    <x v="3"/>
    <x v="1"/>
    <s v="Corporate"/>
    <x v="1"/>
    <x v="9"/>
    <x v="1"/>
    <n v="220000"/>
    <n v="8"/>
    <x v="0"/>
    <n v="176000"/>
    <n v="1760000"/>
    <n v="1408000"/>
    <n v="352000"/>
    <n v="1359"/>
  </r>
  <r>
    <s v="2025-01-28"/>
    <x v="0"/>
    <x v="1"/>
    <x v="3"/>
    <s v="Retail"/>
    <x v="1"/>
    <x v="5"/>
    <x v="0"/>
    <n v="320000"/>
    <n v="9"/>
    <x v="3"/>
    <n v="256000"/>
    <n v="2880000"/>
    <n v="2304000"/>
    <n v="576000"/>
    <n v="1360"/>
  </r>
  <r>
    <s v="2025-03-21"/>
    <x v="3"/>
    <x v="3"/>
    <x v="0"/>
    <s v="Retail"/>
    <x v="1"/>
    <x v="9"/>
    <x v="1"/>
    <n v="220000"/>
    <n v="3"/>
    <x v="5"/>
    <n v="176000"/>
    <n v="660000"/>
    <n v="528000"/>
    <n v="132000"/>
    <n v="1361"/>
  </r>
  <r>
    <s v="2025-02-25"/>
    <x v="2"/>
    <x v="0"/>
    <x v="2"/>
    <s v="Corporate"/>
    <x v="0"/>
    <x v="4"/>
    <x v="1"/>
    <n v="180000"/>
    <n v="8"/>
    <x v="3"/>
    <n v="144000"/>
    <n v="1440000"/>
    <n v="1152000"/>
    <n v="288000"/>
    <n v="1362"/>
  </r>
  <r>
    <s v="2025-02-07"/>
    <x v="2"/>
    <x v="3"/>
    <x v="2"/>
    <s v="Retail"/>
    <x v="1"/>
    <x v="8"/>
    <x v="2"/>
    <n v="250000"/>
    <n v="4"/>
    <x v="2"/>
    <n v="200000"/>
    <n v="1000000"/>
    <n v="800000"/>
    <n v="200000"/>
    <n v="1363"/>
  </r>
  <r>
    <s v="2025-02-23"/>
    <x v="2"/>
    <x v="3"/>
    <x v="1"/>
    <s v="Corporate"/>
    <x v="1"/>
    <x v="2"/>
    <x v="1"/>
    <n v="60000"/>
    <n v="7"/>
    <x v="3"/>
    <n v="48000"/>
    <n v="420000"/>
    <n v="336000"/>
    <n v="84000"/>
    <n v="1364"/>
  </r>
  <r>
    <s v="2025-01-18"/>
    <x v="0"/>
    <x v="3"/>
    <x v="0"/>
    <s v="Corporate"/>
    <x v="1"/>
    <x v="9"/>
    <x v="1"/>
    <n v="220000"/>
    <n v="10"/>
    <x v="5"/>
    <n v="176000"/>
    <n v="2200000"/>
    <n v="1760000"/>
    <n v="440000"/>
    <n v="1365"/>
  </r>
  <r>
    <s v="2025-04-14"/>
    <x v="1"/>
    <x v="2"/>
    <x v="2"/>
    <s v="Retail"/>
    <x v="0"/>
    <x v="2"/>
    <x v="1"/>
    <n v="60000"/>
    <n v="9"/>
    <x v="5"/>
    <n v="48000"/>
    <n v="540000"/>
    <n v="432000"/>
    <n v="108000"/>
    <n v="1366"/>
  </r>
  <r>
    <s v="2025-02-16"/>
    <x v="2"/>
    <x v="0"/>
    <x v="2"/>
    <s v="Corporate"/>
    <x v="0"/>
    <x v="2"/>
    <x v="1"/>
    <n v="60000"/>
    <n v="2"/>
    <x v="2"/>
    <n v="48000"/>
    <n v="120000"/>
    <n v="96000"/>
    <n v="24000"/>
    <n v="1367"/>
  </r>
  <r>
    <s v="2025-02-15"/>
    <x v="2"/>
    <x v="1"/>
    <x v="1"/>
    <s v="Corporate"/>
    <x v="0"/>
    <x v="6"/>
    <x v="2"/>
    <n v="150000"/>
    <n v="3"/>
    <x v="0"/>
    <n v="120000"/>
    <n v="450000"/>
    <n v="360000"/>
    <n v="90000"/>
    <n v="1368"/>
  </r>
  <r>
    <s v="2025-01-11"/>
    <x v="0"/>
    <x v="0"/>
    <x v="1"/>
    <s v="Corporate"/>
    <x v="0"/>
    <x v="6"/>
    <x v="2"/>
    <n v="150000"/>
    <n v="10"/>
    <x v="0"/>
    <n v="120000"/>
    <n v="1500000"/>
    <n v="1200000"/>
    <n v="300000"/>
    <n v="1369"/>
  </r>
  <r>
    <s v="2025-01-19"/>
    <x v="0"/>
    <x v="3"/>
    <x v="2"/>
    <s v="Corporate"/>
    <x v="0"/>
    <x v="6"/>
    <x v="2"/>
    <n v="150000"/>
    <n v="9"/>
    <x v="3"/>
    <n v="120000"/>
    <n v="1350000"/>
    <n v="1080000"/>
    <n v="270000"/>
    <n v="1370"/>
  </r>
  <r>
    <s v="2025-01-13"/>
    <x v="0"/>
    <x v="0"/>
    <x v="3"/>
    <s v="Retail"/>
    <x v="0"/>
    <x v="5"/>
    <x v="0"/>
    <n v="320000"/>
    <n v="5"/>
    <x v="5"/>
    <n v="256000"/>
    <n v="1600000"/>
    <n v="1280000"/>
    <n v="320000"/>
    <n v="1371"/>
  </r>
  <r>
    <s v="2025-01-15"/>
    <x v="0"/>
    <x v="1"/>
    <x v="3"/>
    <s v="Retail"/>
    <x v="0"/>
    <x v="4"/>
    <x v="1"/>
    <n v="180000"/>
    <n v="3"/>
    <x v="0"/>
    <n v="144000"/>
    <n v="540000"/>
    <n v="432000"/>
    <n v="108000"/>
    <n v="1372"/>
  </r>
  <r>
    <s v="2025-01-18"/>
    <x v="0"/>
    <x v="0"/>
    <x v="2"/>
    <s v="Corporate"/>
    <x v="0"/>
    <x v="0"/>
    <x v="0"/>
    <n v="85000"/>
    <n v="4"/>
    <x v="3"/>
    <n v="68000"/>
    <n v="340000"/>
    <n v="272000"/>
    <n v="68000"/>
    <n v="1373"/>
  </r>
  <r>
    <s v="2025-03-14"/>
    <x v="3"/>
    <x v="0"/>
    <x v="3"/>
    <s v="Corporate"/>
    <x v="1"/>
    <x v="5"/>
    <x v="0"/>
    <n v="320000"/>
    <n v="7"/>
    <x v="5"/>
    <n v="256000"/>
    <n v="2240000"/>
    <n v="1792000"/>
    <n v="448000"/>
    <n v="1374"/>
  </r>
  <r>
    <s v="2025-04-02"/>
    <x v="1"/>
    <x v="2"/>
    <x v="1"/>
    <s v="Retail"/>
    <x v="1"/>
    <x v="9"/>
    <x v="1"/>
    <n v="220000"/>
    <n v="5"/>
    <x v="3"/>
    <n v="176000"/>
    <n v="1100000"/>
    <n v="880000"/>
    <n v="220000"/>
    <n v="1375"/>
  </r>
  <r>
    <s v="2025-03-20"/>
    <x v="3"/>
    <x v="2"/>
    <x v="1"/>
    <s v="Corporate"/>
    <x v="1"/>
    <x v="6"/>
    <x v="2"/>
    <n v="150000"/>
    <n v="3"/>
    <x v="0"/>
    <n v="120000"/>
    <n v="450000"/>
    <n v="360000"/>
    <n v="90000"/>
    <n v="1376"/>
  </r>
  <r>
    <s v="2025-01-02"/>
    <x v="0"/>
    <x v="0"/>
    <x v="1"/>
    <s v="Corporate"/>
    <x v="0"/>
    <x v="7"/>
    <x v="2"/>
    <n v="420000"/>
    <n v="8"/>
    <x v="1"/>
    <n v="336000"/>
    <n v="3360000"/>
    <n v="2688000"/>
    <n v="672000"/>
    <n v="1377"/>
  </r>
  <r>
    <s v="2025-01-07"/>
    <x v="0"/>
    <x v="1"/>
    <x v="3"/>
    <s v="Retail"/>
    <x v="0"/>
    <x v="9"/>
    <x v="1"/>
    <n v="220000"/>
    <n v="9"/>
    <x v="1"/>
    <n v="176000"/>
    <n v="1980000"/>
    <n v="1584000"/>
    <n v="396000"/>
    <n v="1378"/>
  </r>
  <r>
    <s v="2025-05-01"/>
    <x v="4"/>
    <x v="3"/>
    <x v="0"/>
    <s v="Retail"/>
    <x v="0"/>
    <x v="7"/>
    <x v="2"/>
    <n v="420000"/>
    <n v="3"/>
    <x v="5"/>
    <n v="336000"/>
    <n v="1260000"/>
    <n v="1008000"/>
    <n v="252000"/>
    <n v="1379"/>
  </r>
  <r>
    <s v="2025-01-14"/>
    <x v="0"/>
    <x v="3"/>
    <x v="0"/>
    <s v="Retail"/>
    <x v="1"/>
    <x v="8"/>
    <x v="2"/>
    <n v="250000"/>
    <n v="1"/>
    <x v="2"/>
    <n v="200000"/>
    <n v="250000"/>
    <n v="200000"/>
    <n v="50000"/>
    <n v="1380"/>
  </r>
  <r>
    <s v="2025-01-22"/>
    <x v="0"/>
    <x v="1"/>
    <x v="1"/>
    <s v="Retail"/>
    <x v="1"/>
    <x v="5"/>
    <x v="0"/>
    <n v="320000"/>
    <n v="7"/>
    <x v="4"/>
    <n v="256000"/>
    <n v="2240000"/>
    <n v="1792000"/>
    <n v="448000"/>
    <n v="1381"/>
  </r>
  <r>
    <s v="2025-01-30"/>
    <x v="0"/>
    <x v="3"/>
    <x v="1"/>
    <s v="Retail"/>
    <x v="0"/>
    <x v="7"/>
    <x v="2"/>
    <n v="420000"/>
    <n v="2"/>
    <x v="5"/>
    <n v="336000"/>
    <n v="840000"/>
    <n v="672000"/>
    <n v="168000"/>
    <n v="1382"/>
  </r>
  <r>
    <s v="2025-03-25"/>
    <x v="3"/>
    <x v="2"/>
    <x v="0"/>
    <s v="Retail"/>
    <x v="1"/>
    <x v="5"/>
    <x v="0"/>
    <n v="320000"/>
    <n v="3"/>
    <x v="2"/>
    <n v="256000"/>
    <n v="960000"/>
    <n v="768000"/>
    <n v="192000"/>
    <n v="1383"/>
  </r>
  <r>
    <s v="2025-02-18"/>
    <x v="2"/>
    <x v="2"/>
    <x v="0"/>
    <s v="Corporate"/>
    <x v="0"/>
    <x v="6"/>
    <x v="2"/>
    <n v="150000"/>
    <n v="2"/>
    <x v="4"/>
    <n v="120000"/>
    <n v="300000"/>
    <n v="240000"/>
    <n v="60000"/>
    <n v="1384"/>
  </r>
  <r>
    <s v="2025-02-11"/>
    <x v="2"/>
    <x v="0"/>
    <x v="1"/>
    <s v="Corporate"/>
    <x v="1"/>
    <x v="7"/>
    <x v="2"/>
    <n v="420000"/>
    <n v="8"/>
    <x v="2"/>
    <n v="336000"/>
    <n v="3360000"/>
    <n v="2688000"/>
    <n v="672000"/>
    <n v="1385"/>
  </r>
  <r>
    <s v="2025-04-29"/>
    <x v="1"/>
    <x v="1"/>
    <x v="0"/>
    <s v="Corporate"/>
    <x v="1"/>
    <x v="7"/>
    <x v="2"/>
    <n v="420000"/>
    <n v="1"/>
    <x v="5"/>
    <n v="336000"/>
    <n v="420000"/>
    <n v="336000"/>
    <n v="84000"/>
    <n v="1386"/>
  </r>
  <r>
    <s v="2025-03-10"/>
    <x v="3"/>
    <x v="0"/>
    <x v="3"/>
    <s v="Retail"/>
    <x v="0"/>
    <x v="3"/>
    <x v="2"/>
    <n v="300000"/>
    <n v="5"/>
    <x v="3"/>
    <n v="240000"/>
    <n v="1500000"/>
    <n v="1200000"/>
    <n v="300000"/>
    <n v="1387"/>
  </r>
  <r>
    <s v="2025-02-24"/>
    <x v="2"/>
    <x v="1"/>
    <x v="0"/>
    <s v="Retail"/>
    <x v="1"/>
    <x v="4"/>
    <x v="1"/>
    <n v="180000"/>
    <n v="7"/>
    <x v="4"/>
    <n v="144000"/>
    <n v="1260000"/>
    <n v="1008000"/>
    <n v="252000"/>
    <n v="1388"/>
  </r>
  <r>
    <s v="2025-01-17"/>
    <x v="0"/>
    <x v="0"/>
    <x v="3"/>
    <s v="Retail"/>
    <x v="1"/>
    <x v="6"/>
    <x v="2"/>
    <n v="150000"/>
    <n v="10"/>
    <x v="1"/>
    <n v="120000"/>
    <n v="1500000"/>
    <n v="1200000"/>
    <n v="300000"/>
    <n v="1389"/>
  </r>
  <r>
    <s v="2025-02-06"/>
    <x v="2"/>
    <x v="0"/>
    <x v="3"/>
    <s v="Corporate"/>
    <x v="0"/>
    <x v="3"/>
    <x v="2"/>
    <n v="300000"/>
    <n v="7"/>
    <x v="3"/>
    <n v="240000"/>
    <n v="2100000"/>
    <n v="1680000"/>
    <n v="420000"/>
    <n v="1390"/>
  </r>
  <r>
    <s v="2025-02-09"/>
    <x v="2"/>
    <x v="3"/>
    <x v="1"/>
    <s v="Retail"/>
    <x v="1"/>
    <x v="9"/>
    <x v="1"/>
    <n v="220000"/>
    <n v="2"/>
    <x v="0"/>
    <n v="176000"/>
    <n v="440000"/>
    <n v="352000"/>
    <n v="88000"/>
    <n v="1391"/>
  </r>
  <r>
    <s v="2025-04-25"/>
    <x v="1"/>
    <x v="1"/>
    <x v="0"/>
    <s v="Retail"/>
    <x v="1"/>
    <x v="0"/>
    <x v="0"/>
    <n v="85000"/>
    <n v="8"/>
    <x v="2"/>
    <n v="68000"/>
    <n v="680000"/>
    <n v="544000"/>
    <n v="136000"/>
    <n v="1392"/>
  </r>
  <r>
    <s v="2025-04-08"/>
    <x v="1"/>
    <x v="0"/>
    <x v="1"/>
    <s v="Retail"/>
    <x v="0"/>
    <x v="9"/>
    <x v="1"/>
    <n v="220000"/>
    <n v="7"/>
    <x v="5"/>
    <n v="176000"/>
    <n v="1540000"/>
    <n v="1232000"/>
    <n v="308000"/>
    <n v="1393"/>
  </r>
  <r>
    <s v="2025-04-22"/>
    <x v="1"/>
    <x v="3"/>
    <x v="3"/>
    <s v="Retail"/>
    <x v="1"/>
    <x v="9"/>
    <x v="1"/>
    <n v="220000"/>
    <n v="6"/>
    <x v="3"/>
    <n v="176000"/>
    <n v="1320000"/>
    <n v="1056000"/>
    <n v="264000"/>
    <n v="1394"/>
  </r>
  <r>
    <s v="2025-03-21"/>
    <x v="3"/>
    <x v="3"/>
    <x v="0"/>
    <s v="Retail"/>
    <x v="1"/>
    <x v="4"/>
    <x v="1"/>
    <n v="180000"/>
    <n v="3"/>
    <x v="2"/>
    <n v="144000"/>
    <n v="540000"/>
    <n v="432000"/>
    <n v="108000"/>
    <n v="1395"/>
  </r>
  <r>
    <s v="2025-01-26"/>
    <x v="0"/>
    <x v="2"/>
    <x v="1"/>
    <s v="Retail"/>
    <x v="0"/>
    <x v="8"/>
    <x v="2"/>
    <n v="250000"/>
    <n v="6"/>
    <x v="3"/>
    <n v="200000"/>
    <n v="1500000"/>
    <n v="1200000"/>
    <n v="300000"/>
    <n v="1396"/>
  </r>
  <r>
    <s v="2025-03-28"/>
    <x v="3"/>
    <x v="0"/>
    <x v="2"/>
    <s v="Corporate"/>
    <x v="1"/>
    <x v="6"/>
    <x v="2"/>
    <n v="150000"/>
    <n v="7"/>
    <x v="4"/>
    <n v="120000"/>
    <n v="1050000"/>
    <n v="840000"/>
    <n v="210000"/>
    <n v="1397"/>
  </r>
  <r>
    <s v="2025-04-28"/>
    <x v="1"/>
    <x v="2"/>
    <x v="0"/>
    <s v="Retail"/>
    <x v="0"/>
    <x v="3"/>
    <x v="2"/>
    <n v="300000"/>
    <n v="9"/>
    <x v="0"/>
    <n v="240000"/>
    <n v="2700000"/>
    <n v="2160000"/>
    <n v="540000"/>
    <n v="1398"/>
  </r>
  <r>
    <s v="2025-04-24"/>
    <x v="1"/>
    <x v="0"/>
    <x v="2"/>
    <s v="Retail"/>
    <x v="0"/>
    <x v="7"/>
    <x v="2"/>
    <n v="420000"/>
    <n v="5"/>
    <x v="2"/>
    <n v="336000"/>
    <n v="2100000"/>
    <n v="1680000"/>
    <n v="420000"/>
    <n v="1399"/>
  </r>
  <r>
    <s v="2025-03-27"/>
    <x v="3"/>
    <x v="2"/>
    <x v="0"/>
    <s v="Retail"/>
    <x v="1"/>
    <x v="3"/>
    <x v="2"/>
    <n v="300000"/>
    <n v="3"/>
    <x v="2"/>
    <n v="240000"/>
    <n v="900000"/>
    <n v="720000"/>
    <n v="180000"/>
    <n v="1400"/>
  </r>
  <r>
    <s v="2025-02-06"/>
    <x v="2"/>
    <x v="1"/>
    <x v="0"/>
    <s v="Corporate"/>
    <x v="1"/>
    <x v="8"/>
    <x v="2"/>
    <n v="250000"/>
    <n v="5"/>
    <x v="0"/>
    <n v="200000"/>
    <n v="1250000"/>
    <n v="1000000"/>
    <n v="250000"/>
    <n v="1401"/>
  </r>
  <r>
    <s v="2025-04-27"/>
    <x v="1"/>
    <x v="0"/>
    <x v="3"/>
    <s v="Corporate"/>
    <x v="1"/>
    <x v="6"/>
    <x v="2"/>
    <n v="150000"/>
    <n v="2"/>
    <x v="3"/>
    <n v="120000"/>
    <n v="300000"/>
    <n v="240000"/>
    <n v="60000"/>
    <n v="1402"/>
  </r>
  <r>
    <s v="2025-04-22"/>
    <x v="1"/>
    <x v="1"/>
    <x v="1"/>
    <s v="Corporate"/>
    <x v="0"/>
    <x v="9"/>
    <x v="1"/>
    <n v="220000"/>
    <n v="3"/>
    <x v="5"/>
    <n v="176000"/>
    <n v="660000"/>
    <n v="528000"/>
    <n v="132000"/>
    <n v="1403"/>
  </r>
  <r>
    <s v="2025-03-05"/>
    <x v="3"/>
    <x v="1"/>
    <x v="1"/>
    <s v="Corporate"/>
    <x v="1"/>
    <x v="3"/>
    <x v="2"/>
    <n v="300000"/>
    <n v="6"/>
    <x v="1"/>
    <n v="240000"/>
    <n v="1800000"/>
    <n v="1440000"/>
    <n v="360000"/>
    <n v="1404"/>
  </r>
  <r>
    <s v="2025-04-08"/>
    <x v="1"/>
    <x v="2"/>
    <x v="1"/>
    <s v="Retail"/>
    <x v="1"/>
    <x v="4"/>
    <x v="1"/>
    <n v="180000"/>
    <n v="2"/>
    <x v="5"/>
    <n v="144000"/>
    <n v="360000"/>
    <n v="288000"/>
    <n v="72000"/>
    <n v="1405"/>
  </r>
  <r>
    <s v="2025-02-28"/>
    <x v="2"/>
    <x v="1"/>
    <x v="3"/>
    <s v="Retail"/>
    <x v="0"/>
    <x v="6"/>
    <x v="2"/>
    <n v="150000"/>
    <n v="5"/>
    <x v="4"/>
    <n v="120000"/>
    <n v="750000"/>
    <n v="600000"/>
    <n v="150000"/>
    <n v="1406"/>
  </r>
  <r>
    <s v="2025-04-18"/>
    <x v="1"/>
    <x v="1"/>
    <x v="2"/>
    <s v="Corporate"/>
    <x v="1"/>
    <x v="0"/>
    <x v="0"/>
    <n v="85000"/>
    <n v="1"/>
    <x v="4"/>
    <n v="68000"/>
    <n v="85000"/>
    <n v="68000"/>
    <n v="17000"/>
    <n v="1407"/>
  </r>
  <r>
    <s v="2025-01-11"/>
    <x v="0"/>
    <x v="0"/>
    <x v="0"/>
    <s v="Retail"/>
    <x v="0"/>
    <x v="1"/>
    <x v="1"/>
    <n v="30000"/>
    <n v="1"/>
    <x v="3"/>
    <n v="24000"/>
    <n v="30000"/>
    <n v="24000"/>
    <n v="6000"/>
    <n v="1408"/>
  </r>
  <r>
    <s v="2025-02-22"/>
    <x v="2"/>
    <x v="1"/>
    <x v="1"/>
    <s v="Retail"/>
    <x v="1"/>
    <x v="0"/>
    <x v="0"/>
    <n v="85000"/>
    <n v="1"/>
    <x v="4"/>
    <n v="68000"/>
    <n v="85000"/>
    <n v="68000"/>
    <n v="17000"/>
    <n v="1409"/>
  </r>
  <r>
    <s v="2025-03-19"/>
    <x v="3"/>
    <x v="2"/>
    <x v="1"/>
    <s v="Retail"/>
    <x v="1"/>
    <x v="1"/>
    <x v="1"/>
    <n v="30000"/>
    <n v="2"/>
    <x v="4"/>
    <n v="24000"/>
    <n v="60000"/>
    <n v="48000"/>
    <n v="12000"/>
    <n v="1410"/>
  </r>
  <r>
    <s v="2025-03-11"/>
    <x v="3"/>
    <x v="1"/>
    <x v="0"/>
    <s v="Retail"/>
    <x v="1"/>
    <x v="7"/>
    <x v="2"/>
    <n v="420000"/>
    <n v="3"/>
    <x v="0"/>
    <n v="336000"/>
    <n v="1260000"/>
    <n v="1008000"/>
    <n v="252000"/>
    <n v="1411"/>
  </r>
  <r>
    <s v="2025-01-19"/>
    <x v="0"/>
    <x v="0"/>
    <x v="1"/>
    <s v="Retail"/>
    <x v="1"/>
    <x v="1"/>
    <x v="1"/>
    <n v="30000"/>
    <n v="2"/>
    <x v="3"/>
    <n v="24000"/>
    <n v="60000"/>
    <n v="48000"/>
    <n v="12000"/>
    <n v="1412"/>
  </r>
  <r>
    <s v="2025-01-16"/>
    <x v="0"/>
    <x v="2"/>
    <x v="3"/>
    <s v="Retail"/>
    <x v="1"/>
    <x v="3"/>
    <x v="2"/>
    <n v="300000"/>
    <n v="9"/>
    <x v="2"/>
    <n v="240000"/>
    <n v="2700000"/>
    <n v="2160000"/>
    <n v="540000"/>
    <n v="1413"/>
  </r>
  <r>
    <s v="2025-01-28"/>
    <x v="0"/>
    <x v="1"/>
    <x v="2"/>
    <s v="Corporate"/>
    <x v="1"/>
    <x v="6"/>
    <x v="2"/>
    <n v="150000"/>
    <n v="4"/>
    <x v="3"/>
    <n v="120000"/>
    <n v="600000"/>
    <n v="480000"/>
    <n v="120000"/>
    <n v="1414"/>
  </r>
  <r>
    <s v="2025-04-21"/>
    <x v="1"/>
    <x v="1"/>
    <x v="0"/>
    <s v="Retail"/>
    <x v="1"/>
    <x v="9"/>
    <x v="1"/>
    <n v="220000"/>
    <n v="2"/>
    <x v="5"/>
    <n v="176000"/>
    <n v="440000"/>
    <n v="352000"/>
    <n v="88000"/>
    <n v="1415"/>
  </r>
  <r>
    <s v="2025-04-12"/>
    <x v="1"/>
    <x v="2"/>
    <x v="1"/>
    <s v="Retail"/>
    <x v="1"/>
    <x v="0"/>
    <x v="0"/>
    <n v="85000"/>
    <n v="6"/>
    <x v="0"/>
    <n v="68000"/>
    <n v="510000"/>
    <n v="408000"/>
    <n v="102000"/>
    <n v="1416"/>
  </r>
  <r>
    <s v="2025-02-25"/>
    <x v="2"/>
    <x v="0"/>
    <x v="1"/>
    <s v="Retail"/>
    <x v="1"/>
    <x v="3"/>
    <x v="2"/>
    <n v="300000"/>
    <n v="8"/>
    <x v="0"/>
    <n v="240000"/>
    <n v="2400000"/>
    <n v="1920000"/>
    <n v="480000"/>
    <n v="1417"/>
  </r>
  <r>
    <s v="2025-04-26"/>
    <x v="1"/>
    <x v="2"/>
    <x v="2"/>
    <s v="Corporate"/>
    <x v="1"/>
    <x v="7"/>
    <x v="2"/>
    <n v="420000"/>
    <n v="2"/>
    <x v="3"/>
    <n v="336000"/>
    <n v="840000"/>
    <n v="672000"/>
    <n v="168000"/>
    <n v="1418"/>
  </r>
  <r>
    <s v="2025-01-25"/>
    <x v="0"/>
    <x v="1"/>
    <x v="2"/>
    <s v="Retail"/>
    <x v="1"/>
    <x v="9"/>
    <x v="1"/>
    <n v="220000"/>
    <n v="3"/>
    <x v="1"/>
    <n v="176000"/>
    <n v="660000"/>
    <n v="528000"/>
    <n v="132000"/>
    <n v="1419"/>
  </r>
  <r>
    <s v="2025-04-22"/>
    <x v="1"/>
    <x v="1"/>
    <x v="1"/>
    <s v="Retail"/>
    <x v="1"/>
    <x v="7"/>
    <x v="2"/>
    <n v="420000"/>
    <n v="10"/>
    <x v="0"/>
    <n v="336000"/>
    <n v="4200000"/>
    <n v="3360000"/>
    <n v="840000"/>
    <n v="1420"/>
  </r>
  <r>
    <s v="2025-04-01"/>
    <x v="1"/>
    <x v="3"/>
    <x v="1"/>
    <s v="Retail"/>
    <x v="1"/>
    <x v="3"/>
    <x v="2"/>
    <n v="300000"/>
    <n v="7"/>
    <x v="1"/>
    <n v="240000"/>
    <n v="2100000"/>
    <n v="1680000"/>
    <n v="420000"/>
    <n v="1421"/>
  </r>
  <r>
    <s v="2025-04-01"/>
    <x v="1"/>
    <x v="1"/>
    <x v="2"/>
    <s v="Retail"/>
    <x v="1"/>
    <x v="1"/>
    <x v="1"/>
    <n v="30000"/>
    <n v="1"/>
    <x v="2"/>
    <n v="24000"/>
    <n v="30000"/>
    <n v="24000"/>
    <n v="6000"/>
    <n v="1422"/>
  </r>
  <r>
    <s v="2025-02-19"/>
    <x v="2"/>
    <x v="1"/>
    <x v="1"/>
    <s v="Corporate"/>
    <x v="1"/>
    <x v="1"/>
    <x v="1"/>
    <n v="30000"/>
    <n v="7"/>
    <x v="0"/>
    <n v="24000"/>
    <n v="210000"/>
    <n v="168000"/>
    <n v="42000"/>
    <n v="1423"/>
  </r>
  <r>
    <s v="2025-01-13"/>
    <x v="0"/>
    <x v="3"/>
    <x v="3"/>
    <s v="Corporate"/>
    <x v="1"/>
    <x v="0"/>
    <x v="0"/>
    <n v="85000"/>
    <n v="8"/>
    <x v="3"/>
    <n v="68000"/>
    <n v="680000"/>
    <n v="544000"/>
    <n v="136000"/>
    <n v="1424"/>
  </r>
  <r>
    <s v="2025-03-26"/>
    <x v="3"/>
    <x v="1"/>
    <x v="1"/>
    <s v="Retail"/>
    <x v="1"/>
    <x v="8"/>
    <x v="2"/>
    <n v="250000"/>
    <n v="10"/>
    <x v="1"/>
    <n v="200000"/>
    <n v="2500000"/>
    <n v="2000000"/>
    <n v="500000"/>
    <n v="1425"/>
  </r>
  <r>
    <s v="2025-05-01"/>
    <x v="4"/>
    <x v="0"/>
    <x v="1"/>
    <s v="Retail"/>
    <x v="1"/>
    <x v="0"/>
    <x v="0"/>
    <n v="85000"/>
    <n v="4"/>
    <x v="5"/>
    <n v="68000"/>
    <n v="340000"/>
    <n v="272000"/>
    <n v="68000"/>
    <n v="1426"/>
  </r>
  <r>
    <s v="2025-04-30"/>
    <x v="1"/>
    <x v="0"/>
    <x v="3"/>
    <s v="Retail"/>
    <x v="1"/>
    <x v="8"/>
    <x v="2"/>
    <n v="250000"/>
    <n v="6"/>
    <x v="5"/>
    <n v="200000"/>
    <n v="1500000"/>
    <n v="1200000"/>
    <n v="300000"/>
    <n v="1427"/>
  </r>
  <r>
    <s v="2025-04-21"/>
    <x v="1"/>
    <x v="1"/>
    <x v="3"/>
    <s v="Corporate"/>
    <x v="1"/>
    <x v="5"/>
    <x v="0"/>
    <n v="320000"/>
    <n v="7"/>
    <x v="4"/>
    <n v="256000"/>
    <n v="2240000"/>
    <n v="1792000"/>
    <n v="448000"/>
    <n v="1428"/>
  </r>
  <r>
    <s v="2025-03-09"/>
    <x v="3"/>
    <x v="1"/>
    <x v="3"/>
    <s v="Corporate"/>
    <x v="1"/>
    <x v="4"/>
    <x v="1"/>
    <n v="180000"/>
    <n v="2"/>
    <x v="0"/>
    <n v="144000"/>
    <n v="360000"/>
    <n v="288000"/>
    <n v="72000"/>
    <n v="1429"/>
  </r>
  <r>
    <s v="2025-04-27"/>
    <x v="1"/>
    <x v="3"/>
    <x v="3"/>
    <s v="Corporate"/>
    <x v="1"/>
    <x v="9"/>
    <x v="1"/>
    <n v="220000"/>
    <n v="2"/>
    <x v="5"/>
    <n v="176000"/>
    <n v="440000"/>
    <n v="352000"/>
    <n v="88000"/>
    <n v="1430"/>
  </r>
  <r>
    <s v="2025-01-29"/>
    <x v="0"/>
    <x v="3"/>
    <x v="2"/>
    <s v="Corporate"/>
    <x v="1"/>
    <x v="4"/>
    <x v="1"/>
    <n v="180000"/>
    <n v="6"/>
    <x v="1"/>
    <n v="144000"/>
    <n v="1080000"/>
    <n v="864000"/>
    <n v="216000"/>
    <n v="1431"/>
  </r>
  <r>
    <s v="2025-01-23"/>
    <x v="0"/>
    <x v="0"/>
    <x v="3"/>
    <s v="Retail"/>
    <x v="1"/>
    <x v="4"/>
    <x v="1"/>
    <n v="180000"/>
    <n v="3"/>
    <x v="1"/>
    <n v="144000"/>
    <n v="540000"/>
    <n v="432000"/>
    <n v="108000"/>
    <n v="1432"/>
  </r>
  <r>
    <s v="2025-04-13"/>
    <x v="1"/>
    <x v="0"/>
    <x v="2"/>
    <s v="Retail"/>
    <x v="1"/>
    <x v="2"/>
    <x v="1"/>
    <n v="60000"/>
    <n v="2"/>
    <x v="1"/>
    <n v="48000"/>
    <n v="120000"/>
    <n v="96000"/>
    <n v="24000"/>
    <n v="1433"/>
  </r>
  <r>
    <s v="2025-04-01"/>
    <x v="1"/>
    <x v="3"/>
    <x v="3"/>
    <s v="Corporate"/>
    <x v="1"/>
    <x v="3"/>
    <x v="2"/>
    <n v="300000"/>
    <n v="1"/>
    <x v="4"/>
    <n v="240000"/>
    <n v="300000"/>
    <n v="240000"/>
    <n v="60000"/>
    <n v="1434"/>
  </r>
  <r>
    <s v="2025-02-21"/>
    <x v="2"/>
    <x v="2"/>
    <x v="2"/>
    <s v="Corporate"/>
    <x v="1"/>
    <x v="7"/>
    <x v="2"/>
    <n v="420000"/>
    <n v="2"/>
    <x v="1"/>
    <n v="336000"/>
    <n v="840000"/>
    <n v="672000"/>
    <n v="168000"/>
    <n v="1435"/>
  </r>
  <r>
    <s v="2025-04-11"/>
    <x v="1"/>
    <x v="0"/>
    <x v="1"/>
    <s v="Retail"/>
    <x v="1"/>
    <x v="8"/>
    <x v="2"/>
    <n v="250000"/>
    <n v="9"/>
    <x v="1"/>
    <n v="200000"/>
    <n v="2250000"/>
    <n v="1800000"/>
    <n v="450000"/>
    <n v="1436"/>
  </r>
  <r>
    <s v="2025-04-04"/>
    <x v="1"/>
    <x v="2"/>
    <x v="0"/>
    <s v="Corporate"/>
    <x v="1"/>
    <x v="4"/>
    <x v="1"/>
    <n v="180000"/>
    <n v="5"/>
    <x v="4"/>
    <n v="144000"/>
    <n v="900000"/>
    <n v="720000"/>
    <n v="180000"/>
    <n v="1437"/>
  </r>
  <r>
    <s v="2025-02-07"/>
    <x v="2"/>
    <x v="2"/>
    <x v="1"/>
    <s v="Corporate"/>
    <x v="1"/>
    <x v="6"/>
    <x v="2"/>
    <n v="150000"/>
    <n v="5"/>
    <x v="3"/>
    <n v="120000"/>
    <n v="750000"/>
    <n v="600000"/>
    <n v="150000"/>
    <n v="1438"/>
  </r>
  <r>
    <s v="2025-01-29"/>
    <x v="0"/>
    <x v="0"/>
    <x v="3"/>
    <s v="Retail"/>
    <x v="1"/>
    <x v="5"/>
    <x v="0"/>
    <n v="320000"/>
    <n v="4"/>
    <x v="5"/>
    <n v="256000"/>
    <n v="1280000"/>
    <n v="1024000"/>
    <n v="256000"/>
    <n v="1439"/>
  </r>
  <r>
    <s v="2025-01-09"/>
    <x v="0"/>
    <x v="2"/>
    <x v="2"/>
    <s v="Retail"/>
    <x v="1"/>
    <x v="4"/>
    <x v="1"/>
    <n v="180000"/>
    <n v="10"/>
    <x v="3"/>
    <n v="144000"/>
    <n v="1800000"/>
    <n v="1440000"/>
    <n v="360000"/>
    <n v="1440"/>
  </r>
  <r>
    <s v="2025-01-21"/>
    <x v="0"/>
    <x v="3"/>
    <x v="0"/>
    <s v="Corporate"/>
    <x v="1"/>
    <x v="7"/>
    <x v="2"/>
    <n v="420000"/>
    <n v="2"/>
    <x v="4"/>
    <n v="336000"/>
    <n v="840000"/>
    <n v="672000"/>
    <n v="168000"/>
    <n v="1441"/>
  </r>
  <r>
    <s v="2025-02-18"/>
    <x v="2"/>
    <x v="2"/>
    <x v="0"/>
    <s v="Corporate"/>
    <x v="1"/>
    <x v="6"/>
    <x v="2"/>
    <n v="150000"/>
    <n v="6"/>
    <x v="4"/>
    <n v="120000"/>
    <n v="900000"/>
    <n v="720000"/>
    <n v="180000"/>
    <n v="1442"/>
  </r>
  <r>
    <s v="2025-04-21"/>
    <x v="1"/>
    <x v="0"/>
    <x v="1"/>
    <s v="Corporate"/>
    <x v="1"/>
    <x v="6"/>
    <x v="2"/>
    <n v="150000"/>
    <n v="4"/>
    <x v="1"/>
    <n v="120000"/>
    <n v="600000"/>
    <n v="480000"/>
    <n v="120000"/>
    <n v="1443"/>
  </r>
  <r>
    <s v="2025-03-02"/>
    <x v="3"/>
    <x v="1"/>
    <x v="0"/>
    <s v="Corporate"/>
    <x v="1"/>
    <x v="8"/>
    <x v="2"/>
    <n v="250000"/>
    <n v="9"/>
    <x v="4"/>
    <n v="200000"/>
    <n v="2250000"/>
    <n v="1800000"/>
    <n v="450000"/>
    <n v="1444"/>
  </r>
  <r>
    <s v="2025-01-10"/>
    <x v="0"/>
    <x v="2"/>
    <x v="1"/>
    <s v="Corporate"/>
    <x v="1"/>
    <x v="9"/>
    <x v="1"/>
    <n v="220000"/>
    <n v="8"/>
    <x v="5"/>
    <n v="176000"/>
    <n v="1760000"/>
    <n v="1408000"/>
    <n v="352000"/>
    <n v="1445"/>
  </r>
  <r>
    <s v="2025-04-09"/>
    <x v="1"/>
    <x v="3"/>
    <x v="2"/>
    <s v="Retail"/>
    <x v="1"/>
    <x v="6"/>
    <x v="2"/>
    <n v="150000"/>
    <n v="2"/>
    <x v="2"/>
    <n v="120000"/>
    <n v="300000"/>
    <n v="240000"/>
    <n v="60000"/>
    <n v="1446"/>
  </r>
  <r>
    <s v="2025-03-08"/>
    <x v="3"/>
    <x v="0"/>
    <x v="1"/>
    <s v="Corporate"/>
    <x v="1"/>
    <x v="9"/>
    <x v="1"/>
    <n v="220000"/>
    <n v="4"/>
    <x v="2"/>
    <n v="176000"/>
    <n v="880000"/>
    <n v="704000"/>
    <n v="176000"/>
    <n v="1447"/>
  </r>
  <r>
    <s v="2025-04-19"/>
    <x v="1"/>
    <x v="2"/>
    <x v="0"/>
    <s v="Corporate"/>
    <x v="1"/>
    <x v="1"/>
    <x v="1"/>
    <n v="30000"/>
    <n v="6"/>
    <x v="4"/>
    <n v="24000"/>
    <n v="180000"/>
    <n v="144000"/>
    <n v="36000"/>
    <n v="1448"/>
  </r>
  <r>
    <s v="2025-02-07"/>
    <x v="2"/>
    <x v="1"/>
    <x v="3"/>
    <s v="Retail"/>
    <x v="1"/>
    <x v="0"/>
    <x v="0"/>
    <n v="85000"/>
    <n v="3"/>
    <x v="2"/>
    <n v="68000"/>
    <n v="255000"/>
    <n v="204000"/>
    <n v="51000"/>
    <n v="1449"/>
  </r>
  <r>
    <s v="2025-03-29"/>
    <x v="3"/>
    <x v="1"/>
    <x v="1"/>
    <s v="Retail"/>
    <x v="1"/>
    <x v="0"/>
    <x v="0"/>
    <n v="85000"/>
    <n v="2"/>
    <x v="0"/>
    <n v="68000"/>
    <n v="170000"/>
    <n v="136000"/>
    <n v="34000"/>
    <n v="1450"/>
  </r>
  <r>
    <s v="2025-02-03"/>
    <x v="2"/>
    <x v="3"/>
    <x v="1"/>
    <s v="Retail"/>
    <x v="1"/>
    <x v="8"/>
    <x v="2"/>
    <n v="250000"/>
    <n v="10"/>
    <x v="2"/>
    <n v="200000"/>
    <n v="2500000"/>
    <n v="2000000"/>
    <n v="500000"/>
    <n v="1451"/>
  </r>
  <r>
    <s v="2025-04-18"/>
    <x v="1"/>
    <x v="0"/>
    <x v="1"/>
    <s v="Corporate"/>
    <x v="1"/>
    <x v="9"/>
    <x v="1"/>
    <n v="220000"/>
    <n v="2"/>
    <x v="4"/>
    <n v="176000"/>
    <n v="440000"/>
    <n v="352000"/>
    <n v="88000"/>
    <n v="1452"/>
  </r>
  <r>
    <s v="2025-03-11"/>
    <x v="3"/>
    <x v="0"/>
    <x v="0"/>
    <s v="Corporate"/>
    <x v="1"/>
    <x v="3"/>
    <x v="2"/>
    <n v="300000"/>
    <n v="9"/>
    <x v="4"/>
    <n v="240000"/>
    <n v="2700000"/>
    <n v="2160000"/>
    <n v="540000"/>
    <n v="1453"/>
  </r>
  <r>
    <s v="2025-03-06"/>
    <x v="3"/>
    <x v="1"/>
    <x v="3"/>
    <s v="Retail"/>
    <x v="1"/>
    <x v="9"/>
    <x v="1"/>
    <n v="220000"/>
    <n v="3"/>
    <x v="1"/>
    <n v="176000"/>
    <n v="660000"/>
    <n v="528000"/>
    <n v="132000"/>
    <n v="1454"/>
  </r>
  <r>
    <s v="2025-01-20"/>
    <x v="0"/>
    <x v="1"/>
    <x v="3"/>
    <s v="Corporate"/>
    <x v="1"/>
    <x v="8"/>
    <x v="2"/>
    <n v="250000"/>
    <n v="8"/>
    <x v="2"/>
    <n v="200000"/>
    <n v="2000000"/>
    <n v="1600000"/>
    <n v="400000"/>
    <n v="1455"/>
  </r>
  <r>
    <s v="2025-01-09"/>
    <x v="0"/>
    <x v="2"/>
    <x v="1"/>
    <s v="Corporate"/>
    <x v="1"/>
    <x v="8"/>
    <x v="2"/>
    <n v="250000"/>
    <n v="5"/>
    <x v="5"/>
    <n v="200000"/>
    <n v="1250000"/>
    <n v="1000000"/>
    <n v="250000"/>
    <n v="1456"/>
  </r>
  <r>
    <s v="2025-02-25"/>
    <x v="2"/>
    <x v="3"/>
    <x v="3"/>
    <s v="Retail"/>
    <x v="1"/>
    <x v="7"/>
    <x v="2"/>
    <n v="420000"/>
    <n v="5"/>
    <x v="1"/>
    <n v="336000"/>
    <n v="2100000"/>
    <n v="1680000"/>
    <n v="420000"/>
    <n v="1457"/>
  </r>
  <r>
    <s v="2025-02-13"/>
    <x v="2"/>
    <x v="2"/>
    <x v="1"/>
    <s v="Retail"/>
    <x v="1"/>
    <x v="2"/>
    <x v="1"/>
    <n v="60000"/>
    <n v="7"/>
    <x v="5"/>
    <n v="48000"/>
    <n v="420000"/>
    <n v="336000"/>
    <n v="84000"/>
    <n v="1458"/>
  </r>
  <r>
    <s v="2025-04-19"/>
    <x v="1"/>
    <x v="1"/>
    <x v="2"/>
    <s v="Retail"/>
    <x v="1"/>
    <x v="1"/>
    <x v="1"/>
    <n v="30000"/>
    <n v="8"/>
    <x v="0"/>
    <n v="24000"/>
    <n v="240000"/>
    <n v="192000"/>
    <n v="48000"/>
    <n v="1459"/>
  </r>
  <r>
    <s v="2025-03-03"/>
    <x v="3"/>
    <x v="3"/>
    <x v="0"/>
    <s v="Corporate"/>
    <x v="1"/>
    <x v="8"/>
    <x v="2"/>
    <n v="250000"/>
    <n v="2"/>
    <x v="2"/>
    <n v="200000"/>
    <n v="500000"/>
    <n v="400000"/>
    <n v="100000"/>
    <n v="1460"/>
  </r>
  <r>
    <s v="2025-02-26"/>
    <x v="2"/>
    <x v="1"/>
    <x v="0"/>
    <s v="Retail"/>
    <x v="1"/>
    <x v="2"/>
    <x v="1"/>
    <n v="60000"/>
    <n v="8"/>
    <x v="5"/>
    <n v="48000"/>
    <n v="480000"/>
    <n v="384000"/>
    <n v="96000"/>
    <n v="1461"/>
  </r>
  <r>
    <s v="2025-04-08"/>
    <x v="1"/>
    <x v="0"/>
    <x v="0"/>
    <s v="Retail"/>
    <x v="1"/>
    <x v="1"/>
    <x v="1"/>
    <n v="30000"/>
    <n v="7"/>
    <x v="4"/>
    <n v="24000"/>
    <n v="210000"/>
    <n v="168000"/>
    <n v="42000"/>
    <n v="1462"/>
  </r>
  <r>
    <s v="2025-02-11"/>
    <x v="2"/>
    <x v="2"/>
    <x v="1"/>
    <s v="Corporate"/>
    <x v="1"/>
    <x v="1"/>
    <x v="1"/>
    <n v="30000"/>
    <n v="3"/>
    <x v="0"/>
    <n v="24000"/>
    <n v="90000"/>
    <n v="72000"/>
    <n v="18000"/>
    <n v="1463"/>
  </r>
  <r>
    <s v="2025-04-03"/>
    <x v="1"/>
    <x v="2"/>
    <x v="2"/>
    <s v="Corporate"/>
    <x v="1"/>
    <x v="4"/>
    <x v="1"/>
    <n v="180000"/>
    <n v="5"/>
    <x v="4"/>
    <n v="144000"/>
    <n v="900000"/>
    <n v="720000"/>
    <n v="180000"/>
    <n v="1464"/>
  </r>
  <r>
    <s v="2025-03-01"/>
    <x v="3"/>
    <x v="1"/>
    <x v="3"/>
    <s v="Retail"/>
    <x v="1"/>
    <x v="8"/>
    <x v="2"/>
    <n v="250000"/>
    <n v="5"/>
    <x v="3"/>
    <n v="200000"/>
    <n v="1250000"/>
    <n v="1000000"/>
    <n v="250000"/>
    <n v="1465"/>
  </r>
  <r>
    <s v="2025-03-17"/>
    <x v="3"/>
    <x v="1"/>
    <x v="0"/>
    <s v="Retail"/>
    <x v="1"/>
    <x v="0"/>
    <x v="0"/>
    <n v="85000"/>
    <n v="3"/>
    <x v="4"/>
    <n v="68000"/>
    <n v="255000"/>
    <n v="204000"/>
    <n v="51000"/>
    <n v="1466"/>
  </r>
  <r>
    <s v="2025-04-07"/>
    <x v="1"/>
    <x v="3"/>
    <x v="0"/>
    <s v="Corporate"/>
    <x v="1"/>
    <x v="1"/>
    <x v="1"/>
    <n v="30000"/>
    <n v="1"/>
    <x v="1"/>
    <n v="24000"/>
    <n v="30000"/>
    <n v="24000"/>
    <n v="6000"/>
    <n v="1467"/>
  </r>
  <r>
    <s v="2025-03-27"/>
    <x v="3"/>
    <x v="2"/>
    <x v="2"/>
    <s v="Corporate"/>
    <x v="1"/>
    <x v="3"/>
    <x v="2"/>
    <n v="300000"/>
    <n v="10"/>
    <x v="3"/>
    <n v="240000"/>
    <n v="3000000"/>
    <n v="2400000"/>
    <n v="600000"/>
    <n v="1468"/>
  </r>
  <r>
    <s v="2025-02-08"/>
    <x v="2"/>
    <x v="2"/>
    <x v="1"/>
    <s v="Corporate"/>
    <x v="1"/>
    <x v="7"/>
    <x v="2"/>
    <n v="420000"/>
    <n v="5"/>
    <x v="4"/>
    <n v="336000"/>
    <n v="2100000"/>
    <n v="1680000"/>
    <n v="420000"/>
    <n v="1469"/>
  </r>
  <r>
    <s v="2025-04-11"/>
    <x v="1"/>
    <x v="1"/>
    <x v="0"/>
    <s v="Corporate"/>
    <x v="1"/>
    <x v="8"/>
    <x v="2"/>
    <n v="250000"/>
    <n v="4"/>
    <x v="4"/>
    <n v="200000"/>
    <n v="1000000"/>
    <n v="800000"/>
    <n v="200000"/>
    <n v="1470"/>
  </r>
  <r>
    <s v="2025-03-16"/>
    <x v="3"/>
    <x v="2"/>
    <x v="2"/>
    <s v="Retail"/>
    <x v="1"/>
    <x v="9"/>
    <x v="1"/>
    <n v="220000"/>
    <n v="3"/>
    <x v="0"/>
    <n v="176000"/>
    <n v="660000"/>
    <n v="528000"/>
    <n v="132000"/>
    <n v="1471"/>
  </r>
  <r>
    <s v="2025-03-07"/>
    <x v="3"/>
    <x v="3"/>
    <x v="3"/>
    <s v="Retail"/>
    <x v="1"/>
    <x v="5"/>
    <x v="0"/>
    <n v="320000"/>
    <n v="2"/>
    <x v="2"/>
    <n v="256000"/>
    <n v="640000"/>
    <n v="512000"/>
    <n v="128000"/>
    <n v="1472"/>
  </r>
  <r>
    <s v="2025-04-04"/>
    <x v="1"/>
    <x v="0"/>
    <x v="3"/>
    <s v="Corporate"/>
    <x v="1"/>
    <x v="5"/>
    <x v="0"/>
    <n v="320000"/>
    <n v="9"/>
    <x v="5"/>
    <n v="256000"/>
    <n v="2880000"/>
    <n v="2304000"/>
    <n v="576000"/>
    <n v="1473"/>
  </r>
  <r>
    <s v="2025-02-27"/>
    <x v="2"/>
    <x v="3"/>
    <x v="1"/>
    <s v="Retail"/>
    <x v="1"/>
    <x v="9"/>
    <x v="1"/>
    <n v="220000"/>
    <n v="10"/>
    <x v="1"/>
    <n v="176000"/>
    <n v="2200000"/>
    <n v="1760000"/>
    <n v="440000"/>
    <n v="1474"/>
  </r>
  <r>
    <s v="2025-03-02"/>
    <x v="3"/>
    <x v="2"/>
    <x v="0"/>
    <s v="Retail"/>
    <x v="1"/>
    <x v="0"/>
    <x v="0"/>
    <n v="85000"/>
    <n v="1"/>
    <x v="2"/>
    <n v="68000"/>
    <n v="85000"/>
    <n v="68000"/>
    <n v="17000"/>
    <n v="1475"/>
  </r>
  <r>
    <s v="2025-01-17"/>
    <x v="0"/>
    <x v="2"/>
    <x v="3"/>
    <s v="Retail"/>
    <x v="0"/>
    <x v="3"/>
    <x v="2"/>
    <n v="300000"/>
    <n v="4"/>
    <x v="2"/>
    <n v="240000"/>
    <n v="1200000"/>
    <n v="960000"/>
    <n v="240000"/>
    <n v="1476"/>
  </r>
  <r>
    <s v="2025-02-27"/>
    <x v="2"/>
    <x v="2"/>
    <x v="3"/>
    <s v="Corporate"/>
    <x v="1"/>
    <x v="0"/>
    <x v="0"/>
    <n v="85000"/>
    <n v="5"/>
    <x v="1"/>
    <n v="68000"/>
    <n v="425000"/>
    <n v="340000"/>
    <n v="85000"/>
    <n v="1477"/>
  </r>
  <r>
    <s v="2025-04-20"/>
    <x v="1"/>
    <x v="2"/>
    <x v="3"/>
    <s v="Corporate"/>
    <x v="0"/>
    <x v="3"/>
    <x v="2"/>
    <n v="300000"/>
    <n v="5"/>
    <x v="5"/>
    <n v="240000"/>
    <n v="1500000"/>
    <n v="1200000"/>
    <n v="300000"/>
    <n v="1478"/>
  </r>
  <r>
    <s v="2025-01-09"/>
    <x v="0"/>
    <x v="2"/>
    <x v="3"/>
    <s v="Retail"/>
    <x v="1"/>
    <x v="3"/>
    <x v="2"/>
    <n v="300000"/>
    <n v="5"/>
    <x v="0"/>
    <n v="240000"/>
    <n v="1500000"/>
    <n v="1200000"/>
    <n v="300000"/>
    <n v="1479"/>
  </r>
  <r>
    <s v="2025-04-02"/>
    <x v="1"/>
    <x v="0"/>
    <x v="1"/>
    <s v="Corporate"/>
    <x v="1"/>
    <x v="1"/>
    <x v="1"/>
    <n v="30000"/>
    <n v="10"/>
    <x v="0"/>
    <n v="24000"/>
    <n v="300000"/>
    <n v="240000"/>
    <n v="60000"/>
    <n v="1480"/>
  </r>
  <r>
    <s v="2025-02-14"/>
    <x v="2"/>
    <x v="2"/>
    <x v="2"/>
    <s v="Retail"/>
    <x v="0"/>
    <x v="9"/>
    <x v="1"/>
    <n v="220000"/>
    <n v="6"/>
    <x v="3"/>
    <n v="176000"/>
    <n v="1320000"/>
    <n v="1056000"/>
    <n v="264000"/>
    <n v="1481"/>
  </r>
  <r>
    <s v="2025-04-07"/>
    <x v="1"/>
    <x v="0"/>
    <x v="3"/>
    <s v="Corporate"/>
    <x v="0"/>
    <x v="0"/>
    <x v="0"/>
    <n v="85000"/>
    <n v="9"/>
    <x v="1"/>
    <n v="68000"/>
    <n v="765000"/>
    <n v="612000"/>
    <n v="153000"/>
    <n v="1482"/>
  </r>
  <r>
    <s v="2025-01-21"/>
    <x v="0"/>
    <x v="1"/>
    <x v="3"/>
    <s v="Retail"/>
    <x v="0"/>
    <x v="7"/>
    <x v="2"/>
    <n v="420000"/>
    <n v="10"/>
    <x v="2"/>
    <n v="336000"/>
    <n v="4200000"/>
    <n v="3360000"/>
    <n v="840000"/>
    <n v="1483"/>
  </r>
  <r>
    <s v="2025-02-11"/>
    <x v="2"/>
    <x v="3"/>
    <x v="0"/>
    <s v="Corporate"/>
    <x v="1"/>
    <x v="7"/>
    <x v="2"/>
    <n v="420000"/>
    <n v="1"/>
    <x v="3"/>
    <n v="336000"/>
    <n v="420000"/>
    <n v="336000"/>
    <n v="84000"/>
    <n v="1484"/>
  </r>
  <r>
    <s v="2025-04-27"/>
    <x v="1"/>
    <x v="0"/>
    <x v="1"/>
    <s v="Retail"/>
    <x v="1"/>
    <x v="2"/>
    <x v="1"/>
    <n v="60000"/>
    <n v="6"/>
    <x v="2"/>
    <n v="48000"/>
    <n v="360000"/>
    <n v="288000"/>
    <n v="72000"/>
    <n v="1485"/>
  </r>
  <r>
    <s v="2025-03-14"/>
    <x v="3"/>
    <x v="2"/>
    <x v="3"/>
    <s v="Retail"/>
    <x v="1"/>
    <x v="6"/>
    <x v="2"/>
    <n v="150000"/>
    <n v="1"/>
    <x v="2"/>
    <n v="120000"/>
    <n v="150000"/>
    <n v="120000"/>
    <n v="30000"/>
    <n v="1486"/>
  </r>
  <r>
    <s v="2025-02-21"/>
    <x v="2"/>
    <x v="3"/>
    <x v="2"/>
    <s v="Retail"/>
    <x v="0"/>
    <x v="8"/>
    <x v="2"/>
    <n v="250000"/>
    <n v="5"/>
    <x v="2"/>
    <n v="200000"/>
    <n v="1250000"/>
    <n v="1000000"/>
    <n v="250000"/>
    <n v="1487"/>
  </r>
  <r>
    <s v="2025-04-30"/>
    <x v="1"/>
    <x v="1"/>
    <x v="3"/>
    <s v="Retail"/>
    <x v="1"/>
    <x v="9"/>
    <x v="1"/>
    <n v="220000"/>
    <n v="5"/>
    <x v="2"/>
    <n v="176000"/>
    <n v="1100000"/>
    <n v="880000"/>
    <n v="220000"/>
    <n v="1488"/>
  </r>
  <r>
    <s v="2025-04-25"/>
    <x v="1"/>
    <x v="0"/>
    <x v="1"/>
    <s v="Corporate"/>
    <x v="1"/>
    <x v="2"/>
    <x v="1"/>
    <n v="60000"/>
    <n v="2"/>
    <x v="2"/>
    <n v="48000"/>
    <n v="120000"/>
    <n v="96000"/>
    <n v="24000"/>
    <n v="1489"/>
  </r>
  <r>
    <s v="2025-03-08"/>
    <x v="3"/>
    <x v="1"/>
    <x v="3"/>
    <s v="Corporate"/>
    <x v="1"/>
    <x v="6"/>
    <x v="2"/>
    <n v="150000"/>
    <n v="3"/>
    <x v="5"/>
    <n v="120000"/>
    <n v="450000"/>
    <n v="360000"/>
    <n v="90000"/>
    <n v="1490"/>
  </r>
  <r>
    <s v="2025-02-27"/>
    <x v="2"/>
    <x v="2"/>
    <x v="1"/>
    <s v="Corporate"/>
    <x v="1"/>
    <x v="0"/>
    <x v="0"/>
    <n v="85000"/>
    <n v="3"/>
    <x v="4"/>
    <n v="68000"/>
    <n v="255000"/>
    <n v="204000"/>
    <n v="51000"/>
    <n v="1491"/>
  </r>
  <r>
    <s v="2025-01-05"/>
    <x v="0"/>
    <x v="3"/>
    <x v="3"/>
    <s v="Retail"/>
    <x v="1"/>
    <x v="4"/>
    <x v="1"/>
    <n v="180000"/>
    <n v="7"/>
    <x v="5"/>
    <n v="144000"/>
    <n v="1260000"/>
    <n v="1008000"/>
    <n v="252000"/>
    <n v="1492"/>
  </r>
  <r>
    <s v="2025-03-24"/>
    <x v="3"/>
    <x v="3"/>
    <x v="1"/>
    <s v="Corporate"/>
    <x v="0"/>
    <x v="4"/>
    <x v="1"/>
    <n v="180000"/>
    <n v="10"/>
    <x v="4"/>
    <n v="144000"/>
    <n v="1800000"/>
    <n v="1440000"/>
    <n v="360000"/>
    <n v="1493"/>
  </r>
  <r>
    <s v="2025-04-29"/>
    <x v="1"/>
    <x v="3"/>
    <x v="0"/>
    <s v="Corporate"/>
    <x v="1"/>
    <x v="4"/>
    <x v="1"/>
    <n v="180000"/>
    <n v="1"/>
    <x v="2"/>
    <n v="144000"/>
    <n v="180000"/>
    <n v="144000"/>
    <n v="36000"/>
    <n v="1494"/>
  </r>
  <r>
    <s v="2025-01-14"/>
    <x v="0"/>
    <x v="0"/>
    <x v="3"/>
    <s v="Retail"/>
    <x v="0"/>
    <x v="5"/>
    <x v="0"/>
    <n v="320000"/>
    <n v="5"/>
    <x v="2"/>
    <n v="256000"/>
    <n v="1600000"/>
    <n v="1280000"/>
    <n v="320000"/>
    <n v="1495"/>
  </r>
  <r>
    <s v="2025-03-14"/>
    <x v="3"/>
    <x v="1"/>
    <x v="1"/>
    <s v="Retail"/>
    <x v="1"/>
    <x v="7"/>
    <x v="2"/>
    <n v="420000"/>
    <n v="5"/>
    <x v="3"/>
    <n v="336000"/>
    <n v="2100000"/>
    <n v="1680000"/>
    <n v="420000"/>
    <n v="1496"/>
  </r>
  <r>
    <s v="2025-03-03"/>
    <x v="3"/>
    <x v="0"/>
    <x v="2"/>
    <s v="Corporate"/>
    <x v="0"/>
    <x v="4"/>
    <x v="1"/>
    <n v="180000"/>
    <n v="2"/>
    <x v="0"/>
    <n v="144000"/>
    <n v="360000"/>
    <n v="288000"/>
    <n v="72000"/>
    <n v="1497"/>
  </r>
  <r>
    <s v="2025-04-19"/>
    <x v="1"/>
    <x v="2"/>
    <x v="2"/>
    <s v="Retail"/>
    <x v="1"/>
    <x v="9"/>
    <x v="1"/>
    <n v="220000"/>
    <n v="1"/>
    <x v="1"/>
    <n v="176000"/>
    <n v="220000"/>
    <n v="176000"/>
    <n v="44000"/>
    <n v="1498"/>
  </r>
  <r>
    <s v="2025-04-13"/>
    <x v="1"/>
    <x v="0"/>
    <x v="2"/>
    <s v="Corporate"/>
    <x v="0"/>
    <x v="5"/>
    <x v="0"/>
    <n v="320000"/>
    <n v="4"/>
    <x v="4"/>
    <n v="256000"/>
    <n v="1280000"/>
    <n v="1024000"/>
    <n v="256000"/>
    <n v="1499"/>
  </r>
  <r>
    <s v="2025-03-24"/>
    <x v="3"/>
    <x v="2"/>
    <x v="2"/>
    <s v="Retail"/>
    <x v="0"/>
    <x v="8"/>
    <x v="2"/>
    <n v="250000"/>
    <n v="4"/>
    <x v="1"/>
    <n v="200000"/>
    <n v="1000000"/>
    <n v="800000"/>
    <n v="200000"/>
    <n v="1500"/>
  </r>
  <r>
    <s v="2025-02-27"/>
    <x v="2"/>
    <x v="2"/>
    <x v="0"/>
    <s v="Retail"/>
    <x v="1"/>
    <x v="2"/>
    <x v="1"/>
    <n v="60000"/>
    <n v="10"/>
    <x v="5"/>
    <n v="48000"/>
    <n v="600000"/>
    <n v="480000"/>
    <n v="120000"/>
    <n v="1501"/>
  </r>
  <r>
    <s v="2025-01-22"/>
    <x v="0"/>
    <x v="1"/>
    <x v="3"/>
    <s v="Corporate"/>
    <x v="0"/>
    <x v="4"/>
    <x v="1"/>
    <n v="180000"/>
    <n v="10"/>
    <x v="4"/>
    <n v="144000"/>
    <n v="1800000"/>
    <n v="1440000"/>
    <n v="360000"/>
    <n v="1502"/>
  </r>
  <r>
    <s v="2025-02-04"/>
    <x v="2"/>
    <x v="1"/>
    <x v="2"/>
    <s v="Corporate"/>
    <x v="1"/>
    <x v="3"/>
    <x v="2"/>
    <n v="300000"/>
    <n v="5"/>
    <x v="3"/>
    <n v="240000"/>
    <n v="1500000"/>
    <n v="1200000"/>
    <n v="300000"/>
    <n v="1503"/>
  </r>
  <r>
    <s v="2025-04-23"/>
    <x v="1"/>
    <x v="1"/>
    <x v="3"/>
    <s v="Retail"/>
    <x v="1"/>
    <x v="0"/>
    <x v="0"/>
    <n v="85000"/>
    <n v="7"/>
    <x v="4"/>
    <n v="68000"/>
    <n v="595000"/>
    <n v="476000"/>
    <n v="119000"/>
    <n v="1504"/>
  </r>
  <r>
    <s v="2025-04-04"/>
    <x v="1"/>
    <x v="1"/>
    <x v="0"/>
    <s v="Retail"/>
    <x v="0"/>
    <x v="4"/>
    <x v="1"/>
    <n v="180000"/>
    <n v="5"/>
    <x v="2"/>
    <n v="144000"/>
    <n v="900000"/>
    <n v="720000"/>
    <n v="180000"/>
    <n v="1505"/>
  </r>
  <r>
    <s v="2025-01-23"/>
    <x v="0"/>
    <x v="1"/>
    <x v="2"/>
    <s v="Corporate"/>
    <x v="1"/>
    <x v="5"/>
    <x v="0"/>
    <n v="320000"/>
    <n v="4"/>
    <x v="1"/>
    <n v="256000"/>
    <n v="1280000"/>
    <n v="1024000"/>
    <n v="256000"/>
    <n v="1506"/>
  </r>
  <r>
    <s v="2025-03-14"/>
    <x v="3"/>
    <x v="0"/>
    <x v="0"/>
    <s v="Corporate"/>
    <x v="0"/>
    <x v="4"/>
    <x v="1"/>
    <n v="180000"/>
    <n v="8"/>
    <x v="2"/>
    <n v="144000"/>
    <n v="1440000"/>
    <n v="1152000"/>
    <n v="288000"/>
    <n v="1507"/>
  </r>
  <r>
    <s v="2025-01-18"/>
    <x v="0"/>
    <x v="3"/>
    <x v="2"/>
    <s v="Retail"/>
    <x v="0"/>
    <x v="1"/>
    <x v="1"/>
    <n v="30000"/>
    <n v="3"/>
    <x v="4"/>
    <n v="24000"/>
    <n v="90000"/>
    <n v="72000"/>
    <n v="18000"/>
    <n v="1508"/>
  </r>
  <r>
    <s v="2025-04-25"/>
    <x v="1"/>
    <x v="3"/>
    <x v="3"/>
    <s v="Corporate"/>
    <x v="1"/>
    <x v="9"/>
    <x v="1"/>
    <n v="220000"/>
    <n v="3"/>
    <x v="1"/>
    <n v="176000"/>
    <n v="660000"/>
    <n v="528000"/>
    <n v="132000"/>
    <n v="1509"/>
  </r>
  <r>
    <s v="2025-04-22"/>
    <x v="1"/>
    <x v="1"/>
    <x v="2"/>
    <s v="Retail"/>
    <x v="0"/>
    <x v="0"/>
    <x v="0"/>
    <n v="85000"/>
    <n v="4"/>
    <x v="1"/>
    <n v="68000"/>
    <n v="340000"/>
    <n v="272000"/>
    <n v="68000"/>
    <n v="1510"/>
  </r>
  <r>
    <s v="2025-02-15"/>
    <x v="2"/>
    <x v="3"/>
    <x v="1"/>
    <s v="Retail"/>
    <x v="0"/>
    <x v="4"/>
    <x v="1"/>
    <n v="180000"/>
    <n v="6"/>
    <x v="1"/>
    <n v="144000"/>
    <n v="1080000"/>
    <n v="864000"/>
    <n v="216000"/>
    <n v="1511"/>
  </r>
  <r>
    <s v="2025-01-17"/>
    <x v="0"/>
    <x v="3"/>
    <x v="2"/>
    <s v="Corporate"/>
    <x v="1"/>
    <x v="9"/>
    <x v="1"/>
    <n v="220000"/>
    <n v="8"/>
    <x v="0"/>
    <n v="176000"/>
    <n v="1760000"/>
    <n v="1408000"/>
    <n v="352000"/>
    <n v="1512"/>
  </r>
  <r>
    <s v="2025-02-01"/>
    <x v="2"/>
    <x v="2"/>
    <x v="1"/>
    <s v="Retail"/>
    <x v="1"/>
    <x v="6"/>
    <x v="2"/>
    <n v="150000"/>
    <n v="1"/>
    <x v="5"/>
    <n v="120000"/>
    <n v="150000"/>
    <n v="120000"/>
    <n v="30000"/>
    <n v="1513"/>
  </r>
  <r>
    <s v="2025-03-02"/>
    <x v="3"/>
    <x v="3"/>
    <x v="2"/>
    <s v="Corporate"/>
    <x v="0"/>
    <x v="4"/>
    <x v="1"/>
    <n v="180000"/>
    <n v="9"/>
    <x v="3"/>
    <n v="144000"/>
    <n v="1620000"/>
    <n v="1296000"/>
    <n v="324000"/>
    <n v="1514"/>
  </r>
  <r>
    <s v="2025-04-30"/>
    <x v="1"/>
    <x v="3"/>
    <x v="2"/>
    <s v="Corporate"/>
    <x v="1"/>
    <x v="7"/>
    <x v="2"/>
    <n v="420000"/>
    <n v="10"/>
    <x v="0"/>
    <n v="336000"/>
    <n v="4200000"/>
    <n v="3360000"/>
    <n v="840000"/>
    <n v="1515"/>
  </r>
  <r>
    <s v="2025-03-24"/>
    <x v="3"/>
    <x v="0"/>
    <x v="3"/>
    <s v="Retail"/>
    <x v="0"/>
    <x v="8"/>
    <x v="2"/>
    <n v="250000"/>
    <n v="10"/>
    <x v="0"/>
    <n v="200000"/>
    <n v="2500000"/>
    <n v="2000000"/>
    <n v="500000"/>
    <n v="1516"/>
  </r>
  <r>
    <s v="2025-04-15"/>
    <x v="1"/>
    <x v="1"/>
    <x v="2"/>
    <s v="Retail"/>
    <x v="1"/>
    <x v="9"/>
    <x v="1"/>
    <n v="220000"/>
    <n v="3"/>
    <x v="1"/>
    <n v="176000"/>
    <n v="660000"/>
    <n v="528000"/>
    <n v="132000"/>
    <n v="1517"/>
  </r>
  <r>
    <s v="2025-01-27"/>
    <x v="0"/>
    <x v="3"/>
    <x v="3"/>
    <s v="Retail"/>
    <x v="0"/>
    <x v="1"/>
    <x v="1"/>
    <n v="30000"/>
    <n v="4"/>
    <x v="3"/>
    <n v="24000"/>
    <n v="120000"/>
    <n v="96000"/>
    <n v="24000"/>
    <n v="1518"/>
  </r>
  <r>
    <s v="2025-04-08"/>
    <x v="1"/>
    <x v="1"/>
    <x v="3"/>
    <s v="Retail"/>
    <x v="1"/>
    <x v="4"/>
    <x v="1"/>
    <n v="180000"/>
    <n v="9"/>
    <x v="3"/>
    <n v="144000"/>
    <n v="1620000"/>
    <n v="1296000"/>
    <n v="324000"/>
    <n v="1519"/>
  </r>
  <r>
    <s v="2025-02-28"/>
    <x v="2"/>
    <x v="0"/>
    <x v="2"/>
    <s v="Retail"/>
    <x v="1"/>
    <x v="4"/>
    <x v="1"/>
    <n v="180000"/>
    <n v="7"/>
    <x v="3"/>
    <n v="144000"/>
    <n v="1260000"/>
    <n v="1008000"/>
    <n v="252000"/>
    <n v="1520"/>
  </r>
  <r>
    <s v="2025-02-18"/>
    <x v="2"/>
    <x v="1"/>
    <x v="0"/>
    <s v="Corporate"/>
    <x v="1"/>
    <x v="6"/>
    <x v="2"/>
    <n v="150000"/>
    <n v="7"/>
    <x v="0"/>
    <n v="120000"/>
    <n v="1050000"/>
    <n v="840000"/>
    <n v="210000"/>
    <n v="1521"/>
  </r>
  <r>
    <s v="2025-01-17"/>
    <x v="0"/>
    <x v="1"/>
    <x v="3"/>
    <s v="Retail"/>
    <x v="0"/>
    <x v="1"/>
    <x v="1"/>
    <n v="30000"/>
    <n v="4"/>
    <x v="2"/>
    <n v="24000"/>
    <n v="120000"/>
    <n v="96000"/>
    <n v="24000"/>
    <n v="1522"/>
  </r>
  <r>
    <s v="2025-01-30"/>
    <x v="0"/>
    <x v="1"/>
    <x v="1"/>
    <s v="Retail"/>
    <x v="0"/>
    <x v="5"/>
    <x v="0"/>
    <n v="320000"/>
    <n v="2"/>
    <x v="3"/>
    <n v="256000"/>
    <n v="640000"/>
    <n v="512000"/>
    <n v="128000"/>
    <n v="1523"/>
  </r>
  <r>
    <s v="2025-04-02"/>
    <x v="1"/>
    <x v="1"/>
    <x v="1"/>
    <s v="Corporate"/>
    <x v="1"/>
    <x v="5"/>
    <x v="0"/>
    <n v="320000"/>
    <n v="6"/>
    <x v="4"/>
    <n v="256000"/>
    <n v="1920000"/>
    <n v="1536000"/>
    <n v="384000"/>
    <n v="1524"/>
  </r>
  <r>
    <s v="2025-04-15"/>
    <x v="1"/>
    <x v="1"/>
    <x v="2"/>
    <s v="Corporate"/>
    <x v="1"/>
    <x v="7"/>
    <x v="2"/>
    <n v="420000"/>
    <n v="10"/>
    <x v="1"/>
    <n v="336000"/>
    <n v="4200000"/>
    <n v="3360000"/>
    <n v="840000"/>
    <n v="1525"/>
  </r>
  <r>
    <s v="2025-04-14"/>
    <x v="1"/>
    <x v="2"/>
    <x v="3"/>
    <s v="Retail"/>
    <x v="0"/>
    <x v="9"/>
    <x v="1"/>
    <n v="220000"/>
    <n v="8"/>
    <x v="0"/>
    <n v="176000"/>
    <n v="1760000"/>
    <n v="1408000"/>
    <n v="352000"/>
    <n v="1526"/>
  </r>
  <r>
    <s v="2025-03-21"/>
    <x v="3"/>
    <x v="1"/>
    <x v="0"/>
    <s v="Retail"/>
    <x v="0"/>
    <x v="3"/>
    <x v="2"/>
    <n v="300000"/>
    <n v="10"/>
    <x v="0"/>
    <n v="240000"/>
    <n v="3000000"/>
    <n v="2400000"/>
    <n v="600000"/>
    <n v="1527"/>
  </r>
  <r>
    <s v="2025-01-20"/>
    <x v="0"/>
    <x v="2"/>
    <x v="3"/>
    <s v="Corporate"/>
    <x v="1"/>
    <x v="3"/>
    <x v="2"/>
    <n v="300000"/>
    <n v="3"/>
    <x v="2"/>
    <n v="240000"/>
    <n v="900000"/>
    <n v="720000"/>
    <n v="180000"/>
    <n v="1528"/>
  </r>
  <r>
    <s v="2025-02-11"/>
    <x v="2"/>
    <x v="3"/>
    <x v="0"/>
    <s v="Retail"/>
    <x v="0"/>
    <x v="5"/>
    <x v="0"/>
    <n v="320000"/>
    <n v="5"/>
    <x v="4"/>
    <n v="256000"/>
    <n v="1600000"/>
    <n v="1280000"/>
    <n v="320000"/>
    <n v="1529"/>
  </r>
  <r>
    <s v="2025-02-13"/>
    <x v="2"/>
    <x v="1"/>
    <x v="3"/>
    <s v="Retail"/>
    <x v="0"/>
    <x v="0"/>
    <x v="0"/>
    <n v="85000"/>
    <n v="7"/>
    <x v="0"/>
    <n v="68000"/>
    <n v="595000"/>
    <n v="476000"/>
    <n v="119000"/>
    <n v="1530"/>
  </r>
  <r>
    <s v="2025-02-14"/>
    <x v="2"/>
    <x v="0"/>
    <x v="2"/>
    <s v="Retail"/>
    <x v="1"/>
    <x v="9"/>
    <x v="1"/>
    <n v="220000"/>
    <n v="2"/>
    <x v="4"/>
    <n v="176000"/>
    <n v="440000"/>
    <n v="352000"/>
    <n v="88000"/>
    <n v="1531"/>
  </r>
  <r>
    <s v="2025-03-23"/>
    <x v="3"/>
    <x v="3"/>
    <x v="3"/>
    <s v="Retail"/>
    <x v="1"/>
    <x v="3"/>
    <x v="2"/>
    <n v="300000"/>
    <n v="2"/>
    <x v="2"/>
    <n v="240000"/>
    <n v="600000"/>
    <n v="480000"/>
    <n v="120000"/>
    <n v="1532"/>
  </r>
  <r>
    <s v="2025-02-14"/>
    <x v="2"/>
    <x v="2"/>
    <x v="1"/>
    <s v="Corporate"/>
    <x v="0"/>
    <x v="0"/>
    <x v="0"/>
    <n v="85000"/>
    <n v="3"/>
    <x v="1"/>
    <n v="68000"/>
    <n v="255000"/>
    <n v="204000"/>
    <n v="51000"/>
    <n v="1533"/>
  </r>
  <r>
    <s v="2025-01-19"/>
    <x v="0"/>
    <x v="3"/>
    <x v="3"/>
    <s v="Retail"/>
    <x v="1"/>
    <x v="9"/>
    <x v="1"/>
    <n v="220000"/>
    <n v="7"/>
    <x v="4"/>
    <n v="176000"/>
    <n v="1540000"/>
    <n v="1232000"/>
    <n v="308000"/>
    <n v="1534"/>
  </r>
  <r>
    <s v="2025-03-27"/>
    <x v="3"/>
    <x v="1"/>
    <x v="2"/>
    <s v="Corporate"/>
    <x v="0"/>
    <x v="6"/>
    <x v="2"/>
    <n v="150000"/>
    <n v="3"/>
    <x v="2"/>
    <n v="120000"/>
    <n v="450000"/>
    <n v="360000"/>
    <n v="90000"/>
    <n v="1535"/>
  </r>
  <r>
    <s v="2025-01-25"/>
    <x v="0"/>
    <x v="1"/>
    <x v="1"/>
    <s v="Retail"/>
    <x v="1"/>
    <x v="7"/>
    <x v="2"/>
    <n v="420000"/>
    <n v="10"/>
    <x v="4"/>
    <n v="336000"/>
    <n v="4200000"/>
    <n v="3360000"/>
    <n v="840000"/>
    <n v="1536"/>
  </r>
  <r>
    <s v="2025-02-07"/>
    <x v="2"/>
    <x v="3"/>
    <x v="1"/>
    <s v="Retail"/>
    <x v="1"/>
    <x v="2"/>
    <x v="1"/>
    <n v="60000"/>
    <n v="3"/>
    <x v="3"/>
    <n v="48000"/>
    <n v="180000"/>
    <n v="144000"/>
    <n v="36000"/>
    <n v="1537"/>
  </r>
  <r>
    <s v="2025-01-21"/>
    <x v="0"/>
    <x v="1"/>
    <x v="1"/>
    <s v="Corporate"/>
    <x v="0"/>
    <x v="3"/>
    <x v="2"/>
    <n v="300000"/>
    <n v="9"/>
    <x v="1"/>
    <n v="240000"/>
    <n v="2700000"/>
    <n v="2160000"/>
    <n v="540000"/>
    <n v="1538"/>
  </r>
  <r>
    <s v="2025-02-10"/>
    <x v="2"/>
    <x v="2"/>
    <x v="1"/>
    <s v="Corporate"/>
    <x v="0"/>
    <x v="2"/>
    <x v="1"/>
    <n v="60000"/>
    <n v="7"/>
    <x v="0"/>
    <n v="48000"/>
    <n v="420000"/>
    <n v="336000"/>
    <n v="84000"/>
    <n v="1539"/>
  </r>
  <r>
    <s v="2025-03-19"/>
    <x v="3"/>
    <x v="0"/>
    <x v="0"/>
    <s v="Retail"/>
    <x v="0"/>
    <x v="5"/>
    <x v="0"/>
    <n v="320000"/>
    <n v="3"/>
    <x v="2"/>
    <n v="256000"/>
    <n v="960000"/>
    <n v="768000"/>
    <n v="192000"/>
    <n v="1540"/>
  </r>
  <r>
    <s v="2025-02-11"/>
    <x v="2"/>
    <x v="3"/>
    <x v="1"/>
    <s v="Corporate"/>
    <x v="0"/>
    <x v="9"/>
    <x v="1"/>
    <n v="220000"/>
    <n v="5"/>
    <x v="0"/>
    <n v="176000"/>
    <n v="1100000"/>
    <n v="880000"/>
    <n v="220000"/>
    <n v="1541"/>
  </r>
  <r>
    <s v="2025-02-15"/>
    <x v="2"/>
    <x v="1"/>
    <x v="1"/>
    <s v="Corporate"/>
    <x v="0"/>
    <x v="9"/>
    <x v="1"/>
    <n v="220000"/>
    <n v="2"/>
    <x v="0"/>
    <n v="176000"/>
    <n v="440000"/>
    <n v="352000"/>
    <n v="88000"/>
    <n v="1542"/>
  </r>
  <r>
    <s v="2025-01-16"/>
    <x v="0"/>
    <x v="0"/>
    <x v="0"/>
    <s v="Retail"/>
    <x v="1"/>
    <x v="6"/>
    <x v="2"/>
    <n v="150000"/>
    <n v="10"/>
    <x v="1"/>
    <n v="120000"/>
    <n v="1500000"/>
    <n v="1200000"/>
    <n v="300000"/>
    <n v="1543"/>
  </r>
  <r>
    <s v="2025-04-14"/>
    <x v="1"/>
    <x v="3"/>
    <x v="2"/>
    <s v="Retail"/>
    <x v="1"/>
    <x v="1"/>
    <x v="1"/>
    <n v="30000"/>
    <n v="8"/>
    <x v="5"/>
    <n v="24000"/>
    <n v="240000"/>
    <n v="192000"/>
    <n v="48000"/>
    <n v="1544"/>
  </r>
  <r>
    <s v="2025-04-14"/>
    <x v="1"/>
    <x v="1"/>
    <x v="1"/>
    <s v="Retail"/>
    <x v="1"/>
    <x v="1"/>
    <x v="1"/>
    <n v="30000"/>
    <n v="9"/>
    <x v="3"/>
    <n v="24000"/>
    <n v="270000"/>
    <n v="216000"/>
    <n v="54000"/>
    <n v="1545"/>
  </r>
  <r>
    <s v="2025-04-06"/>
    <x v="1"/>
    <x v="1"/>
    <x v="0"/>
    <s v="Retail"/>
    <x v="1"/>
    <x v="6"/>
    <x v="2"/>
    <n v="150000"/>
    <n v="3"/>
    <x v="1"/>
    <n v="120000"/>
    <n v="450000"/>
    <n v="360000"/>
    <n v="90000"/>
    <n v="1546"/>
  </r>
  <r>
    <s v="2025-02-11"/>
    <x v="2"/>
    <x v="1"/>
    <x v="0"/>
    <s v="Corporate"/>
    <x v="0"/>
    <x v="2"/>
    <x v="1"/>
    <n v="60000"/>
    <n v="6"/>
    <x v="2"/>
    <n v="48000"/>
    <n v="360000"/>
    <n v="288000"/>
    <n v="72000"/>
    <n v="1547"/>
  </r>
  <r>
    <s v="2025-02-14"/>
    <x v="2"/>
    <x v="1"/>
    <x v="0"/>
    <s v="Corporate"/>
    <x v="1"/>
    <x v="8"/>
    <x v="2"/>
    <n v="250000"/>
    <n v="1"/>
    <x v="2"/>
    <n v="200000"/>
    <n v="250000"/>
    <n v="200000"/>
    <n v="50000"/>
    <n v="1548"/>
  </r>
  <r>
    <s v="2025-04-25"/>
    <x v="1"/>
    <x v="0"/>
    <x v="2"/>
    <s v="Retail"/>
    <x v="1"/>
    <x v="0"/>
    <x v="0"/>
    <n v="85000"/>
    <n v="8"/>
    <x v="2"/>
    <n v="68000"/>
    <n v="680000"/>
    <n v="544000"/>
    <n v="136000"/>
    <n v="1549"/>
  </r>
  <r>
    <s v="2025-02-09"/>
    <x v="2"/>
    <x v="3"/>
    <x v="0"/>
    <s v="Retail"/>
    <x v="1"/>
    <x v="4"/>
    <x v="1"/>
    <n v="180000"/>
    <n v="8"/>
    <x v="2"/>
    <n v="144000"/>
    <n v="1440000"/>
    <n v="1152000"/>
    <n v="288000"/>
    <n v="1550"/>
  </r>
  <r>
    <s v="2025-03-13"/>
    <x v="3"/>
    <x v="1"/>
    <x v="3"/>
    <s v="Corporate"/>
    <x v="1"/>
    <x v="9"/>
    <x v="1"/>
    <n v="220000"/>
    <n v="9"/>
    <x v="4"/>
    <n v="176000"/>
    <n v="1980000"/>
    <n v="1584000"/>
    <n v="396000"/>
    <n v="1551"/>
  </r>
  <r>
    <s v="2025-01-04"/>
    <x v="0"/>
    <x v="0"/>
    <x v="0"/>
    <s v="Retail"/>
    <x v="1"/>
    <x v="8"/>
    <x v="2"/>
    <n v="250000"/>
    <n v="3"/>
    <x v="2"/>
    <n v="200000"/>
    <n v="750000"/>
    <n v="600000"/>
    <n v="150000"/>
    <n v="1552"/>
  </r>
  <r>
    <s v="2025-02-27"/>
    <x v="2"/>
    <x v="3"/>
    <x v="3"/>
    <s v="Retail"/>
    <x v="0"/>
    <x v="7"/>
    <x v="2"/>
    <n v="420000"/>
    <n v="6"/>
    <x v="5"/>
    <n v="336000"/>
    <n v="2520000"/>
    <n v="2016000"/>
    <n v="504000"/>
    <n v="1553"/>
  </r>
  <r>
    <s v="2025-02-05"/>
    <x v="2"/>
    <x v="1"/>
    <x v="1"/>
    <s v="Corporate"/>
    <x v="1"/>
    <x v="4"/>
    <x v="1"/>
    <n v="180000"/>
    <n v="3"/>
    <x v="0"/>
    <n v="144000"/>
    <n v="540000"/>
    <n v="432000"/>
    <n v="108000"/>
    <n v="1554"/>
  </r>
  <r>
    <s v="2025-02-28"/>
    <x v="2"/>
    <x v="2"/>
    <x v="2"/>
    <s v="Corporate"/>
    <x v="1"/>
    <x v="4"/>
    <x v="1"/>
    <n v="180000"/>
    <n v="9"/>
    <x v="0"/>
    <n v="144000"/>
    <n v="1620000"/>
    <n v="1296000"/>
    <n v="324000"/>
    <n v="1555"/>
  </r>
  <r>
    <s v="2025-01-19"/>
    <x v="0"/>
    <x v="1"/>
    <x v="2"/>
    <s v="Retail"/>
    <x v="0"/>
    <x v="7"/>
    <x v="2"/>
    <n v="420000"/>
    <n v="5"/>
    <x v="0"/>
    <n v="336000"/>
    <n v="2100000"/>
    <n v="1680000"/>
    <n v="420000"/>
    <n v="1556"/>
  </r>
  <r>
    <s v="2025-02-11"/>
    <x v="2"/>
    <x v="3"/>
    <x v="2"/>
    <s v="Retail"/>
    <x v="1"/>
    <x v="4"/>
    <x v="1"/>
    <n v="180000"/>
    <n v="6"/>
    <x v="5"/>
    <n v="144000"/>
    <n v="1080000"/>
    <n v="864000"/>
    <n v="216000"/>
    <n v="1557"/>
  </r>
  <r>
    <s v="2025-02-19"/>
    <x v="2"/>
    <x v="1"/>
    <x v="2"/>
    <s v="Corporate"/>
    <x v="0"/>
    <x v="3"/>
    <x v="2"/>
    <n v="300000"/>
    <n v="3"/>
    <x v="2"/>
    <n v="240000"/>
    <n v="900000"/>
    <n v="720000"/>
    <n v="180000"/>
    <n v="1558"/>
  </r>
  <r>
    <s v="2025-03-11"/>
    <x v="3"/>
    <x v="0"/>
    <x v="2"/>
    <s v="Retail"/>
    <x v="0"/>
    <x v="9"/>
    <x v="1"/>
    <n v="220000"/>
    <n v="7"/>
    <x v="0"/>
    <n v="176000"/>
    <n v="1540000"/>
    <n v="1232000"/>
    <n v="308000"/>
    <n v="1559"/>
  </r>
  <r>
    <s v="2025-04-30"/>
    <x v="1"/>
    <x v="2"/>
    <x v="1"/>
    <s v="Retail"/>
    <x v="0"/>
    <x v="2"/>
    <x v="1"/>
    <n v="60000"/>
    <n v="2"/>
    <x v="0"/>
    <n v="48000"/>
    <n v="120000"/>
    <n v="96000"/>
    <n v="24000"/>
    <n v="1560"/>
  </r>
  <r>
    <s v="2025-02-11"/>
    <x v="2"/>
    <x v="2"/>
    <x v="1"/>
    <s v="Corporate"/>
    <x v="0"/>
    <x v="1"/>
    <x v="1"/>
    <n v="30000"/>
    <n v="4"/>
    <x v="3"/>
    <n v="24000"/>
    <n v="120000"/>
    <n v="96000"/>
    <n v="24000"/>
    <n v="1561"/>
  </r>
  <r>
    <s v="2025-01-27"/>
    <x v="0"/>
    <x v="0"/>
    <x v="1"/>
    <s v="Corporate"/>
    <x v="1"/>
    <x v="5"/>
    <x v="0"/>
    <n v="320000"/>
    <n v="8"/>
    <x v="3"/>
    <n v="256000"/>
    <n v="2560000"/>
    <n v="2048000"/>
    <n v="512000"/>
    <n v="1562"/>
  </r>
  <r>
    <s v="2025-04-26"/>
    <x v="1"/>
    <x v="0"/>
    <x v="3"/>
    <s v="Corporate"/>
    <x v="1"/>
    <x v="4"/>
    <x v="1"/>
    <n v="180000"/>
    <n v="5"/>
    <x v="2"/>
    <n v="144000"/>
    <n v="900000"/>
    <n v="720000"/>
    <n v="180000"/>
    <n v="1563"/>
  </r>
  <r>
    <s v="2025-03-01"/>
    <x v="3"/>
    <x v="1"/>
    <x v="0"/>
    <s v="Retail"/>
    <x v="1"/>
    <x v="5"/>
    <x v="0"/>
    <n v="320000"/>
    <n v="6"/>
    <x v="2"/>
    <n v="256000"/>
    <n v="1920000"/>
    <n v="1536000"/>
    <n v="384000"/>
    <n v="1564"/>
  </r>
  <r>
    <s v="2025-01-20"/>
    <x v="0"/>
    <x v="2"/>
    <x v="1"/>
    <s v="Retail"/>
    <x v="0"/>
    <x v="7"/>
    <x v="2"/>
    <n v="420000"/>
    <n v="3"/>
    <x v="2"/>
    <n v="336000"/>
    <n v="1260000"/>
    <n v="1008000"/>
    <n v="252000"/>
    <n v="1565"/>
  </r>
  <r>
    <s v="2025-01-09"/>
    <x v="0"/>
    <x v="3"/>
    <x v="3"/>
    <s v="Corporate"/>
    <x v="0"/>
    <x v="6"/>
    <x v="2"/>
    <n v="150000"/>
    <n v="2"/>
    <x v="5"/>
    <n v="120000"/>
    <n v="300000"/>
    <n v="240000"/>
    <n v="60000"/>
    <n v="1566"/>
  </r>
  <r>
    <s v="2025-04-19"/>
    <x v="1"/>
    <x v="0"/>
    <x v="3"/>
    <s v="Retail"/>
    <x v="0"/>
    <x v="4"/>
    <x v="1"/>
    <n v="180000"/>
    <n v="8"/>
    <x v="3"/>
    <n v="144000"/>
    <n v="1440000"/>
    <n v="1152000"/>
    <n v="288000"/>
    <n v="1567"/>
  </r>
  <r>
    <s v="2025-03-14"/>
    <x v="3"/>
    <x v="3"/>
    <x v="1"/>
    <s v="Retail"/>
    <x v="0"/>
    <x v="6"/>
    <x v="2"/>
    <n v="150000"/>
    <n v="4"/>
    <x v="3"/>
    <n v="120000"/>
    <n v="600000"/>
    <n v="480000"/>
    <n v="120000"/>
    <n v="1568"/>
  </r>
  <r>
    <s v="2025-02-26"/>
    <x v="2"/>
    <x v="3"/>
    <x v="2"/>
    <s v="Corporate"/>
    <x v="1"/>
    <x v="2"/>
    <x v="1"/>
    <n v="60000"/>
    <n v="8"/>
    <x v="2"/>
    <n v="48000"/>
    <n v="480000"/>
    <n v="384000"/>
    <n v="96000"/>
    <n v="1569"/>
  </r>
  <r>
    <s v="2025-04-24"/>
    <x v="1"/>
    <x v="3"/>
    <x v="0"/>
    <s v="Corporate"/>
    <x v="1"/>
    <x v="7"/>
    <x v="2"/>
    <n v="420000"/>
    <n v="5"/>
    <x v="4"/>
    <n v="336000"/>
    <n v="2100000"/>
    <n v="1680000"/>
    <n v="420000"/>
    <n v="1570"/>
  </r>
  <r>
    <s v="2025-03-28"/>
    <x v="3"/>
    <x v="3"/>
    <x v="0"/>
    <s v="Retail"/>
    <x v="1"/>
    <x v="7"/>
    <x v="2"/>
    <n v="420000"/>
    <n v="6"/>
    <x v="5"/>
    <n v="336000"/>
    <n v="2520000"/>
    <n v="2016000"/>
    <n v="504000"/>
    <n v="1571"/>
  </r>
  <r>
    <s v="2025-01-22"/>
    <x v="0"/>
    <x v="2"/>
    <x v="0"/>
    <s v="Retail"/>
    <x v="1"/>
    <x v="3"/>
    <x v="2"/>
    <n v="300000"/>
    <n v="4"/>
    <x v="1"/>
    <n v="240000"/>
    <n v="1200000"/>
    <n v="960000"/>
    <n v="240000"/>
    <n v="1572"/>
  </r>
  <r>
    <s v="2025-02-03"/>
    <x v="2"/>
    <x v="1"/>
    <x v="3"/>
    <s v="Retail"/>
    <x v="0"/>
    <x v="4"/>
    <x v="1"/>
    <n v="180000"/>
    <n v="1"/>
    <x v="5"/>
    <n v="144000"/>
    <n v="180000"/>
    <n v="144000"/>
    <n v="36000"/>
    <n v="1573"/>
  </r>
  <r>
    <s v="2025-03-26"/>
    <x v="3"/>
    <x v="3"/>
    <x v="3"/>
    <s v="Corporate"/>
    <x v="0"/>
    <x v="7"/>
    <x v="2"/>
    <n v="420000"/>
    <n v="5"/>
    <x v="4"/>
    <n v="336000"/>
    <n v="2100000"/>
    <n v="1680000"/>
    <n v="420000"/>
    <n v="1574"/>
  </r>
  <r>
    <s v="2025-03-26"/>
    <x v="3"/>
    <x v="0"/>
    <x v="1"/>
    <s v="Corporate"/>
    <x v="1"/>
    <x v="8"/>
    <x v="2"/>
    <n v="250000"/>
    <n v="7"/>
    <x v="5"/>
    <n v="200000"/>
    <n v="1750000"/>
    <n v="1400000"/>
    <n v="350000"/>
    <n v="1575"/>
  </r>
  <r>
    <s v="2025-04-16"/>
    <x v="1"/>
    <x v="2"/>
    <x v="3"/>
    <s v="Corporate"/>
    <x v="0"/>
    <x v="1"/>
    <x v="1"/>
    <n v="30000"/>
    <n v="1"/>
    <x v="5"/>
    <n v="24000"/>
    <n v="30000"/>
    <n v="24000"/>
    <n v="6000"/>
    <n v="1576"/>
  </r>
  <r>
    <s v="2025-03-14"/>
    <x v="3"/>
    <x v="2"/>
    <x v="1"/>
    <s v="Corporate"/>
    <x v="0"/>
    <x v="4"/>
    <x v="1"/>
    <n v="180000"/>
    <n v="9"/>
    <x v="3"/>
    <n v="144000"/>
    <n v="1620000"/>
    <n v="1296000"/>
    <n v="324000"/>
    <n v="1577"/>
  </r>
  <r>
    <s v="2025-04-12"/>
    <x v="1"/>
    <x v="3"/>
    <x v="1"/>
    <s v="Corporate"/>
    <x v="0"/>
    <x v="3"/>
    <x v="2"/>
    <n v="300000"/>
    <n v="7"/>
    <x v="5"/>
    <n v="240000"/>
    <n v="2100000"/>
    <n v="1680000"/>
    <n v="420000"/>
    <n v="1578"/>
  </r>
  <r>
    <s v="2025-04-26"/>
    <x v="1"/>
    <x v="1"/>
    <x v="1"/>
    <s v="Retail"/>
    <x v="0"/>
    <x v="2"/>
    <x v="1"/>
    <n v="60000"/>
    <n v="2"/>
    <x v="5"/>
    <n v="48000"/>
    <n v="120000"/>
    <n v="96000"/>
    <n v="24000"/>
    <n v="1579"/>
  </r>
  <r>
    <s v="2025-03-20"/>
    <x v="3"/>
    <x v="0"/>
    <x v="3"/>
    <s v="Corporate"/>
    <x v="0"/>
    <x v="8"/>
    <x v="2"/>
    <n v="250000"/>
    <n v="5"/>
    <x v="2"/>
    <n v="200000"/>
    <n v="1250000"/>
    <n v="1000000"/>
    <n v="250000"/>
    <n v="1580"/>
  </r>
  <r>
    <s v="2025-03-14"/>
    <x v="3"/>
    <x v="3"/>
    <x v="3"/>
    <s v="Corporate"/>
    <x v="1"/>
    <x v="0"/>
    <x v="0"/>
    <n v="85000"/>
    <n v="9"/>
    <x v="3"/>
    <n v="68000"/>
    <n v="765000"/>
    <n v="612000"/>
    <n v="153000"/>
    <n v="1581"/>
  </r>
  <r>
    <s v="2025-04-07"/>
    <x v="1"/>
    <x v="3"/>
    <x v="2"/>
    <s v="Retail"/>
    <x v="0"/>
    <x v="7"/>
    <x v="2"/>
    <n v="420000"/>
    <n v="5"/>
    <x v="2"/>
    <n v="336000"/>
    <n v="2100000"/>
    <n v="1680000"/>
    <n v="420000"/>
    <n v="1582"/>
  </r>
  <r>
    <s v="2025-04-21"/>
    <x v="1"/>
    <x v="1"/>
    <x v="3"/>
    <s v="Retail"/>
    <x v="0"/>
    <x v="7"/>
    <x v="2"/>
    <n v="420000"/>
    <n v="7"/>
    <x v="2"/>
    <n v="336000"/>
    <n v="2940000"/>
    <n v="2352000"/>
    <n v="588000"/>
    <n v="1583"/>
  </r>
  <r>
    <s v="2025-02-20"/>
    <x v="2"/>
    <x v="3"/>
    <x v="0"/>
    <s v="Retail"/>
    <x v="1"/>
    <x v="5"/>
    <x v="0"/>
    <n v="320000"/>
    <n v="3"/>
    <x v="2"/>
    <n v="256000"/>
    <n v="960000"/>
    <n v="768000"/>
    <n v="192000"/>
    <n v="1584"/>
  </r>
  <r>
    <s v="2025-02-01"/>
    <x v="2"/>
    <x v="2"/>
    <x v="0"/>
    <s v="Corporate"/>
    <x v="1"/>
    <x v="8"/>
    <x v="2"/>
    <n v="250000"/>
    <n v="10"/>
    <x v="2"/>
    <n v="200000"/>
    <n v="2500000"/>
    <n v="2000000"/>
    <n v="500000"/>
    <n v="1585"/>
  </r>
  <r>
    <s v="2025-04-25"/>
    <x v="1"/>
    <x v="1"/>
    <x v="2"/>
    <s v="Retail"/>
    <x v="0"/>
    <x v="6"/>
    <x v="2"/>
    <n v="150000"/>
    <n v="9"/>
    <x v="5"/>
    <n v="120000"/>
    <n v="1350000"/>
    <n v="1080000"/>
    <n v="270000"/>
    <n v="1586"/>
  </r>
  <r>
    <s v="2025-02-04"/>
    <x v="2"/>
    <x v="0"/>
    <x v="0"/>
    <s v="Corporate"/>
    <x v="0"/>
    <x v="3"/>
    <x v="2"/>
    <n v="300000"/>
    <n v="10"/>
    <x v="0"/>
    <n v="240000"/>
    <n v="3000000"/>
    <n v="2400000"/>
    <n v="600000"/>
    <n v="1587"/>
  </r>
  <r>
    <s v="2025-02-04"/>
    <x v="2"/>
    <x v="1"/>
    <x v="0"/>
    <s v="Corporate"/>
    <x v="1"/>
    <x v="3"/>
    <x v="2"/>
    <n v="300000"/>
    <n v="2"/>
    <x v="3"/>
    <n v="240000"/>
    <n v="600000"/>
    <n v="480000"/>
    <n v="120000"/>
    <n v="1588"/>
  </r>
  <r>
    <s v="2025-01-16"/>
    <x v="0"/>
    <x v="1"/>
    <x v="3"/>
    <s v="Retail"/>
    <x v="1"/>
    <x v="4"/>
    <x v="1"/>
    <n v="180000"/>
    <n v="2"/>
    <x v="3"/>
    <n v="144000"/>
    <n v="360000"/>
    <n v="288000"/>
    <n v="72000"/>
    <n v="1589"/>
  </r>
  <r>
    <s v="2025-03-21"/>
    <x v="3"/>
    <x v="0"/>
    <x v="3"/>
    <s v="Corporate"/>
    <x v="1"/>
    <x v="5"/>
    <x v="0"/>
    <n v="320000"/>
    <n v="10"/>
    <x v="5"/>
    <n v="256000"/>
    <n v="3200000"/>
    <n v="2560000"/>
    <n v="640000"/>
    <n v="1590"/>
  </r>
  <r>
    <s v="2025-04-22"/>
    <x v="1"/>
    <x v="3"/>
    <x v="0"/>
    <s v="Corporate"/>
    <x v="1"/>
    <x v="5"/>
    <x v="0"/>
    <n v="320000"/>
    <n v="1"/>
    <x v="4"/>
    <n v="256000"/>
    <n v="320000"/>
    <n v="256000"/>
    <n v="64000"/>
    <n v="1591"/>
  </r>
  <r>
    <s v="2025-03-30"/>
    <x v="3"/>
    <x v="3"/>
    <x v="3"/>
    <s v="Retail"/>
    <x v="1"/>
    <x v="6"/>
    <x v="2"/>
    <n v="150000"/>
    <n v="6"/>
    <x v="3"/>
    <n v="120000"/>
    <n v="900000"/>
    <n v="720000"/>
    <n v="180000"/>
    <n v="1592"/>
  </r>
  <r>
    <s v="2025-04-10"/>
    <x v="1"/>
    <x v="3"/>
    <x v="1"/>
    <s v="Corporate"/>
    <x v="1"/>
    <x v="0"/>
    <x v="0"/>
    <n v="85000"/>
    <n v="9"/>
    <x v="3"/>
    <n v="68000"/>
    <n v="765000"/>
    <n v="612000"/>
    <n v="153000"/>
    <n v="1593"/>
  </r>
  <r>
    <s v="2025-02-18"/>
    <x v="2"/>
    <x v="0"/>
    <x v="0"/>
    <s v="Retail"/>
    <x v="0"/>
    <x v="7"/>
    <x v="2"/>
    <n v="420000"/>
    <n v="7"/>
    <x v="0"/>
    <n v="336000"/>
    <n v="2940000"/>
    <n v="2352000"/>
    <n v="588000"/>
    <n v="1594"/>
  </r>
  <r>
    <s v="2025-01-26"/>
    <x v="0"/>
    <x v="1"/>
    <x v="0"/>
    <s v="Retail"/>
    <x v="0"/>
    <x v="1"/>
    <x v="1"/>
    <n v="30000"/>
    <n v="3"/>
    <x v="3"/>
    <n v="24000"/>
    <n v="90000"/>
    <n v="72000"/>
    <n v="18000"/>
    <n v="1595"/>
  </r>
  <r>
    <s v="2025-04-30"/>
    <x v="1"/>
    <x v="1"/>
    <x v="1"/>
    <s v="Corporate"/>
    <x v="1"/>
    <x v="1"/>
    <x v="1"/>
    <n v="30000"/>
    <n v="9"/>
    <x v="0"/>
    <n v="24000"/>
    <n v="270000"/>
    <n v="216000"/>
    <n v="54000"/>
    <n v="1596"/>
  </r>
  <r>
    <s v="2025-01-19"/>
    <x v="0"/>
    <x v="2"/>
    <x v="0"/>
    <s v="Corporate"/>
    <x v="1"/>
    <x v="2"/>
    <x v="1"/>
    <n v="60000"/>
    <n v="1"/>
    <x v="4"/>
    <n v="48000"/>
    <n v="60000"/>
    <n v="48000"/>
    <n v="12000"/>
    <n v="1597"/>
  </r>
  <r>
    <s v="2025-02-02"/>
    <x v="2"/>
    <x v="3"/>
    <x v="0"/>
    <s v="Corporate"/>
    <x v="0"/>
    <x v="8"/>
    <x v="2"/>
    <n v="250000"/>
    <n v="1"/>
    <x v="5"/>
    <n v="200000"/>
    <n v="250000"/>
    <n v="200000"/>
    <n v="50000"/>
    <n v="1598"/>
  </r>
  <r>
    <s v="2025-02-14"/>
    <x v="2"/>
    <x v="3"/>
    <x v="1"/>
    <s v="Corporate"/>
    <x v="0"/>
    <x v="6"/>
    <x v="2"/>
    <n v="150000"/>
    <n v="9"/>
    <x v="0"/>
    <n v="120000"/>
    <n v="1350000"/>
    <n v="1080000"/>
    <n v="270000"/>
    <n v="1599"/>
  </r>
  <r>
    <s v="2025-04-09"/>
    <x v="1"/>
    <x v="0"/>
    <x v="2"/>
    <s v="Corporate"/>
    <x v="0"/>
    <x v="6"/>
    <x v="2"/>
    <n v="150000"/>
    <n v="8"/>
    <x v="1"/>
    <n v="120000"/>
    <n v="1200000"/>
    <n v="960000"/>
    <n v="240000"/>
    <n v="1600"/>
  </r>
  <r>
    <s v="2025-02-19"/>
    <x v="2"/>
    <x v="2"/>
    <x v="0"/>
    <s v="Retail"/>
    <x v="1"/>
    <x v="2"/>
    <x v="1"/>
    <n v="60000"/>
    <n v="4"/>
    <x v="1"/>
    <n v="48000"/>
    <n v="240000"/>
    <n v="192000"/>
    <n v="48000"/>
    <n v="1601"/>
  </r>
  <r>
    <s v="2025-03-03"/>
    <x v="3"/>
    <x v="0"/>
    <x v="3"/>
    <s v="Retail"/>
    <x v="1"/>
    <x v="1"/>
    <x v="1"/>
    <n v="30000"/>
    <n v="3"/>
    <x v="3"/>
    <n v="24000"/>
    <n v="90000"/>
    <n v="72000"/>
    <n v="18000"/>
    <n v="1602"/>
  </r>
  <r>
    <s v="2025-04-06"/>
    <x v="1"/>
    <x v="0"/>
    <x v="0"/>
    <s v="Retail"/>
    <x v="1"/>
    <x v="5"/>
    <x v="0"/>
    <n v="320000"/>
    <n v="4"/>
    <x v="3"/>
    <n v="256000"/>
    <n v="1280000"/>
    <n v="1024000"/>
    <n v="256000"/>
    <n v="1603"/>
  </r>
  <r>
    <s v="2025-03-03"/>
    <x v="3"/>
    <x v="3"/>
    <x v="2"/>
    <s v="Corporate"/>
    <x v="0"/>
    <x v="4"/>
    <x v="1"/>
    <n v="180000"/>
    <n v="8"/>
    <x v="2"/>
    <n v="144000"/>
    <n v="1440000"/>
    <n v="1152000"/>
    <n v="288000"/>
    <n v="1604"/>
  </r>
  <r>
    <s v="2025-04-30"/>
    <x v="1"/>
    <x v="1"/>
    <x v="3"/>
    <s v="Retail"/>
    <x v="1"/>
    <x v="0"/>
    <x v="0"/>
    <n v="85000"/>
    <n v="4"/>
    <x v="1"/>
    <n v="68000"/>
    <n v="340000"/>
    <n v="272000"/>
    <n v="68000"/>
    <n v="1605"/>
  </r>
  <r>
    <s v="2025-02-22"/>
    <x v="2"/>
    <x v="3"/>
    <x v="1"/>
    <s v="Corporate"/>
    <x v="1"/>
    <x v="9"/>
    <x v="1"/>
    <n v="220000"/>
    <n v="10"/>
    <x v="0"/>
    <n v="176000"/>
    <n v="2200000"/>
    <n v="1760000"/>
    <n v="440000"/>
    <n v="1606"/>
  </r>
  <r>
    <s v="2025-01-26"/>
    <x v="0"/>
    <x v="2"/>
    <x v="0"/>
    <s v="Corporate"/>
    <x v="1"/>
    <x v="0"/>
    <x v="0"/>
    <n v="85000"/>
    <n v="5"/>
    <x v="3"/>
    <n v="68000"/>
    <n v="425000"/>
    <n v="340000"/>
    <n v="85000"/>
    <n v="1607"/>
  </r>
  <r>
    <s v="2025-01-17"/>
    <x v="0"/>
    <x v="0"/>
    <x v="1"/>
    <s v="Retail"/>
    <x v="1"/>
    <x v="3"/>
    <x v="2"/>
    <n v="300000"/>
    <n v="2"/>
    <x v="4"/>
    <n v="240000"/>
    <n v="600000"/>
    <n v="480000"/>
    <n v="120000"/>
    <n v="1608"/>
  </r>
  <r>
    <s v="2025-03-06"/>
    <x v="3"/>
    <x v="1"/>
    <x v="3"/>
    <s v="Corporate"/>
    <x v="0"/>
    <x v="4"/>
    <x v="1"/>
    <n v="180000"/>
    <n v="1"/>
    <x v="3"/>
    <n v="144000"/>
    <n v="180000"/>
    <n v="144000"/>
    <n v="36000"/>
    <n v="1609"/>
  </r>
  <r>
    <s v="2025-01-24"/>
    <x v="0"/>
    <x v="2"/>
    <x v="3"/>
    <s v="Retail"/>
    <x v="0"/>
    <x v="6"/>
    <x v="2"/>
    <n v="150000"/>
    <n v="3"/>
    <x v="3"/>
    <n v="120000"/>
    <n v="450000"/>
    <n v="360000"/>
    <n v="90000"/>
    <n v="1610"/>
  </r>
  <r>
    <s v="2025-04-23"/>
    <x v="1"/>
    <x v="2"/>
    <x v="2"/>
    <s v="Corporate"/>
    <x v="1"/>
    <x v="4"/>
    <x v="1"/>
    <n v="180000"/>
    <n v="3"/>
    <x v="2"/>
    <n v="144000"/>
    <n v="540000"/>
    <n v="432000"/>
    <n v="108000"/>
    <n v="1611"/>
  </r>
  <r>
    <s v="2025-02-09"/>
    <x v="2"/>
    <x v="3"/>
    <x v="2"/>
    <s v="Retail"/>
    <x v="0"/>
    <x v="6"/>
    <x v="2"/>
    <n v="150000"/>
    <n v="5"/>
    <x v="1"/>
    <n v="120000"/>
    <n v="750000"/>
    <n v="600000"/>
    <n v="150000"/>
    <n v="1612"/>
  </r>
  <r>
    <s v="2025-02-21"/>
    <x v="2"/>
    <x v="1"/>
    <x v="3"/>
    <s v="Corporate"/>
    <x v="0"/>
    <x v="2"/>
    <x v="1"/>
    <n v="60000"/>
    <n v="8"/>
    <x v="1"/>
    <n v="48000"/>
    <n v="480000"/>
    <n v="384000"/>
    <n v="96000"/>
    <n v="1613"/>
  </r>
  <r>
    <s v="2025-03-12"/>
    <x v="3"/>
    <x v="1"/>
    <x v="0"/>
    <s v="Retail"/>
    <x v="1"/>
    <x v="8"/>
    <x v="2"/>
    <n v="250000"/>
    <n v="5"/>
    <x v="1"/>
    <n v="200000"/>
    <n v="1250000"/>
    <n v="1000000"/>
    <n v="250000"/>
    <n v="1614"/>
  </r>
  <r>
    <s v="2025-04-25"/>
    <x v="1"/>
    <x v="1"/>
    <x v="2"/>
    <s v="Retail"/>
    <x v="0"/>
    <x v="4"/>
    <x v="1"/>
    <n v="180000"/>
    <n v="3"/>
    <x v="0"/>
    <n v="144000"/>
    <n v="540000"/>
    <n v="432000"/>
    <n v="108000"/>
    <n v="1615"/>
  </r>
  <r>
    <s v="2025-03-15"/>
    <x v="3"/>
    <x v="3"/>
    <x v="0"/>
    <s v="Corporate"/>
    <x v="0"/>
    <x v="5"/>
    <x v="0"/>
    <n v="320000"/>
    <n v="9"/>
    <x v="0"/>
    <n v="256000"/>
    <n v="2880000"/>
    <n v="2304000"/>
    <n v="576000"/>
    <n v="1616"/>
  </r>
  <r>
    <s v="2025-02-19"/>
    <x v="2"/>
    <x v="0"/>
    <x v="0"/>
    <s v="Corporate"/>
    <x v="1"/>
    <x v="0"/>
    <x v="0"/>
    <n v="85000"/>
    <n v="5"/>
    <x v="2"/>
    <n v="68000"/>
    <n v="425000"/>
    <n v="340000"/>
    <n v="85000"/>
    <n v="1617"/>
  </r>
  <r>
    <s v="2025-01-04"/>
    <x v="0"/>
    <x v="2"/>
    <x v="1"/>
    <s v="Retail"/>
    <x v="0"/>
    <x v="9"/>
    <x v="1"/>
    <n v="220000"/>
    <n v="1"/>
    <x v="4"/>
    <n v="176000"/>
    <n v="220000"/>
    <n v="176000"/>
    <n v="44000"/>
    <n v="1618"/>
  </r>
  <r>
    <s v="2025-02-25"/>
    <x v="2"/>
    <x v="1"/>
    <x v="1"/>
    <s v="Retail"/>
    <x v="1"/>
    <x v="4"/>
    <x v="1"/>
    <n v="180000"/>
    <n v="2"/>
    <x v="2"/>
    <n v="144000"/>
    <n v="360000"/>
    <n v="288000"/>
    <n v="72000"/>
    <n v="1619"/>
  </r>
  <r>
    <s v="2025-03-13"/>
    <x v="3"/>
    <x v="1"/>
    <x v="1"/>
    <s v="Corporate"/>
    <x v="1"/>
    <x v="6"/>
    <x v="2"/>
    <n v="150000"/>
    <n v="1"/>
    <x v="3"/>
    <n v="120000"/>
    <n v="150000"/>
    <n v="120000"/>
    <n v="30000"/>
    <n v="1620"/>
  </r>
  <r>
    <s v="2025-03-28"/>
    <x v="3"/>
    <x v="0"/>
    <x v="2"/>
    <s v="Retail"/>
    <x v="1"/>
    <x v="4"/>
    <x v="1"/>
    <n v="180000"/>
    <n v="2"/>
    <x v="1"/>
    <n v="144000"/>
    <n v="360000"/>
    <n v="288000"/>
    <n v="72000"/>
    <n v="1621"/>
  </r>
  <r>
    <s v="2025-05-01"/>
    <x v="4"/>
    <x v="3"/>
    <x v="3"/>
    <s v="Corporate"/>
    <x v="0"/>
    <x v="5"/>
    <x v="0"/>
    <n v="320000"/>
    <n v="4"/>
    <x v="5"/>
    <n v="256000"/>
    <n v="1280000"/>
    <n v="1024000"/>
    <n v="256000"/>
    <n v="1622"/>
  </r>
  <r>
    <s v="2025-01-16"/>
    <x v="0"/>
    <x v="3"/>
    <x v="3"/>
    <s v="Retail"/>
    <x v="1"/>
    <x v="6"/>
    <x v="2"/>
    <n v="150000"/>
    <n v="10"/>
    <x v="0"/>
    <n v="120000"/>
    <n v="1500000"/>
    <n v="1200000"/>
    <n v="300000"/>
    <n v="1623"/>
  </r>
  <r>
    <s v="2025-02-15"/>
    <x v="2"/>
    <x v="2"/>
    <x v="2"/>
    <s v="Corporate"/>
    <x v="1"/>
    <x v="1"/>
    <x v="1"/>
    <n v="30000"/>
    <n v="3"/>
    <x v="3"/>
    <n v="24000"/>
    <n v="90000"/>
    <n v="72000"/>
    <n v="18000"/>
    <n v="1624"/>
  </r>
  <r>
    <s v="2025-03-24"/>
    <x v="3"/>
    <x v="2"/>
    <x v="2"/>
    <s v="Retail"/>
    <x v="1"/>
    <x v="0"/>
    <x v="0"/>
    <n v="85000"/>
    <n v="4"/>
    <x v="3"/>
    <n v="68000"/>
    <n v="340000"/>
    <n v="272000"/>
    <n v="68000"/>
    <n v="1625"/>
  </r>
  <r>
    <s v="2025-04-26"/>
    <x v="1"/>
    <x v="0"/>
    <x v="3"/>
    <s v="Retail"/>
    <x v="1"/>
    <x v="4"/>
    <x v="1"/>
    <n v="180000"/>
    <n v="10"/>
    <x v="3"/>
    <n v="144000"/>
    <n v="1800000"/>
    <n v="1440000"/>
    <n v="360000"/>
    <n v="1626"/>
  </r>
  <r>
    <s v="2025-03-25"/>
    <x v="3"/>
    <x v="0"/>
    <x v="1"/>
    <s v="Corporate"/>
    <x v="1"/>
    <x v="5"/>
    <x v="0"/>
    <n v="320000"/>
    <n v="9"/>
    <x v="4"/>
    <n v="256000"/>
    <n v="2880000"/>
    <n v="2304000"/>
    <n v="576000"/>
    <n v="1627"/>
  </r>
  <r>
    <s v="2025-04-15"/>
    <x v="1"/>
    <x v="2"/>
    <x v="1"/>
    <s v="Corporate"/>
    <x v="0"/>
    <x v="6"/>
    <x v="2"/>
    <n v="150000"/>
    <n v="3"/>
    <x v="5"/>
    <n v="120000"/>
    <n v="450000"/>
    <n v="360000"/>
    <n v="90000"/>
    <n v="1628"/>
  </r>
  <r>
    <s v="2025-04-22"/>
    <x v="1"/>
    <x v="3"/>
    <x v="1"/>
    <s v="Retail"/>
    <x v="0"/>
    <x v="9"/>
    <x v="1"/>
    <n v="220000"/>
    <n v="5"/>
    <x v="5"/>
    <n v="176000"/>
    <n v="1100000"/>
    <n v="880000"/>
    <n v="220000"/>
    <n v="1629"/>
  </r>
  <r>
    <s v="2025-01-25"/>
    <x v="0"/>
    <x v="3"/>
    <x v="3"/>
    <s v="Corporate"/>
    <x v="1"/>
    <x v="3"/>
    <x v="2"/>
    <n v="300000"/>
    <n v="2"/>
    <x v="0"/>
    <n v="240000"/>
    <n v="600000"/>
    <n v="480000"/>
    <n v="120000"/>
    <n v="1630"/>
  </r>
  <r>
    <s v="2025-01-15"/>
    <x v="0"/>
    <x v="1"/>
    <x v="0"/>
    <s v="Corporate"/>
    <x v="0"/>
    <x v="3"/>
    <x v="2"/>
    <n v="300000"/>
    <n v="6"/>
    <x v="5"/>
    <n v="240000"/>
    <n v="1800000"/>
    <n v="1440000"/>
    <n v="360000"/>
    <n v="1631"/>
  </r>
  <r>
    <s v="2025-03-13"/>
    <x v="3"/>
    <x v="3"/>
    <x v="3"/>
    <s v="Corporate"/>
    <x v="0"/>
    <x v="4"/>
    <x v="1"/>
    <n v="180000"/>
    <n v="7"/>
    <x v="5"/>
    <n v="144000"/>
    <n v="1260000"/>
    <n v="1008000"/>
    <n v="252000"/>
    <n v="1632"/>
  </r>
  <r>
    <s v="2025-03-06"/>
    <x v="3"/>
    <x v="0"/>
    <x v="2"/>
    <s v="Corporate"/>
    <x v="1"/>
    <x v="5"/>
    <x v="0"/>
    <n v="320000"/>
    <n v="6"/>
    <x v="0"/>
    <n v="256000"/>
    <n v="1920000"/>
    <n v="1536000"/>
    <n v="384000"/>
    <n v="1633"/>
  </r>
  <r>
    <s v="2025-03-13"/>
    <x v="3"/>
    <x v="3"/>
    <x v="1"/>
    <s v="Retail"/>
    <x v="1"/>
    <x v="8"/>
    <x v="2"/>
    <n v="250000"/>
    <n v="5"/>
    <x v="3"/>
    <n v="200000"/>
    <n v="1250000"/>
    <n v="1000000"/>
    <n v="250000"/>
    <n v="1634"/>
  </r>
  <r>
    <s v="2025-01-27"/>
    <x v="0"/>
    <x v="0"/>
    <x v="1"/>
    <s v="Retail"/>
    <x v="0"/>
    <x v="3"/>
    <x v="2"/>
    <n v="300000"/>
    <n v="3"/>
    <x v="5"/>
    <n v="240000"/>
    <n v="900000"/>
    <n v="720000"/>
    <n v="180000"/>
    <n v="1635"/>
  </r>
  <r>
    <s v="2025-01-19"/>
    <x v="0"/>
    <x v="0"/>
    <x v="3"/>
    <s v="Retail"/>
    <x v="1"/>
    <x v="4"/>
    <x v="1"/>
    <n v="180000"/>
    <n v="8"/>
    <x v="5"/>
    <n v="144000"/>
    <n v="1440000"/>
    <n v="1152000"/>
    <n v="288000"/>
    <n v="1636"/>
  </r>
  <r>
    <s v="2025-03-02"/>
    <x v="3"/>
    <x v="1"/>
    <x v="3"/>
    <s v="Retail"/>
    <x v="1"/>
    <x v="5"/>
    <x v="0"/>
    <n v="320000"/>
    <n v="5"/>
    <x v="1"/>
    <n v="256000"/>
    <n v="1600000"/>
    <n v="1280000"/>
    <n v="320000"/>
    <n v="1637"/>
  </r>
  <r>
    <s v="2025-03-08"/>
    <x v="3"/>
    <x v="0"/>
    <x v="3"/>
    <s v="Retail"/>
    <x v="0"/>
    <x v="8"/>
    <x v="2"/>
    <n v="250000"/>
    <n v="7"/>
    <x v="1"/>
    <n v="200000"/>
    <n v="1750000"/>
    <n v="1400000"/>
    <n v="350000"/>
    <n v="1638"/>
  </r>
  <r>
    <s v="2025-03-23"/>
    <x v="3"/>
    <x v="0"/>
    <x v="1"/>
    <s v="Retail"/>
    <x v="1"/>
    <x v="3"/>
    <x v="2"/>
    <n v="300000"/>
    <n v="8"/>
    <x v="0"/>
    <n v="240000"/>
    <n v="2400000"/>
    <n v="1920000"/>
    <n v="480000"/>
    <n v="1639"/>
  </r>
  <r>
    <s v="2025-01-17"/>
    <x v="0"/>
    <x v="0"/>
    <x v="1"/>
    <s v="Corporate"/>
    <x v="0"/>
    <x v="7"/>
    <x v="2"/>
    <n v="420000"/>
    <n v="4"/>
    <x v="5"/>
    <n v="336000"/>
    <n v="1680000"/>
    <n v="1344000"/>
    <n v="336000"/>
    <n v="1640"/>
  </r>
  <r>
    <s v="2025-02-25"/>
    <x v="2"/>
    <x v="0"/>
    <x v="0"/>
    <s v="Corporate"/>
    <x v="1"/>
    <x v="8"/>
    <x v="2"/>
    <n v="250000"/>
    <n v="6"/>
    <x v="2"/>
    <n v="200000"/>
    <n v="1500000"/>
    <n v="1200000"/>
    <n v="300000"/>
    <n v="1641"/>
  </r>
  <r>
    <s v="2025-02-08"/>
    <x v="2"/>
    <x v="1"/>
    <x v="3"/>
    <s v="Retail"/>
    <x v="0"/>
    <x v="6"/>
    <x v="2"/>
    <n v="150000"/>
    <n v="3"/>
    <x v="2"/>
    <n v="120000"/>
    <n v="450000"/>
    <n v="360000"/>
    <n v="90000"/>
    <n v="1642"/>
  </r>
  <r>
    <s v="2025-02-25"/>
    <x v="2"/>
    <x v="3"/>
    <x v="0"/>
    <s v="Corporate"/>
    <x v="1"/>
    <x v="3"/>
    <x v="2"/>
    <n v="300000"/>
    <n v="6"/>
    <x v="4"/>
    <n v="240000"/>
    <n v="1800000"/>
    <n v="1440000"/>
    <n v="360000"/>
    <n v="1643"/>
  </r>
  <r>
    <s v="2025-01-24"/>
    <x v="0"/>
    <x v="2"/>
    <x v="0"/>
    <s v="Retail"/>
    <x v="1"/>
    <x v="4"/>
    <x v="1"/>
    <n v="180000"/>
    <n v="2"/>
    <x v="2"/>
    <n v="144000"/>
    <n v="360000"/>
    <n v="288000"/>
    <n v="72000"/>
    <n v="1644"/>
  </r>
  <r>
    <s v="2025-02-21"/>
    <x v="2"/>
    <x v="1"/>
    <x v="1"/>
    <s v="Corporate"/>
    <x v="1"/>
    <x v="6"/>
    <x v="2"/>
    <n v="150000"/>
    <n v="6"/>
    <x v="1"/>
    <n v="120000"/>
    <n v="900000"/>
    <n v="720000"/>
    <n v="180000"/>
    <n v="1645"/>
  </r>
  <r>
    <s v="2025-03-31"/>
    <x v="3"/>
    <x v="2"/>
    <x v="2"/>
    <s v="Retail"/>
    <x v="1"/>
    <x v="2"/>
    <x v="1"/>
    <n v="60000"/>
    <n v="8"/>
    <x v="4"/>
    <n v="48000"/>
    <n v="480000"/>
    <n v="384000"/>
    <n v="96000"/>
    <n v="1646"/>
  </r>
  <r>
    <s v="2025-03-19"/>
    <x v="3"/>
    <x v="0"/>
    <x v="1"/>
    <s v="Retail"/>
    <x v="1"/>
    <x v="9"/>
    <x v="1"/>
    <n v="220000"/>
    <n v="9"/>
    <x v="2"/>
    <n v="176000"/>
    <n v="1980000"/>
    <n v="1584000"/>
    <n v="396000"/>
    <n v="1647"/>
  </r>
  <r>
    <s v="2025-03-14"/>
    <x v="3"/>
    <x v="3"/>
    <x v="3"/>
    <s v="Corporate"/>
    <x v="0"/>
    <x v="3"/>
    <x v="2"/>
    <n v="300000"/>
    <n v="9"/>
    <x v="3"/>
    <n v="240000"/>
    <n v="2700000"/>
    <n v="2160000"/>
    <n v="540000"/>
    <n v="1648"/>
  </r>
  <r>
    <s v="2025-01-11"/>
    <x v="0"/>
    <x v="0"/>
    <x v="3"/>
    <s v="Retail"/>
    <x v="0"/>
    <x v="7"/>
    <x v="2"/>
    <n v="420000"/>
    <n v="1"/>
    <x v="4"/>
    <n v="336000"/>
    <n v="420000"/>
    <n v="336000"/>
    <n v="84000"/>
    <n v="1649"/>
  </r>
  <r>
    <s v="2025-03-28"/>
    <x v="3"/>
    <x v="2"/>
    <x v="3"/>
    <s v="Retail"/>
    <x v="1"/>
    <x v="9"/>
    <x v="1"/>
    <n v="220000"/>
    <n v="6"/>
    <x v="3"/>
    <n v="176000"/>
    <n v="1320000"/>
    <n v="1056000"/>
    <n v="264000"/>
    <n v="1650"/>
  </r>
  <r>
    <s v="2025-03-13"/>
    <x v="3"/>
    <x v="0"/>
    <x v="1"/>
    <s v="Retail"/>
    <x v="1"/>
    <x v="1"/>
    <x v="1"/>
    <n v="30000"/>
    <n v="5"/>
    <x v="2"/>
    <n v="24000"/>
    <n v="150000"/>
    <n v="120000"/>
    <n v="30000"/>
    <n v="1651"/>
  </r>
  <r>
    <s v="2025-03-29"/>
    <x v="3"/>
    <x v="3"/>
    <x v="2"/>
    <s v="Corporate"/>
    <x v="0"/>
    <x v="1"/>
    <x v="1"/>
    <n v="30000"/>
    <n v="9"/>
    <x v="2"/>
    <n v="24000"/>
    <n v="270000"/>
    <n v="216000"/>
    <n v="54000"/>
    <n v="1652"/>
  </r>
  <r>
    <s v="2025-02-21"/>
    <x v="2"/>
    <x v="2"/>
    <x v="0"/>
    <s v="Retail"/>
    <x v="0"/>
    <x v="8"/>
    <x v="2"/>
    <n v="250000"/>
    <n v="1"/>
    <x v="3"/>
    <n v="200000"/>
    <n v="250000"/>
    <n v="200000"/>
    <n v="50000"/>
    <n v="1653"/>
  </r>
  <r>
    <s v="2025-03-30"/>
    <x v="3"/>
    <x v="2"/>
    <x v="3"/>
    <s v="Retail"/>
    <x v="0"/>
    <x v="9"/>
    <x v="1"/>
    <n v="220000"/>
    <n v="8"/>
    <x v="1"/>
    <n v="176000"/>
    <n v="1760000"/>
    <n v="1408000"/>
    <n v="352000"/>
    <n v="1654"/>
  </r>
  <r>
    <s v="2025-02-15"/>
    <x v="2"/>
    <x v="1"/>
    <x v="1"/>
    <s v="Retail"/>
    <x v="0"/>
    <x v="7"/>
    <x v="2"/>
    <n v="420000"/>
    <n v="8"/>
    <x v="5"/>
    <n v="336000"/>
    <n v="3360000"/>
    <n v="2688000"/>
    <n v="672000"/>
    <n v="1655"/>
  </r>
  <r>
    <s v="2025-03-10"/>
    <x v="3"/>
    <x v="3"/>
    <x v="2"/>
    <s v="Retail"/>
    <x v="0"/>
    <x v="3"/>
    <x v="2"/>
    <n v="300000"/>
    <n v="10"/>
    <x v="3"/>
    <n v="240000"/>
    <n v="3000000"/>
    <n v="2400000"/>
    <n v="600000"/>
    <n v="1656"/>
  </r>
  <r>
    <s v="2025-04-14"/>
    <x v="1"/>
    <x v="3"/>
    <x v="3"/>
    <s v="Retail"/>
    <x v="0"/>
    <x v="6"/>
    <x v="2"/>
    <n v="150000"/>
    <n v="1"/>
    <x v="3"/>
    <n v="120000"/>
    <n v="150000"/>
    <n v="120000"/>
    <n v="30000"/>
    <n v="1657"/>
  </r>
  <r>
    <s v="2025-01-27"/>
    <x v="0"/>
    <x v="3"/>
    <x v="3"/>
    <s v="Retail"/>
    <x v="1"/>
    <x v="9"/>
    <x v="1"/>
    <n v="220000"/>
    <n v="6"/>
    <x v="2"/>
    <n v="176000"/>
    <n v="1320000"/>
    <n v="1056000"/>
    <n v="264000"/>
    <n v="1658"/>
  </r>
  <r>
    <s v="2025-01-06"/>
    <x v="0"/>
    <x v="3"/>
    <x v="1"/>
    <s v="Corporate"/>
    <x v="0"/>
    <x v="4"/>
    <x v="1"/>
    <n v="180000"/>
    <n v="3"/>
    <x v="5"/>
    <n v="144000"/>
    <n v="540000"/>
    <n v="432000"/>
    <n v="108000"/>
    <n v="1659"/>
  </r>
  <r>
    <s v="2025-01-20"/>
    <x v="0"/>
    <x v="3"/>
    <x v="0"/>
    <s v="Retail"/>
    <x v="1"/>
    <x v="2"/>
    <x v="1"/>
    <n v="60000"/>
    <n v="10"/>
    <x v="3"/>
    <n v="48000"/>
    <n v="600000"/>
    <n v="480000"/>
    <n v="120000"/>
    <n v="1660"/>
  </r>
  <r>
    <s v="2025-04-16"/>
    <x v="1"/>
    <x v="2"/>
    <x v="0"/>
    <s v="Corporate"/>
    <x v="0"/>
    <x v="9"/>
    <x v="1"/>
    <n v="220000"/>
    <n v="1"/>
    <x v="4"/>
    <n v="176000"/>
    <n v="220000"/>
    <n v="176000"/>
    <n v="44000"/>
    <n v="1661"/>
  </r>
  <r>
    <s v="2025-04-19"/>
    <x v="1"/>
    <x v="3"/>
    <x v="2"/>
    <s v="Retail"/>
    <x v="1"/>
    <x v="8"/>
    <x v="2"/>
    <n v="250000"/>
    <n v="5"/>
    <x v="2"/>
    <n v="200000"/>
    <n v="1250000"/>
    <n v="1000000"/>
    <n v="250000"/>
    <n v="1662"/>
  </r>
  <r>
    <s v="2025-04-03"/>
    <x v="1"/>
    <x v="2"/>
    <x v="1"/>
    <s v="Corporate"/>
    <x v="1"/>
    <x v="8"/>
    <x v="2"/>
    <n v="250000"/>
    <n v="8"/>
    <x v="3"/>
    <n v="200000"/>
    <n v="2000000"/>
    <n v="1600000"/>
    <n v="400000"/>
    <n v="1663"/>
  </r>
  <r>
    <s v="2025-01-13"/>
    <x v="0"/>
    <x v="0"/>
    <x v="3"/>
    <s v="Corporate"/>
    <x v="0"/>
    <x v="6"/>
    <x v="2"/>
    <n v="150000"/>
    <n v="4"/>
    <x v="1"/>
    <n v="120000"/>
    <n v="600000"/>
    <n v="480000"/>
    <n v="120000"/>
    <n v="1664"/>
  </r>
  <r>
    <s v="2025-03-11"/>
    <x v="3"/>
    <x v="2"/>
    <x v="1"/>
    <s v="Retail"/>
    <x v="0"/>
    <x v="9"/>
    <x v="1"/>
    <n v="220000"/>
    <n v="3"/>
    <x v="4"/>
    <n v="176000"/>
    <n v="660000"/>
    <n v="528000"/>
    <n v="132000"/>
    <n v="1665"/>
  </r>
  <r>
    <s v="2025-01-20"/>
    <x v="0"/>
    <x v="2"/>
    <x v="2"/>
    <s v="Retail"/>
    <x v="0"/>
    <x v="4"/>
    <x v="1"/>
    <n v="180000"/>
    <n v="7"/>
    <x v="4"/>
    <n v="144000"/>
    <n v="1260000"/>
    <n v="1008000"/>
    <n v="252000"/>
    <n v="1666"/>
  </r>
  <r>
    <s v="2025-01-08"/>
    <x v="0"/>
    <x v="2"/>
    <x v="1"/>
    <s v="Corporate"/>
    <x v="1"/>
    <x v="6"/>
    <x v="2"/>
    <n v="150000"/>
    <n v="4"/>
    <x v="3"/>
    <n v="120000"/>
    <n v="600000"/>
    <n v="480000"/>
    <n v="120000"/>
    <n v="1667"/>
  </r>
  <r>
    <s v="2025-02-24"/>
    <x v="2"/>
    <x v="1"/>
    <x v="2"/>
    <s v="Corporate"/>
    <x v="0"/>
    <x v="6"/>
    <x v="2"/>
    <n v="150000"/>
    <n v="10"/>
    <x v="1"/>
    <n v="120000"/>
    <n v="1500000"/>
    <n v="1200000"/>
    <n v="300000"/>
    <n v="1668"/>
  </r>
  <r>
    <s v="2025-02-26"/>
    <x v="2"/>
    <x v="0"/>
    <x v="1"/>
    <s v="Retail"/>
    <x v="0"/>
    <x v="6"/>
    <x v="2"/>
    <n v="150000"/>
    <n v="1"/>
    <x v="5"/>
    <n v="120000"/>
    <n v="150000"/>
    <n v="120000"/>
    <n v="30000"/>
    <n v="1669"/>
  </r>
  <r>
    <s v="2025-02-24"/>
    <x v="2"/>
    <x v="3"/>
    <x v="2"/>
    <s v="Corporate"/>
    <x v="1"/>
    <x v="6"/>
    <x v="2"/>
    <n v="150000"/>
    <n v="4"/>
    <x v="1"/>
    <n v="120000"/>
    <n v="600000"/>
    <n v="480000"/>
    <n v="120000"/>
    <n v="1670"/>
  </r>
  <r>
    <s v="2025-03-26"/>
    <x v="3"/>
    <x v="0"/>
    <x v="2"/>
    <s v="Corporate"/>
    <x v="0"/>
    <x v="2"/>
    <x v="1"/>
    <n v="60000"/>
    <n v="5"/>
    <x v="4"/>
    <n v="48000"/>
    <n v="300000"/>
    <n v="240000"/>
    <n v="60000"/>
    <n v="1671"/>
  </r>
  <r>
    <s v="2025-02-22"/>
    <x v="2"/>
    <x v="2"/>
    <x v="3"/>
    <s v="Retail"/>
    <x v="1"/>
    <x v="9"/>
    <x v="1"/>
    <n v="220000"/>
    <n v="7"/>
    <x v="0"/>
    <n v="176000"/>
    <n v="1540000"/>
    <n v="1232000"/>
    <n v="308000"/>
    <n v="1672"/>
  </r>
  <r>
    <s v="2025-01-04"/>
    <x v="0"/>
    <x v="3"/>
    <x v="1"/>
    <s v="Retail"/>
    <x v="1"/>
    <x v="6"/>
    <x v="2"/>
    <n v="150000"/>
    <n v="4"/>
    <x v="5"/>
    <n v="120000"/>
    <n v="600000"/>
    <n v="480000"/>
    <n v="120000"/>
    <n v="1673"/>
  </r>
  <r>
    <s v="2025-04-19"/>
    <x v="1"/>
    <x v="1"/>
    <x v="2"/>
    <s v="Corporate"/>
    <x v="0"/>
    <x v="5"/>
    <x v="0"/>
    <n v="320000"/>
    <n v="6"/>
    <x v="0"/>
    <n v="256000"/>
    <n v="1920000"/>
    <n v="1536000"/>
    <n v="384000"/>
    <n v="1674"/>
  </r>
  <r>
    <s v="2025-03-16"/>
    <x v="3"/>
    <x v="2"/>
    <x v="0"/>
    <s v="Retail"/>
    <x v="1"/>
    <x v="5"/>
    <x v="0"/>
    <n v="320000"/>
    <n v="6"/>
    <x v="4"/>
    <n v="256000"/>
    <n v="1920000"/>
    <n v="1536000"/>
    <n v="384000"/>
    <n v="1675"/>
  </r>
  <r>
    <s v="2025-02-27"/>
    <x v="2"/>
    <x v="0"/>
    <x v="0"/>
    <s v="Corporate"/>
    <x v="1"/>
    <x v="2"/>
    <x v="1"/>
    <n v="60000"/>
    <n v="4"/>
    <x v="4"/>
    <n v="48000"/>
    <n v="240000"/>
    <n v="192000"/>
    <n v="48000"/>
    <n v="1676"/>
  </r>
  <r>
    <s v="2025-04-02"/>
    <x v="1"/>
    <x v="3"/>
    <x v="1"/>
    <s v="Retail"/>
    <x v="0"/>
    <x v="0"/>
    <x v="0"/>
    <n v="85000"/>
    <n v="8"/>
    <x v="1"/>
    <n v="68000"/>
    <n v="680000"/>
    <n v="544000"/>
    <n v="136000"/>
    <n v="1677"/>
  </r>
  <r>
    <s v="2025-02-28"/>
    <x v="2"/>
    <x v="2"/>
    <x v="2"/>
    <s v="Corporate"/>
    <x v="0"/>
    <x v="0"/>
    <x v="0"/>
    <n v="85000"/>
    <n v="2"/>
    <x v="5"/>
    <n v="68000"/>
    <n v="170000"/>
    <n v="136000"/>
    <n v="34000"/>
    <n v="1678"/>
  </r>
  <r>
    <s v="2025-02-09"/>
    <x v="2"/>
    <x v="3"/>
    <x v="2"/>
    <s v="Corporate"/>
    <x v="1"/>
    <x v="0"/>
    <x v="0"/>
    <n v="85000"/>
    <n v="9"/>
    <x v="0"/>
    <n v="68000"/>
    <n v="765000"/>
    <n v="612000"/>
    <n v="153000"/>
    <n v="1679"/>
  </r>
  <r>
    <s v="2025-03-18"/>
    <x v="3"/>
    <x v="2"/>
    <x v="2"/>
    <s v="Retail"/>
    <x v="1"/>
    <x v="7"/>
    <x v="2"/>
    <n v="420000"/>
    <n v="3"/>
    <x v="3"/>
    <n v="336000"/>
    <n v="1260000"/>
    <n v="1008000"/>
    <n v="252000"/>
    <n v="1680"/>
  </r>
  <r>
    <s v="2025-03-02"/>
    <x v="3"/>
    <x v="3"/>
    <x v="1"/>
    <s v="Retail"/>
    <x v="0"/>
    <x v="3"/>
    <x v="2"/>
    <n v="300000"/>
    <n v="5"/>
    <x v="3"/>
    <n v="240000"/>
    <n v="1500000"/>
    <n v="1200000"/>
    <n v="300000"/>
    <n v="1681"/>
  </r>
  <r>
    <s v="2025-03-19"/>
    <x v="3"/>
    <x v="1"/>
    <x v="2"/>
    <s v="Corporate"/>
    <x v="1"/>
    <x v="1"/>
    <x v="1"/>
    <n v="30000"/>
    <n v="1"/>
    <x v="0"/>
    <n v="24000"/>
    <n v="30000"/>
    <n v="24000"/>
    <n v="6000"/>
    <n v="1682"/>
  </r>
  <r>
    <s v="2025-01-27"/>
    <x v="0"/>
    <x v="0"/>
    <x v="3"/>
    <s v="Corporate"/>
    <x v="1"/>
    <x v="9"/>
    <x v="1"/>
    <n v="220000"/>
    <n v="8"/>
    <x v="4"/>
    <n v="176000"/>
    <n v="1760000"/>
    <n v="1408000"/>
    <n v="352000"/>
    <n v="1683"/>
  </r>
  <r>
    <s v="2025-03-08"/>
    <x v="3"/>
    <x v="3"/>
    <x v="0"/>
    <s v="Corporate"/>
    <x v="0"/>
    <x v="5"/>
    <x v="0"/>
    <n v="320000"/>
    <n v="5"/>
    <x v="0"/>
    <n v="256000"/>
    <n v="1600000"/>
    <n v="1280000"/>
    <n v="320000"/>
    <n v="1684"/>
  </r>
  <r>
    <s v="2025-03-07"/>
    <x v="3"/>
    <x v="1"/>
    <x v="1"/>
    <s v="Corporate"/>
    <x v="0"/>
    <x v="3"/>
    <x v="2"/>
    <n v="300000"/>
    <n v="10"/>
    <x v="3"/>
    <n v="240000"/>
    <n v="3000000"/>
    <n v="2400000"/>
    <n v="600000"/>
    <n v="1685"/>
  </r>
  <r>
    <s v="2025-03-30"/>
    <x v="3"/>
    <x v="3"/>
    <x v="0"/>
    <s v="Retail"/>
    <x v="1"/>
    <x v="9"/>
    <x v="1"/>
    <n v="220000"/>
    <n v="1"/>
    <x v="0"/>
    <n v="176000"/>
    <n v="220000"/>
    <n v="176000"/>
    <n v="44000"/>
    <n v="1686"/>
  </r>
  <r>
    <s v="2025-01-05"/>
    <x v="0"/>
    <x v="2"/>
    <x v="2"/>
    <s v="Corporate"/>
    <x v="0"/>
    <x v="1"/>
    <x v="1"/>
    <n v="30000"/>
    <n v="6"/>
    <x v="1"/>
    <n v="24000"/>
    <n v="180000"/>
    <n v="144000"/>
    <n v="36000"/>
    <n v="1687"/>
  </r>
  <r>
    <s v="2025-02-17"/>
    <x v="2"/>
    <x v="3"/>
    <x v="1"/>
    <s v="Retail"/>
    <x v="0"/>
    <x v="7"/>
    <x v="2"/>
    <n v="420000"/>
    <n v="1"/>
    <x v="5"/>
    <n v="336000"/>
    <n v="420000"/>
    <n v="336000"/>
    <n v="84000"/>
    <n v="1688"/>
  </r>
  <r>
    <s v="2025-01-08"/>
    <x v="0"/>
    <x v="2"/>
    <x v="3"/>
    <s v="Corporate"/>
    <x v="1"/>
    <x v="7"/>
    <x v="2"/>
    <n v="420000"/>
    <n v="6"/>
    <x v="4"/>
    <n v="336000"/>
    <n v="2520000"/>
    <n v="2016000"/>
    <n v="504000"/>
    <n v="1689"/>
  </r>
  <r>
    <s v="2025-03-11"/>
    <x v="3"/>
    <x v="2"/>
    <x v="3"/>
    <s v="Retail"/>
    <x v="1"/>
    <x v="0"/>
    <x v="0"/>
    <n v="85000"/>
    <n v="7"/>
    <x v="3"/>
    <n v="68000"/>
    <n v="595000"/>
    <n v="476000"/>
    <n v="119000"/>
    <n v="1690"/>
  </r>
  <r>
    <s v="2025-01-03"/>
    <x v="0"/>
    <x v="2"/>
    <x v="1"/>
    <s v="Corporate"/>
    <x v="1"/>
    <x v="6"/>
    <x v="2"/>
    <n v="150000"/>
    <n v="7"/>
    <x v="5"/>
    <n v="120000"/>
    <n v="1050000"/>
    <n v="840000"/>
    <n v="210000"/>
    <n v="1691"/>
  </r>
  <r>
    <s v="2025-01-04"/>
    <x v="0"/>
    <x v="0"/>
    <x v="1"/>
    <s v="Retail"/>
    <x v="1"/>
    <x v="6"/>
    <x v="2"/>
    <n v="150000"/>
    <n v="10"/>
    <x v="0"/>
    <n v="120000"/>
    <n v="1500000"/>
    <n v="1200000"/>
    <n v="300000"/>
    <n v="1692"/>
  </r>
  <r>
    <s v="2025-03-07"/>
    <x v="3"/>
    <x v="1"/>
    <x v="0"/>
    <s v="Retail"/>
    <x v="1"/>
    <x v="1"/>
    <x v="1"/>
    <n v="30000"/>
    <n v="9"/>
    <x v="0"/>
    <n v="24000"/>
    <n v="270000"/>
    <n v="216000"/>
    <n v="54000"/>
    <n v="1693"/>
  </r>
  <r>
    <s v="2025-04-01"/>
    <x v="1"/>
    <x v="2"/>
    <x v="2"/>
    <s v="Corporate"/>
    <x v="0"/>
    <x v="5"/>
    <x v="0"/>
    <n v="320000"/>
    <n v="8"/>
    <x v="4"/>
    <n v="256000"/>
    <n v="2560000"/>
    <n v="2048000"/>
    <n v="512000"/>
    <n v="1694"/>
  </r>
  <r>
    <s v="2025-03-03"/>
    <x v="3"/>
    <x v="1"/>
    <x v="3"/>
    <s v="Retail"/>
    <x v="1"/>
    <x v="1"/>
    <x v="1"/>
    <n v="30000"/>
    <n v="9"/>
    <x v="2"/>
    <n v="24000"/>
    <n v="270000"/>
    <n v="216000"/>
    <n v="54000"/>
    <n v="1695"/>
  </r>
  <r>
    <s v="2025-04-03"/>
    <x v="1"/>
    <x v="1"/>
    <x v="2"/>
    <s v="Corporate"/>
    <x v="0"/>
    <x v="8"/>
    <x v="2"/>
    <n v="250000"/>
    <n v="3"/>
    <x v="1"/>
    <n v="200000"/>
    <n v="750000"/>
    <n v="600000"/>
    <n v="150000"/>
    <n v="1696"/>
  </r>
  <r>
    <s v="2025-01-07"/>
    <x v="0"/>
    <x v="1"/>
    <x v="1"/>
    <s v="Corporate"/>
    <x v="0"/>
    <x v="2"/>
    <x v="1"/>
    <n v="60000"/>
    <n v="2"/>
    <x v="1"/>
    <n v="48000"/>
    <n v="120000"/>
    <n v="96000"/>
    <n v="24000"/>
    <n v="1697"/>
  </r>
  <r>
    <s v="2025-03-28"/>
    <x v="3"/>
    <x v="0"/>
    <x v="3"/>
    <s v="Retail"/>
    <x v="1"/>
    <x v="5"/>
    <x v="0"/>
    <n v="320000"/>
    <n v="3"/>
    <x v="2"/>
    <n v="256000"/>
    <n v="960000"/>
    <n v="768000"/>
    <n v="192000"/>
    <n v="1698"/>
  </r>
  <r>
    <s v="2025-03-11"/>
    <x v="3"/>
    <x v="1"/>
    <x v="2"/>
    <s v="Retail"/>
    <x v="0"/>
    <x v="3"/>
    <x v="2"/>
    <n v="300000"/>
    <n v="9"/>
    <x v="1"/>
    <n v="240000"/>
    <n v="2700000"/>
    <n v="2160000"/>
    <n v="540000"/>
    <n v="1699"/>
  </r>
  <r>
    <s v="2025-01-09"/>
    <x v="0"/>
    <x v="1"/>
    <x v="3"/>
    <s v="Retail"/>
    <x v="0"/>
    <x v="7"/>
    <x v="2"/>
    <n v="420000"/>
    <n v="4"/>
    <x v="5"/>
    <n v="336000"/>
    <n v="1680000"/>
    <n v="1344000"/>
    <n v="336000"/>
    <n v="1700"/>
  </r>
  <r>
    <s v="2025-03-01"/>
    <x v="3"/>
    <x v="0"/>
    <x v="0"/>
    <s v="Retail"/>
    <x v="1"/>
    <x v="5"/>
    <x v="0"/>
    <n v="320000"/>
    <n v="6"/>
    <x v="3"/>
    <n v="256000"/>
    <n v="1920000"/>
    <n v="1536000"/>
    <n v="384000"/>
    <n v="1701"/>
  </r>
  <r>
    <s v="2025-04-30"/>
    <x v="1"/>
    <x v="0"/>
    <x v="3"/>
    <s v="Retail"/>
    <x v="1"/>
    <x v="9"/>
    <x v="1"/>
    <n v="220000"/>
    <n v="4"/>
    <x v="5"/>
    <n v="176000"/>
    <n v="880000"/>
    <n v="704000"/>
    <n v="176000"/>
    <n v="1702"/>
  </r>
  <r>
    <s v="2025-04-02"/>
    <x v="1"/>
    <x v="2"/>
    <x v="3"/>
    <s v="Retail"/>
    <x v="1"/>
    <x v="0"/>
    <x v="0"/>
    <n v="85000"/>
    <n v="8"/>
    <x v="1"/>
    <n v="68000"/>
    <n v="680000"/>
    <n v="544000"/>
    <n v="136000"/>
    <n v="1703"/>
  </r>
  <r>
    <s v="2025-04-14"/>
    <x v="1"/>
    <x v="0"/>
    <x v="0"/>
    <s v="Retail"/>
    <x v="1"/>
    <x v="7"/>
    <x v="2"/>
    <n v="420000"/>
    <n v="7"/>
    <x v="2"/>
    <n v="336000"/>
    <n v="2940000"/>
    <n v="2352000"/>
    <n v="588000"/>
    <n v="1704"/>
  </r>
  <r>
    <s v="2025-01-29"/>
    <x v="0"/>
    <x v="1"/>
    <x v="3"/>
    <s v="Corporate"/>
    <x v="1"/>
    <x v="9"/>
    <x v="1"/>
    <n v="220000"/>
    <n v="2"/>
    <x v="0"/>
    <n v="176000"/>
    <n v="440000"/>
    <n v="352000"/>
    <n v="88000"/>
    <n v="1705"/>
  </r>
  <r>
    <s v="2025-02-10"/>
    <x v="2"/>
    <x v="3"/>
    <x v="2"/>
    <s v="Retail"/>
    <x v="0"/>
    <x v="6"/>
    <x v="2"/>
    <n v="150000"/>
    <n v="1"/>
    <x v="3"/>
    <n v="120000"/>
    <n v="150000"/>
    <n v="120000"/>
    <n v="30000"/>
    <n v="1706"/>
  </r>
  <r>
    <s v="2025-02-01"/>
    <x v="2"/>
    <x v="3"/>
    <x v="0"/>
    <s v="Corporate"/>
    <x v="1"/>
    <x v="7"/>
    <x v="2"/>
    <n v="420000"/>
    <n v="4"/>
    <x v="4"/>
    <n v="336000"/>
    <n v="1680000"/>
    <n v="1344000"/>
    <n v="336000"/>
    <n v="1707"/>
  </r>
  <r>
    <s v="2025-01-15"/>
    <x v="0"/>
    <x v="2"/>
    <x v="1"/>
    <s v="Corporate"/>
    <x v="0"/>
    <x v="3"/>
    <x v="2"/>
    <n v="300000"/>
    <n v="1"/>
    <x v="2"/>
    <n v="240000"/>
    <n v="300000"/>
    <n v="240000"/>
    <n v="60000"/>
    <n v="1708"/>
  </r>
  <r>
    <s v="2025-02-05"/>
    <x v="2"/>
    <x v="0"/>
    <x v="1"/>
    <s v="Retail"/>
    <x v="1"/>
    <x v="3"/>
    <x v="2"/>
    <n v="300000"/>
    <n v="9"/>
    <x v="1"/>
    <n v="240000"/>
    <n v="2700000"/>
    <n v="2160000"/>
    <n v="540000"/>
    <n v="1709"/>
  </r>
  <r>
    <s v="2025-02-19"/>
    <x v="2"/>
    <x v="2"/>
    <x v="3"/>
    <s v="Retail"/>
    <x v="0"/>
    <x v="8"/>
    <x v="2"/>
    <n v="250000"/>
    <n v="6"/>
    <x v="1"/>
    <n v="200000"/>
    <n v="1500000"/>
    <n v="1200000"/>
    <n v="300000"/>
    <n v="1710"/>
  </r>
  <r>
    <s v="2025-02-22"/>
    <x v="2"/>
    <x v="3"/>
    <x v="2"/>
    <s v="Retail"/>
    <x v="1"/>
    <x v="1"/>
    <x v="1"/>
    <n v="30000"/>
    <n v="7"/>
    <x v="2"/>
    <n v="24000"/>
    <n v="210000"/>
    <n v="168000"/>
    <n v="42000"/>
    <n v="1711"/>
  </r>
  <r>
    <s v="2025-01-01"/>
    <x v="0"/>
    <x v="2"/>
    <x v="0"/>
    <s v="Corporate"/>
    <x v="0"/>
    <x v="0"/>
    <x v="0"/>
    <n v="85000"/>
    <n v="7"/>
    <x v="5"/>
    <n v="68000"/>
    <n v="595000"/>
    <n v="476000"/>
    <n v="119000"/>
    <n v="1712"/>
  </r>
  <r>
    <s v="2025-03-24"/>
    <x v="3"/>
    <x v="0"/>
    <x v="3"/>
    <s v="Corporate"/>
    <x v="0"/>
    <x v="0"/>
    <x v="0"/>
    <n v="85000"/>
    <n v="7"/>
    <x v="5"/>
    <n v="68000"/>
    <n v="595000"/>
    <n v="476000"/>
    <n v="119000"/>
    <n v="1713"/>
  </r>
  <r>
    <s v="2025-01-26"/>
    <x v="0"/>
    <x v="2"/>
    <x v="2"/>
    <s v="Retail"/>
    <x v="0"/>
    <x v="1"/>
    <x v="1"/>
    <n v="30000"/>
    <n v="4"/>
    <x v="0"/>
    <n v="24000"/>
    <n v="120000"/>
    <n v="96000"/>
    <n v="24000"/>
    <n v="1714"/>
  </r>
  <r>
    <s v="2025-03-27"/>
    <x v="3"/>
    <x v="0"/>
    <x v="2"/>
    <s v="Retail"/>
    <x v="0"/>
    <x v="6"/>
    <x v="2"/>
    <n v="150000"/>
    <n v="9"/>
    <x v="1"/>
    <n v="120000"/>
    <n v="1350000"/>
    <n v="1080000"/>
    <n v="270000"/>
    <n v="1715"/>
  </r>
  <r>
    <s v="2025-04-01"/>
    <x v="1"/>
    <x v="3"/>
    <x v="0"/>
    <s v="Corporate"/>
    <x v="1"/>
    <x v="9"/>
    <x v="1"/>
    <n v="220000"/>
    <n v="9"/>
    <x v="5"/>
    <n v="176000"/>
    <n v="1980000"/>
    <n v="1584000"/>
    <n v="396000"/>
    <n v="1716"/>
  </r>
  <r>
    <s v="2025-01-06"/>
    <x v="0"/>
    <x v="1"/>
    <x v="2"/>
    <s v="Corporate"/>
    <x v="0"/>
    <x v="1"/>
    <x v="1"/>
    <n v="30000"/>
    <n v="8"/>
    <x v="4"/>
    <n v="24000"/>
    <n v="240000"/>
    <n v="192000"/>
    <n v="48000"/>
    <n v="1717"/>
  </r>
  <r>
    <s v="2025-01-04"/>
    <x v="0"/>
    <x v="1"/>
    <x v="2"/>
    <s v="Retail"/>
    <x v="0"/>
    <x v="0"/>
    <x v="0"/>
    <n v="85000"/>
    <n v="2"/>
    <x v="1"/>
    <n v="68000"/>
    <n v="170000"/>
    <n v="136000"/>
    <n v="34000"/>
    <n v="1718"/>
  </r>
  <r>
    <s v="2025-03-31"/>
    <x v="3"/>
    <x v="2"/>
    <x v="1"/>
    <s v="Corporate"/>
    <x v="0"/>
    <x v="4"/>
    <x v="1"/>
    <n v="180000"/>
    <n v="9"/>
    <x v="1"/>
    <n v="144000"/>
    <n v="1620000"/>
    <n v="1296000"/>
    <n v="324000"/>
    <n v="1719"/>
  </r>
  <r>
    <s v="2025-02-08"/>
    <x v="2"/>
    <x v="1"/>
    <x v="2"/>
    <s v="Retail"/>
    <x v="0"/>
    <x v="6"/>
    <x v="2"/>
    <n v="150000"/>
    <n v="8"/>
    <x v="5"/>
    <n v="120000"/>
    <n v="1200000"/>
    <n v="960000"/>
    <n v="240000"/>
    <n v="1720"/>
  </r>
  <r>
    <s v="2025-01-28"/>
    <x v="0"/>
    <x v="3"/>
    <x v="0"/>
    <s v="Retail"/>
    <x v="0"/>
    <x v="2"/>
    <x v="1"/>
    <n v="60000"/>
    <n v="8"/>
    <x v="4"/>
    <n v="48000"/>
    <n v="480000"/>
    <n v="384000"/>
    <n v="96000"/>
    <n v="1721"/>
  </r>
  <r>
    <s v="2025-01-04"/>
    <x v="0"/>
    <x v="0"/>
    <x v="0"/>
    <s v="Retail"/>
    <x v="1"/>
    <x v="3"/>
    <x v="2"/>
    <n v="300000"/>
    <n v="5"/>
    <x v="2"/>
    <n v="240000"/>
    <n v="1500000"/>
    <n v="1200000"/>
    <n v="300000"/>
    <n v="1722"/>
  </r>
  <r>
    <s v="2025-02-14"/>
    <x v="2"/>
    <x v="3"/>
    <x v="1"/>
    <s v="Retail"/>
    <x v="0"/>
    <x v="1"/>
    <x v="1"/>
    <n v="30000"/>
    <n v="8"/>
    <x v="3"/>
    <n v="24000"/>
    <n v="240000"/>
    <n v="192000"/>
    <n v="48000"/>
    <n v="1723"/>
  </r>
  <r>
    <s v="2025-03-07"/>
    <x v="3"/>
    <x v="3"/>
    <x v="0"/>
    <s v="Corporate"/>
    <x v="1"/>
    <x v="7"/>
    <x v="2"/>
    <n v="420000"/>
    <n v="3"/>
    <x v="1"/>
    <n v="336000"/>
    <n v="1260000"/>
    <n v="1008000"/>
    <n v="252000"/>
    <n v="1724"/>
  </r>
  <r>
    <s v="2025-02-20"/>
    <x v="2"/>
    <x v="0"/>
    <x v="0"/>
    <s v="Corporate"/>
    <x v="0"/>
    <x v="7"/>
    <x v="2"/>
    <n v="420000"/>
    <n v="7"/>
    <x v="5"/>
    <n v="336000"/>
    <n v="2940000"/>
    <n v="2352000"/>
    <n v="588000"/>
    <n v="1725"/>
  </r>
  <r>
    <s v="2025-03-30"/>
    <x v="3"/>
    <x v="1"/>
    <x v="1"/>
    <s v="Corporate"/>
    <x v="0"/>
    <x v="0"/>
    <x v="0"/>
    <n v="85000"/>
    <n v="9"/>
    <x v="5"/>
    <n v="68000"/>
    <n v="765000"/>
    <n v="612000"/>
    <n v="153000"/>
    <n v="1726"/>
  </r>
  <r>
    <s v="2025-03-26"/>
    <x v="3"/>
    <x v="1"/>
    <x v="1"/>
    <s v="Corporate"/>
    <x v="0"/>
    <x v="3"/>
    <x v="2"/>
    <n v="300000"/>
    <n v="8"/>
    <x v="2"/>
    <n v="240000"/>
    <n v="2400000"/>
    <n v="1920000"/>
    <n v="480000"/>
    <n v="1727"/>
  </r>
  <r>
    <s v="2025-04-13"/>
    <x v="1"/>
    <x v="3"/>
    <x v="3"/>
    <s v="Retail"/>
    <x v="1"/>
    <x v="7"/>
    <x v="2"/>
    <n v="420000"/>
    <n v="6"/>
    <x v="0"/>
    <n v="336000"/>
    <n v="2520000"/>
    <n v="2016000"/>
    <n v="504000"/>
    <n v="1728"/>
  </r>
  <r>
    <s v="2025-04-02"/>
    <x v="1"/>
    <x v="2"/>
    <x v="3"/>
    <s v="Corporate"/>
    <x v="0"/>
    <x v="6"/>
    <x v="2"/>
    <n v="150000"/>
    <n v="9"/>
    <x v="3"/>
    <n v="120000"/>
    <n v="1350000"/>
    <n v="1080000"/>
    <n v="270000"/>
    <n v="1729"/>
  </r>
  <r>
    <s v="2025-01-30"/>
    <x v="0"/>
    <x v="1"/>
    <x v="2"/>
    <s v="Retail"/>
    <x v="1"/>
    <x v="1"/>
    <x v="1"/>
    <n v="30000"/>
    <n v="3"/>
    <x v="2"/>
    <n v="24000"/>
    <n v="90000"/>
    <n v="72000"/>
    <n v="18000"/>
    <n v="1730"/>
  </r>
  <r>
    <s v="2025-03-27"/>
    <x v="3"/>
    <x v="1"/>
    <x v="2"/>
    <s v="Retail"/>
    <x v="1"/>
    <x v="1"/>
    <x v="1"/>
    <n v="30000"/>
    <n v="4"/>
    <x v="4"/>
    <n v="24000"/>
    <n v="120000"/>
    <n v="96000"/>
    <n v="24000"/>
    <n v="1731"/>
  </r>
  <r>
    <s v="2025-03-28"/>
    <x v="3"/>
    <x v="3"/>
    <x v="1"/>
    <s v="Corporate"/>
    <x v="0"/>
    <x v="2"/>
    <x v="1"/>
    <n v="60000"/>
    <n v="4"/>
    <x v="4"/>
    <n v="48000"/>
    <n v="240000"/>
    <n v="192000"/>
    <n v="48000"/>
    <n v="1732"/>
  </r>
  <r>
    <s v="2025-02-10"/>
    <x v="2"/>
    <x v="3"/>
    <x v="2"/>
    <s v="Retail"/>
    <x v="1"/>
    <x v="8"/>
    <x v="2"/>
    <n v="250000"/>
    <n v="8"/>
    <x v="0"/>
    <n v="200000"/>
    <n v="2000000"/>
    <n v="1600000"/>
    <n v="400000"/>
    <n v="1733"/>
  </r>
  <r>
    <s v="2025-03-29"/>
    <x v="3"/>
    <x v="3"/>
    <x v="3"/>
    <s v="Corporate"/>
    <x v="0"/>
    <x v="1"/>
    <x v="1"/>
    <n v="30000"/>
    <n v="6"/>
    <x v="2"/>
    <n v="24000"/>
    <n v="180000"/>
    <n v="144000"/>
    <n v="36000"/>
    <n v="1734"/>
  </r>
  <r>
    <s v="2025-02-13"/>
    <x v="2"/>
    <x v="2"/>
    <x v="1"/>
    <s v="Corporate"/>
    <x v="1"/>
    <x v="8"/>
    <x v="2"/>
    <n v="250000"/>
    <n v="1"/>
    <x v="1"/>
    <n v="200000"/>
    <n v="250000"/>
    <n v="200000"/>
    <n v="50000"/>
    <n v="1735"/>
  </r>
  <r>
    <s v="2025-03-05"/>
    <x v="3"/>
    <x v="0"/>
    <x v="0"/>
    <s v="Retail"/>
    <x v="0"/>
    <x v="0"/>
    <x v="0"/>
    <n v="85000"/>
    <n v="1"/>
    <x v="3"/>
    <n v="68000"/>
    <n v="85000"/>
    <n v="68000"/>
    <n v="17000"/>
    <n v="1736"/>
  </r>
  <r>
    <s v="2025-02-08"/>
    <x v="2"/>
    <x v="3"/>
    <x v="0"/>
    <s v="Corporate"/>
    <x v="1"/>
    <x v="1"/>
    <x v="1"/>
    <n v="30000"/>
    <n v="9"/>
    <x v="0"/>
    <n v="24000"/>
    <n v="270000"/>
    <n v="216000"/>
    <n v="54000"/>
    <n v="1737"/>
  </r>
  <r>
    <s v="2025-04-10"/>
    <x v="1"/>
    <x v="2"/>
    <x v="3"/>
    <s v="Corporate"/>
    <x v="1"/>
    <x v="1"/>
    <x v="1"/>
    <n v="30000"/>
    <n v="3"/>
    <x v="0"/>
    <n v="24000"/>
    <n v="90000"/>
    <n v="72000"/>
    <n v="18000"/>
    <n v="1738"/>
  </r>
  <r>
    <s v="2025-01-21"/>
    <x v="0"/>
    <x v="2"/>
    <x v="0"/>
    <s v="Corporate"/>
    <x v="1"/>
    <x v="6"/>
    <x v="2"/>
    <n v="150000"/>
    <n v="8"/>
    <x v="2"/>
    <n v="120000"/>
    <n v="1200000"/>
    <n v="960000"/>
    <n v="240000"/>
    <n v="1739"/>
  </r>
  <r>
    <s v="2025-02-19"/>
    <x v="2"/>
    <x v="3"/>
    <x v="2"/>
    <s v="Retail"/>
    <x v="1"/>
    <x v="0"/>
    <x v="0"/>
    <n v="85000"/>
    <n v="4"/>
    <x v="1"/>
    <n v="68000"/>
    <n v="340000"/>
    <n v="272000"/>
    <n v="68000"/>
    <n v="1740"/>
  </r>
  <r>
    <s v="2025-03-17"/>
    <x v="3"/>
    <x v="0"/>
    <x v="2"/>
    <s v="Corporate"/>
    <x v="1"/>
    <x v="5"/>
    <x v="0"/>
    <n v="320000"/>
    <n v="3"/>
    <x v="2"/>
    <n v="256000"/>
    <n v="960000"/>
    <n v="768000"/>
    <n v="192000"/>
    <n v="1741"/>
  </r>
  <r>
    <s v="2025-03-29"/>
    <x v="3"/>
    <x v="1"/>
    <x v="3"/>
    <s v="Retail"/>
    <x v="0"/>
    <x v="2"/>
    <x v="1"/>
    <n v="60000"/>
    <n v="7"/>
    <x v="1"/>
    <n v="48000"/>
    <n v="420000"/>
    <n v="336000"/>
    <n v="84000"/>
    <n v="1742"/>
  </r>
  <r>
    <s v="2025-03-21"/>
    <x v="3"/>
    <x v="1"/>
    <x v="3"/>
    <s v="Corporate"/>
    <x v="1"/>
    <x v="3"/>
    <x v="2"/>
    <n v="300000"/>
    <n v="6"/>
    <x v="1"/>
    <n v="240000"/>
    <n v="1800000"/>
    <n v="1440000"/>
    <n v="360000"/>
    <n v="1743"/>
  </r>
  <r>
    <s v="2025-03-03"/>
    <x v="3"/>
    <x v="2"/>
    <x v="3"/>
    <s v="Retail"/>
    <x v="0"/>
    <x v="6"/>
    <x v="2"/>
    <n v="150000"/>
    <n v="6"/>
    <x v="3"/>
    <n v="120000"/>
    <n v="900000"/>
    <n v="720000"/>
    <n v="180000"/>
    <n v="1744"/>
  </r>
  <r>
    <s v="2025-01-13"/>
    <x v="0"/>
    <x v="2"/>
    <x v="0"/>
    <s v="Corporate"/>
    <x v="0"/>
    <x v="3"/>
    <x v="2"/>
    <n v="300000"/>
    <n v="10"/>
    <x v="2"/>
    <n v="240000"/>
    <n v="3000000"/>
    <n v="2400000"/>
    <n v="600000"/>
    <n v="1745"/>
  </r>
  <r>
    <s v="2025-02-19"/>
    <x v="2"/>
    <x v="1"/>
    <x v="1"/>
    <s v="Retail"/>
    <x v="0"/>
    <x v="7"/>
    <x v="2"/>
    <n v="420000"/>
    <n v="1"/>
    <x v="0"/>
    <n v="336000"/>
    <n v="420000"/>
    <n v="336000"/>
    <n v="84000"/>
    <n v="1746"/>
  </r>
  <r>
    <s v="2025-03-21"/>
    <x v="3"/>
    <x v="0"/>
    <x v="0"/>
    <s v="Retail"/>
    <x v="1"/>
    <x v="2"/>
    <x v="1"/>
    <n v="60000"/>
    <n v="1"/>
    <x v="1"/>
    <n v="48000"/>
    <n v="60000"/>
    <n v="48000"/>
    <n v="12000"/>
    <n v="1747"/>
  </r>
  <r>
    <s v="2025-02-23"/>
    <x v="2"/>
    <x v="3"/>
    <x v="1"/>
    <s v="Retail"/>
    <x v="0"/>
    <x v="6"/>
    <x v="2"/>
    <n v="150000"/>
    <n v="10"/>
    <x v="5"/>
    <n v="120000"/>
    <n v="1500000"/>
    <n v="1200000"/>
    <n v="300000"/>
    <n v="1748"/>
  </r>
  <r>
    <s v="2025-01-06"/>
    <x v="0"/>
    <x v="0"/>
    <x v="3"/>
    <s v="Retail"/>
    <x v="0"/>
    <x v="4"/>
    <x v="1"/>
    <n v="180000"/>
    <n v="10"/>
    <x v="2"/>
    <n v="144000"/>
    <n v="1800000"/>
    <n v="1440000"/>
    <n v="360000"/>
    <n v="1749"/>
  </r>
  <r>
    <s v="2025-03-31"/>
    <x v="3"/>
    <x v="2"/>
    <x v="0"/>
    <s v="Corporate"/>
    <x v="0"/>
    <x v="6"/>
    <x v="2"/>
    <n v="150000"/>
    <n v="10"/>
    <x v="1"/>
    <n v="120000"/>
    <n v="1500000"/>
    <n v="1200000"/>
    <n v="300000"/>
    <n v="1750"/>
  </r>
  <r>
    <s v="2025-01-08"/>
    <x v="0"/>
    <x v="1"/>
    <x v="0"/>
    <s v="Corporate"/>
    <x v="1"/>
    <x v="2"/>
    <x v="1"/>
    <n v="60000"/>
    <n v="8"/>
    <x v="5"/>
    <n v="48000"/>
    <n v="480000"/>
    <n v="384000"/>
    <n v="96000"/>
    <n v="1751"/>
  </r>
  <r>
    <s v="2025-01-09"/>
    <x v="0"/>
    <x v="3"/>
    <x v="0"/>
    <s v="Retail"/>
    <x v="0"/>
    <x v="9"/>
    <x v="1"/>
    <n v="220000"/>
    <n v="7"/>
    <x v="4"/>
    <n v="176000"/>
    <n v="1540000"/>
    <n v="1232000"/>
    <n v="308000"/>
    <n v="1752"/>
  </r>
  <r>
    <s v="2025-03-11"/>
    <x v="3"/>
    <x v="1"/>
    <x v="3"/>
    <s v="Retail"/>
    <x v="0"/>
    <x v="1"/>
    <x v="1"/>
    <n v="30000"/>
    <n v="1"/>
    <x v="3"/>
    <n v="24000"/>
    <n v="30000"/>
    <n v="24000"/>
    <n v="6000"/>
    <n v="1753"/>
  </r>
  <r>
    <s v="2025-03-01"/>
    <x v="3"/>
    <x v="1"/>
    <x v="1"/>
    <s v="Corporate"/>
    <x v="1"/>
    <x v="6"/>
    <x v="2"/>
    <n v="150000"/>
    <n v="6"/>
    <x v="0"/>
    <n v="120000"/>
    <n v="900000"/>
    <n v="720000"/>
    <n v="180000"/>
    <n v="1754"/>
  </r>
  <r>
    <s v="2025-02-13"/>
    <x v="2"/>
    <x v="2"/>
    <x v="3"/>
    <s v="Retail"/>
    <x v="1"/>
    <x v="1"/>
    <x v="1"/>
    <n v="30000"/>
    <n v="4"/>
    <x v="0"/>
    <n v="24000"/>
    <n v="120000"/>
    <n v="96000"/>
    <n v="24000"/>
    <n v="1755"/>
  </r>
  <r>
    <s v="2025-02-11"/>
    <x v="2"/>
    <x v="2"/>
    <x v="2"/>
    <s v="Corporate"/>
    <x v="0"/>
    <x v="9"/>
    <x v="1"/>
    <n v="220000"/>
    <n v="1"/>
    <x v="2"/>
    <n v="176000"/>
    <n v="220000"/>
    <n v="176000"/>
    <n v="44000"/>
    <n v="1756"/>
  </r>
  <r>
    <s v="2025-03-27"/>
    <x v="3"/>
    <x v="2"/>
    <x v="1"/>
    <s v="Retail"/>
    <x v="0"/>
    <x v="2"/>
    <x v="1"/>
    <n v="60000"/>
    <n v="6"/>
    <x v="1"/>
    <n v="48000"/>
    <n v="360000"/>
    <n v="288000"/>
    <n v="72000"/>
    <n v="1757"/>
  </r>
  <r>
    <s v="2025-03-29"/>
    <x v="3"/>
    <x v="2"/>
    <x v="0"/>
    <s v="Corporate"/>
    <x v="1"/>
    <x v="8"/>
    <x v="2"/>
    <n v="250000"/>
    <n v="7"/>
    <x v="5"/>
    <n v="200000"/>
    <n v="1750000"/>
    <n v="1400000"/>
    <n v="350000"/>
    <n v="1758"/>
  </r>
  <r>
    <s v="2025-04-12"/>
    <x v="1"/>
    <x v="1"/>
    <x v="2"/>
    <s v="Corporate"/>
    <x v="0"/>
    <x v="9"/>
    <x v="1"/>
    <n v="220000"/>
    <n v="9"/>
    <x v="3"/>
    <n v="176000"/>
    <n v="1980000"/>
    <n v="1584000"/>
    <n v="396000"/>
    <n v="1759"/>
  </r>
  <r>
    <s v="2025-04-23"/>
    <x v="1"/>
    <x v="2"/>
    <x v="2"/>
    <s v="Corporate"/>
    <x v="0"/>
    <x v="1"/>
    <x v="1"/>
    <n v="30000"/>
    <n v="10"/>
    <x v="2"/>
    <n v="24000"/>
    <n v="300000"/>
    <n v="240000"/>
    <n v="60000"/>
    <n v="1760"/>
  </r>
  <r>
    <s v="2025-04-13"/>
    <x v="1"/>
    <x v="1"/>
    <x v="2"/>
    <s v="Retail"/>
    <x v="0"/>
    <x v="6"/>
    <x v="2"/>
    <n v="150000"/>
    <n v="1"/>
    <x v="1"/>
    <n v="120000"/>
    <n v="150000"/>
    <n v="120000"/>
    <n v="30000"/>
    <n v="1761"/>
  </r>
  <r>
    <s v="2025-01-15"/>
    <x v="0"/>
    <x v="3"/>
    <x v="0"/>
    <s v="Retail"/>
    <x v="0"/>
    <x v="4"/>
    <x v="1"/>
    <n v="180000"/>
    <n v="3"/>
    <x v="3"/>
    <n v="144000"/>
    <n v="540000"/>
    <n v="432000"/>
    <n v="108000"/>
    <n v="1762"/>
  </r>
  <r>
    <s v="2025-03-27"/>
    <x v="3"/>
    <x v="2"/>
    <x v="0"/>
    <s v="Corporate"/>
    <x v="0"/>
    <x v="7"/>
    <x v="2"/>
    <n v="420000"/>
    <n v="10"/>
    <x v="3"/>
    <n v="336000"/>
    <n v="4200000"/>
    <n v="3360000"/>
    <n v="840000"/>
    <n v="1763"/>
  </r>
  <r>
    <s v="2025-05-01"/>
    <x v="4"/>
    <x v="3"/>
    <x v="0"/>
    <s v="Corporate"/>
    <x v="0"/>
    <x v="0"/>
    <x v="0"/>
    <n v="85000"/>
    <n v="2"/>
    <x v="4"/>
    <n v="68000"/>
    <n v="170000"/>
    <n v="136000"/>
    <n v="34000"/>
    <n v="1764"/>
  </r>
  <r>
    <s v="2025-03-21"/>
    <x v="3"/>
    <x v="0"/>
    <x v="2"/>
    <s v="Corporate"/>
    <x v="0"/>
    <x v="2"/>
    <x v="1"/>
    <n v="60000"/>
    <n v="4"/>
    <x v="4"/>
    <n v="48000"/>
    <n v="240000"/>
    <n v="192000"/>
    <n v="48000"/>
    <n v="1765"/>
  </r>
  <r>
    <s v="2025-01-12"/>
    <x v="0"/>
    <x v="3"/>
    <x v="1"/>
    <s v="Corporate"/>
    <x v="0"/>
    <x v="6"/>
    <x v="2"/>
    <n v="150000"/>
    <n v="9"/>
    <x v="4"/>
    <n v="120000"/>
    <n v="1350000"/>
    <n v="1080000"/>
    <n v="270000"/>
    <n v="1766"/>
  </r>
  <r>
    <s v="2025-01-14"/>
    <x v="0"/>
    <x v="2"/>
    <x v="3"/>
    <s v="Retail"/>
    <x v="1"/>
    <x v="7"/>
    <x v="2"/>
    <n v="420000"/>
    <n v="1"/>
    <x v="3"/>
    <n v="336000"/>
    <n v="420000"/>
    <n v="336000"/>
    <n v="84000"/>
    <n v="1767"/>
  </r>
  <r>
    <s v="2025-04-12"/>
    <x v="1"/>
    <x v="1"/>
    <x v="1"/>
    <s v="Retail"/>
    <x v="0"/>
    <x v="7"/>
    <x v="2"/>
    <n v="420000"/>
    <n v="9"/>
    <x v="4"/>
    <n v="336000"/>
    <n v="3780000"/>
    <n v="3024000"/>
    <n v="756000"/>
    <n v="1768"/>
  </r>
  <r>
    <s v="2025-01-20"/>
    <x v="0"/>
    <x v="0"/>
    <x v="3"/>
    <s v="Corporate"/>
    <x v="1"/>
    <x v="7"/>
    <x v="2"/>
    <n v="420000"/>
    <n v="9"/>
    <x v="5"/>
    <n v="336000"/>
    <n v="3780000"/>
    <n v="3024000"/>
    <n v="756000"/>
    <n v="1769"/>
  </r>
  <r>
    <s v="2025-01-04"/>
    <x v="0"/>
    <x v="0"/>
    <x v="3"/>
    <s v="Retail"/>
    <x v="1"/>
    <x v="0"/>
    <x v="0"/>
    <n v="85000"/>
    <n v="6"/>
    <x v="1"/>
    <n v="68000"/>
    <n v="510000"/>
    <n v="408000"/>
    <n v="102000"/>
    <n v="1770"/>
  </r>
  <r>
    <s v="2025-03-17"/>
    <x v="3"/>
    <x v="3"/>
    <x v="3"/>
    <s v="Corporate"/>
    <x v="0"/>
    <x v="5"/>
    <x v="0"/>
    <n v="320000"/>
    <n v="3"/>
    <x v="3"/>
    <n v="256000"/>
    <n v="960000"/>
    <n v="768000"/>
    <n v="192000"/>
    <n v="1771"/>
  </r>
  <r>
    <s v="2025-02-06"/>
    <x v="2"/>
    <x v="3"/>
    <x v="1"/>
    <s v="Corporate"/>
    <x v="0"/>
    <x v="4"/>
    <x v="1"/>
    <n v="180000"/>
    <n v="8"/>
    <x v="2"/>
    <n v="144000"/>
    <n v="1440000"/>
    <n v="1152000"/>
    <n v="288000"/>
    <n v="1772"/>
  </r>
  <r>
    <s v="2025-01-11"/>
    <x v="0"/>
    <x v="0"/>
    <x v="0"/>
    <s v="Retail"/>
    <x v="0"/>
    <x v="0"/>
    <x v="0"/>
    <n v="85000"/>
    <n v="6"/>
    <x v="3"/>
    <n v="68000"/>
    <n v="510000"/>
    <n v="408000"/>
    <n v="102000"/>
    <n v="1773"/>
  </r>
  <r>
    <s v="2025-01-27"/>
    <x v="0"/>
    <x v="0"/>
    <x v="3"/>
    <s v="Retail"/>
    <x v="0"/>
    <x v="3"/>
    <x v="2"/>
    <n v="300000"/>
    <n v="3"/>
    <x v="0"/>
    <n v="240000"/>
    <n v="900000"/>
    <n v="720000"/>
    <n v="180000"/>
    <n v="1774"/>
  </r>
  <r>
    <s v="2025-03-14"/>
    <x v="3"/>
    <x v="3"/>
    <x v="0"/>
    <s v="Corporate"/>
    <x v="1"/>
    <x v="4"/>
    <x v="1"/>
    <n v="180000"/>
    <n v="1"/>
    <x v="2"/>
    <n v="144000"/>
    <n v="180000"/>
    <n v="144000"/>
    <n v="36000"/>
    <n v="1775"/>
  </r>
  <r>
    <s v="2025-01-07"/>
    <x v="0"/>
    <x v="1"/>
    <x v="2"/>
    <s v="Retail"/>
    <x v="0"/>
    <x v="9"/>
    <x v="1"/>
    <n v="220000"/>
    <n v="1"/>
    <x v="4"/>
    <n v="176000"/>
    <n v="220000"/>
    <n v="176000"/>
    <n v="44000"/>
    <n v="1776"/>
  </r>
  <r>
    <s v="2025-01-24"/>
    <x v="0"/>
    <x v="2"/>
    <x v="3"/>
    <s v="Retail"/>
    <x v="1"/>
    <x v="1"/>
    <x v="1"/>
    <n v="30000"/>
    <n v="1"/>
    <x v="4"/>
    <n v="24000"/>
    <n v="30000"/>
    <n v="24000"/>
    <n v="6000"/>
    <n v="1777"/>
  </r>
  <r>
    <s v="2025-01-12"/>
    <x v="0"/>
    <x v="1"/>
    <x v="0"/>
    <s v="Corporate"/>
    <x v="1"/>
    <x v="2"/>
    <x v="1"/>
    <n v="60000"/>
    <n v="2"/>
    <x v="5"/>
    <n v="48000"/>
    <n v="120000"/>
    <n v="96000"/>
    <n v="24000"/>
    <n v="1778"/>
  </r>
  <r>
    <s v="2025-03-03"/>
    <x v="3"/>
    <x v="0"/>
    <x v="1"/>
    <s v="Retail"/>
    <x v="1"/>
    <x v="8"/>
    <x v="2"/>
    <n v="250000"/>
    <n v="7"/>
    <x v="4"/>
    <n v="200000"/>
    <n v="1750000"/>
    <n v="1400000"/>
    <n v="350000"/>
    <n v="1779"/>
  </r>
  <r>
    <s v="2025-01-25"/>
    <x v="0"/>
    <x v="0"/>
    <x v="2"/>
    <s v="Corporate"/>
    <x v="0"/>
    <x v="7"/>
    <x v="2"/>
    <n v="420000"/>
    <n v="10"/>
    <x v="2"/>
    <n v="336000"/>
    <n v="4200000"/>
    <n v="3360000"/>
    <n v="840000"/>
    <n v="1780"/>
  </r>
  <r>
    <s v="2025-03-26"/>
    <x v="3"/>
    <x v="0"/>
    <x v="0"/>
    <s v="Corporate"/>
    <x v="0"/>
    <x v="5"/>
    <x v="0"/>
    <n v="320000"/>
    <n v="10"/>
    <x v="3"/>
    <n v="256000"/>
    <n v="3200000"/>
    <n v="2560000"/>
    <n v="640000"/>
    <n v="1781"/>
  </r>
  <r>
    <s v="2025-01-13"/>
    <x v="0"/>
    <x v="2"/>
    <x v="3"/>
    <s v="Retail"/>
    <x v="0"/>
    <x v="3"/>
    <x v="2"/>
    <n v="300000"/>
    <n v="1"/>
    <x v="2"/>
    <n v="240000"/>
    <n v="300000"/>
    <n v="240000"/>
    <n v="60000"/>
    <n v="1782"/>
  </r>
  <r>
    <s v="2025-03-10"/>
    <x v="3"/>
    <x v="2"/>
    <x v="2"/>
    <s v="Corporate"/>
    <x v="1"/>
    <x v="6"/>
    <x v="2"/>
    <n v="150000"/>
    <n v="3"/>
    <x v="1"/>
    <n v="120000"/>
    <n v="450000"/>
    <n v="360000"/>
    <n v="90000"/>
    <n v="1783"/>
  </r>
  <r>
    <s v="2025-01-14"/>
    <x v="0"/>
    <x v="0"/>
    <x v="2"/>
    <s v="Corporate"/>
    <x v="0"/>
    <x v="8"/>
    <x v="2"/>
    <n v="250000"/>
    <n v="3"/>
    <x v="4"/>
    <n v="200000"/>
    <n v="750000"/>
    <n v="600000"/>
    <n v="150000"/>
    <n v="1784"/>
  </r>
  <r>
    <s v="2025-01-20"/>
    <x v="0"/>
    <x v="3"/>
    <x v="1"/>
    <s v="Retail"/>
    <x v="1"/>
    <x v="7"/>
    <x v="2"/>
    <n v="420000"/>
    <n v="4"/>
    <x v="1"/>
    <n v="336000"/>
    <n v="1680000"/>
    <n v="1344000"/>
    <n v="336000"/>
    <n v="1785"/>
  </r>
  <r>
    <s v="2025-02-23"/>
    <x v="2"/>
    <x v="3"/>
    <x v="1"/>
    <s v="Corporate"/>
    <x v="0"/>
    <x v="4"/>
    <x v="1"/>
    <n v="180000"/>
    <n v="1"/>
    <x v="0"/>
    <n v="144000"/>
    <n v="180000"/>
    <n v="144000"/>
    <n v="36000"/>
    <n v="1786"/>
  </r>
  <r>
    <s v="2025-03-08"/>
    <x v="3"/>
    <x v="3"/>
    <x v="0"/>
    <s v="Corporate"/>
    <x v="1"/>
    <x v="6"/>
    <x v="2"/>
    <n v="150000"/>
    <n v="3"/>
    <x v="3"/>
    <n v="120000"/>
    <n v="450000"/>
    <n v="360000"/>
    <n v="90000"/>
    <n v="1787"/>
  </r>
  <r>
    <s v="2025-01-02"/>
    <x v="0"/>
    <x v="2"/>
    <x v="3"/>
    <s v="Corporate"/>
    <x v="0"/>
    <x v="9"/>
    <x v="1"/>
    <n v="220000"/>
    <n v="9"/>
    <x v="2"/>
    <n v="176000"/>
    <n v="1980000"/>
    <n v="1584000"/>
    <n v="396000"/>
    <n v="1788"/>
  </r>
  <r>
    <s v="2025-02-04"/>
    <x v="2"/>
    <x v="3"/>
    <x v="2"/>
    <s v="Corporate"/>
    <x v="0"/>
    <x v="7"/>
    <x v="2"/>
    <n v="420000"/>
    <n v="4"/>
    <x v="2"/>
    <n v="336000"/>
    <n v="1680000"/>
    <n v="1344000"/>
    <n v="336000"/>
    <n v="1789"/>
  </r>
  <r>
    <s v="2025-02-28"/>
    <x v="2"/>
    <x v="3"/>
    <x v="2"/>
    <s v="Corporate"/>
    <x v="1"/>
    <x v="3"/>
    <x v="2"/>
    <n v="300000"/>
    <n v="2"/>
    <x v="5"/>
    <n v="240000"/>
    <n v="600000"/>
    <n v="480000"/>
    <n v="120000"/>
    <n v="1790"/>
  </r>
  <r>
    <s v="2025-04-23"/>
    <x v="1"/>
    <x v="1"/>
    <x v="1"/>
    <s v="Corporate"/>
    <x v="1"/>
    <x v="0"/>
    <x v="0"/>
    <n v="85000"/>
    <n v="8"/>
    <x v="1"/>
    <n v="68000"/>
    <n v="680000"/>
    <n v="544000"/>
    <n v="136000"/>
    <n v="1791"/>
  </r>
  <r>
    <s v="2025-03-22"/>
    <x v="3"/>
    <x v="2"/>
    <x v="3"/>
    <s v="Retail"/>
    <x v="1"/>
    <x v="9"/>
    <x v="1"/>
    <n v="220000"/>
    <n v="10"/>
    <x v="2"/>
    <n v="176000"/>
    <n v="2200000"/>
    <n v="1760000"/>
    <n v="440000"/>
    <n v="1792"/>
  </r>
  <r>
    <s v="2025-01-08"/>
    <x v="0"/>
    <x v="0"/>
    <x v="0"/>
    <s v="Retail"/>
    <x v="1"/>
    <x v="9"/>
    <x v="1"/>
    <n v="220000"/>
    <n v="7"/>
    <x v="2"/>
    <n v="176000"/>
    <n v="1540000"/>
    <n v="1232000"/>
    <n v="308000"/>
    <n v="1793"/>
  </r>
  <r>
    <s v="2025-04-06"/>
    <x v="1"/>
    <x v="1"/>
    <x v="2"/>
    <s v="Retail"/>
    <x v="1"/>
    <x v="5"/>
    <x v="0"/>
    <n v="320000"/>
    <n v="10"/>
    <x v="2"/>
    <n v="256000"/>
    <n v="3200000"/>
    <n v="2560000"/>
    <n v="640000"/>
    <n v="1794"/>
  </r>
  <r>
    <s v="2025-02-07"/>
    <x v="2"/>
    <x v="0"/>
    <x v="1"/>
    <s v="Corporate"/>
    <x v="0"/>
    <x v="4"/>
    <x v="1"/>
    <n v="180000"/>
    <n v="9"/>
    <x v="4"/>
    <n v="144000"/>
    <n v="1620000"/>
    <n v="1296000"/>
    <n v="324000"/>
    <n v="1795"/>
  </r>
  <r>
    <s v="2025-04-01"/>
    <x v="1"/>
    <x v="3"/>
    <x v="2"/>
    <s v="Corporate"/>
    <x v="0"/>
    <x v="2"/>
    <x v="1"/>
    <n v="60000"/>
    <n v="4"/>
    <x v="5"/>
    <n v="48000"/>
    <n v="240000"/>
    <n v="192000"/>
    <n v="48000"/>
    <n v="1796"/>
  </r>
  <r>
    <s v="2025-02-25"/>
    <x v="2"/>
    <x v="2"/>
    <x v="2"/>
    <s v="Corporate"/>
    <x v="1"/>
    <x v="8"/>
    <x v="2"/>
    <n v="250000"/>
    <n v="10"/>
    <x v="5"/>
    <n v="200000"/>
    <n v="2500000"/>
    <n v="2000000"/>
    <n v="500000"/>
    <n v="1797"/>
  </r>
  <r>
    <s v="2025-04-09"/>
    <x v="1"/>
    <x v="3"/>
    <x v="2"/>
    <s v="Corporate"/>
    <x v="0"/>
    <x v="5"/>
    <x v="0"/>
    <n v="320000"/>
    <n v="2"/>
    <x v="2"/>
    <n v="256000"/>
    <n v="640000"/>
    <n v="512000"/>
    <n v="128000"/>
    <n v="1798"/>
  </r>
  <r>
    <s v="2025-03-25"/>
    <x v="3"/>
    <x v="2"/>
    <x v="3"/>
    <s v="Corporate"/>
    <x v="1"/>
    <x v="7"/>
    <x v="2"/>
    <n v="420000"/>
    <n v="7"/>
    <x v="3"/>
    <n v="336000"/>
    <n v="2940000"/>
    <n v="2352000"/>
    <n v="588000"/>
    <n v="1799"/>
  </r>
  <r>
    <s v="2025-01-04"/>
    <x v="0"/>
    <x v="3"/>
    <x v="2"/>
    <s v="Corporate"/>
    <x v="1"/>
    <x v="3"/>
    <x v="2"/>
    <n v="300000"/>
    <n v="5"/>
    <x v="3"/>
    <n v="240000"/>
    <n v="1500000"/>
    <n v="1200000"/>
    <n v="300000"/>
    <n v="1800"/>
  </r>
  <r>
    <s v="2025-04-04"/>
    <x v="1"/>
    <x v="2"/>
    <x v="0"/>
    <s v="Corporate"/>
    <x v="1"/>
    <x v="2"/>
    <x v="1"/>
    <n v="60000"/>
    <n v="5"/>
    <x v="4"/>
    <n v="48000"/>
    <n v="300000"/>
    <n v="240000"/>
    <n v="60000"/>
    <n v="1801"/>
  </r>
  <r>
    <s v="2025-03-11"/>
    <x v="3"/>
    <x v="1"/>
    <x v="0"/>
    <s v="Retail"/>
    <x v="1"/>
    <x v="7"/>
    <x v="2"/>
    <n v="420000"/>
    <n v="9"/>
    <x v="2"/>
    <n v="336000"/>
    <n v="3780000"/>
    <n v="3024000"/>
    <n v="756000"/>
    <n v="1802"/>
  </r>
  <r>
    <s v="2025-01-11"/>
    <x v="0"/>
    <x v="2"/>
    <x v="0"/>
    <s v="Retail"/>
    <x v="1"/>
    <x v="8"/>
    <x v="2"/>
    <n v="250000"/>
    <n v="9"/>
    <x v="5"/>
    <n v="200000"/>
    <n v="2250000"/>
    <n v="1800000"/>
    <n v="450000"/>
    <n v="1803"/>
  </r>
  <r>
    <s v="2025-02-17"/>
    <x v="2"/>
    <x v="0"/>
    <x v="3"/>
    <s v="Retail"/>
    <x v="1"/>
    <x v="9"/>
    <x v="1"/>
    <n v="220000"/>
    <n v="1"/>
    <x v="5"/>
    <n v="176000"/>
    <n v="220000"/>
    <n v="176000"/>
    <n v="44000"/>
    <n v="1804"/>
  </r>
  <r>
    <s v="2025-01-19"/>
    <x v="0"/>
    <x v="0"/>
    <x v="1"/>
    <s v="Retail"/>
    <x v="1"/>
    <x v="9"/>
    <x v="1"/>
    <n v="220000"/>
    <n v="3"/>
    <x v="5"/>
    <n v="176000"/>
    <n v="660000"/>
    <n v="528000"/>
    <n v="132000"/>
    <n v="1805"/>
  </r>
  <r>
    <s v="2025-03-10"/>
    <x v="3"/>
    <x v="0"/>
    <x v="1"/>
    <s v="Corporate"/>
    <x v="1"/>
    <x v="8"/>
    <x v="2"/>
    <n v="250000"/>
    <n v="8"/>
    <x v="2"/>
    <n v="200000"/>
    <n v="2000000"/>
    <n v="1600000"/>
    <n v="400000"/>
    <n v="1806"/>
  </r>
  <r>
    <s v="2025-04-08"/>
    <x v="1"/>
    <x v="0"/>
    <x v="2"/>
    <s v="Retail"/>
    <x v="1"/>
    <x v="1"/>
    <x v="1"/>
    <n v="30000"/>
    <n v="1"/>
    <x v="3"/>
    <n v="24000"/>
    <n v="30000"/>
    <n v="24000"/>
    <n v="6000"/>
    <n v="1807"/>
  </r>
  <r>
    <s v="2025-01-03"/>
    <x v="0"/>
    <x v="0"/>
    <x v="3"/>
    <s v="Corporate"/>
    <x v="1"/>
    <x v="1"/>
    <x v="1"/>
    <n v="30000"/>
    <n v="1"/>
    <x v="4"/>
    <n v="24000"/>
    <n v="30000"/>
    <n v="24000"/>
    <n v="6000"/>
    <n v="1808"/>
  </r>
  <r>
    <s v="2025-02-24"/>
    <x v="2"/>
    <x v="3"/>
    <x v="2"/>
    <s v="Retail"/>
    <x v="1"/>
    <x v="1"/>
    <x v="1"/>
    <n v="30000"/>
    <n v="8"/>
    <x v="0"/>
    <n v="24000"/>
    <n v="240000"/>
    <n v="192000"/>
    <n v="48000"/>
    <n v="1809"/>
  </r>
  <r>
    <s v="2025-03-10"/>
    <x v="3"/>
    <x v="0"/>
    <x v="0"/>
    <s v="Retail"/>
    <x v="1"/>
    <x v="2"/>
    <x v="1"/>
    <n v="60000"/>
    <n v="6"/>
    <x v="3"/>
    <n v="48000"/>
    <n v="360000"/>
    <n v="288000"/>
    <n v="72000"/>
    <n v="1810"/>
  </r>
  <r>
    <s v="2025-01-17"/>
    <x v="0"/>
    <x v="0"/>
    <x v="0"/>
    <s v="Corporate"/>
    <x v="1"/>
    <x v="8"/>
    <x v="2"/>
    <n v="250000"/>
    <n v="5"/>
    <x v="1"/>
    <n v="200000"/>
    <n v="1250000"/>
    <n v="1000000"/>
    <n v="250000"/>
    <n v="1811"/>
  </r>
  <r>
    <s v="2025-01-25"/>
    <x v="0"/>
    <x v="2"/>
    <x v="3"/>
    <s v="Retail"/>
    <x v="1"/>
    <x v="1"/>
    <x v="1"/>
    <n v="30000"/>
    <n v="1"/>
    <x v="4"/>
    <n v="24000"/>
    <n v="30000"/>
    <n v="24000"/>
    <n v="6000"/>
    <n v="1812"/>
  </r>
  <r>
    <s v="2025-04-02"/>
    <x v="1"/>
    <x v="2"/>
    <x v="2"/>
    <s v="Corporate"/>
    <x v="1"/>
    <x v="6"/>
    <x v="2"/>
    <n v="150000"/>
    <n v="9"/>
    <x v="4"/>
    <n v="120000"/>
    <n v="1350000"/>
    <n v="1080000"/>
    <n v="270000"/>
    <n v="1813"/>
  </r>
  <r>
    <s v="2025-01-22"/>
    <x v="0"/>
    <x v="1"/>
    <x v="3"/>
    <s v="Retail"/>
    <x v="1"/>
    <x v="4"/>
    <x v="1"/>
    <n v="180000"/>
    <n v="2"/>
    <x v="4"/>
    <n v="144000"/>
    <n v="360000"/>
    <n v="288000"/>
    <n v="72000"/>
    <n v="1814"/>
  </r>
  <r>
    <s v="2025-03-24"/>
    <x v="3"/>
    <x v="1"/>
    <x v="3"/>
    <s v="Retail"/>
    <x v="1"/>
    <x v="7"/>
    <x v="2"/>
    <n v="420000"/>
    <n v="10"/>
    <x v="2"/>
    <n v="336000"/>
    <n v="4200000"/>
    <n v="3360000"/>
    <n v="840000"/>
    <n v="1815"/>
  </r>
  <r>
    <s v="2025-04-27"/>
    <x v="1"/>
    <x v="0"/>
    <x v="2"/>
    <s v="Corporate"/>
    <x v="1"/>
    <x v="3"/>
    <x v="2"/>
    <n v="300000"/>
    <n v="4"/>
    <x v="5"/>
    <n v="240000"/>
    <n v="1200000"/>
    <n v="960000"/>
    <n v="240000"/>
    <n v="1816"/>
  </r>
  <r>
    <s v="2025-02-22"/>
    <x v="2"/>
    <x v="0"/>
    <x v="0"/>
    <s v="Retail"/>
    <x v="1"/>
    <x v="4"/>
    <x v="1"/>
    <n v="180000"/>
    <n v="8"/>
    <x v="4"/>
    <n v="144000"/>
    <n v="1440000"/>
    <n v="1152000"/>
    <n v="288000"/>
    <n v="1817"/>
  </r>
  <r>
    <s v="2025-02-11"/>
    <x v="2"/>
    <x v="1"/>
    <x v="3"/>
    <s v="Retail"/>
    <x v="1"/>
    <x v="7"/>
    <x v="2"/>
    <n v="420000"/>
    <n v="5"/>
    <x v="4"/>
    <n v="336000"/>
    <n v="2100000"/>
    <n v="1680000"/>
    <n v="420000"/>
    <n v="1818"/>
  </r>
  <r>
    <s v="2025-02-28"/>
    <x v="2"/>
    <x v="2"/>
    <x v="1"/>
    <s v="Corporate"/>
    <x v="1"/>
    <x v="4"/>
    <x v="1"/>
    <n v="180000"/>
    <n v="5"/>
    <x v="0"/>
    <n v="144000"/>
    <n v="900000"/>
    <n v="720000"/>
    <n v="180000"/>
    <n v="1819"/>
  </r>
  <r>
    <s v="2025-03-09"/>
    <x v="3"/>
    <x v="0"/>
    <x v="0"/>
    <s v="Corporate"/>
    <x v="1"/>
    <x v="3"/>
    <x v="2"/>
    <n v="300000"/>
    <n v="1"/>
    <x v="4"/>
    <n v="240000"/>
    <n v="300000"/>
    <n v="240000"/>
    <n v="60000"/>
    <n v="1820"/>
  </r>
  <r>
    <s v="2025-01-08"/>
    <x v="0"/>
    <x v="2"/>
    <x v="0"/>
    <s v="Retail"/>
    <x v="1"/>
    <x v="4"/>
    <x v="1"/>
    <n v="180000"/>
    <n v="7"/>
    <x v="4"/>
    <n v="144000"/>
    <n v="1260000"/>
    <n v="1008000"/>
    <n v="252000"/>
    <n v="1821"/>
  </r>
  <r>
    <s v="2025-01-04"/>
    <x v="0"/>
    <x v="1"/>
    <x v="2"/>
    <s v="Corporate"/>
    <x v="1"/>
    <x v="1"/>
    <x v="1"/>
    <n v="30000"/>
    <n v="8"/>
    <x v="4"/>
    <n v="24000"/>
    <n v="240000"/>
    <n v="192000"/>
    <n v="48000"/>
    <n v="1822"/>
  </r>
  <r>
    <s v="2025-01-28"/>
    <x v="0"/>
    <x v="3"/>
    <x v="0"/>
    <s v="Retail"/>
    <x v="1"/>
    <x v="0"/>
    <x v="0"/>
    <n v="85000"/>
    <n v="10"/>
    <x v="2"/>
    <n v="68000"/>
    <n v="850000"/>
    <n v="680000"/>
    <n v="170000"/>
    <n v="1823"/>
  </r>
  <r>
    <s v="2025-01-19"/>
    <x v="0"/>
    <x v="1"/>
    <x v="2"/>
    <s v="Retail"/>
    <x v="1"/>
    <x v="0"/>
    <x v="0"/>
    <n v="85000"/>
    <n v="1"/>
    <x v="0"/>
    <n v="68000"/>
    <n v="85000"/>
    <n v="68000"/>
    <n v="17000"/>
    <n v="1824"/>
  </r>
  <r>
    <s v="2025-02-12"/>
    <x v="2"/>
    <x v="3"/>
    <x v="1"/>
    <s v="Corporate"/>
    <x v="1"/>
    <x v="6"/>
    <x v="2"/>
    <n v="150000"/>
    <n v="8"/>
    <x v="4"/>
    <n v="120000"/>
    <n v="1200000"/>
    <n v="960000"/>
    <n v="240000"/>
    <n v="1825"/>
  </r>
  <r>
    <s v="2025-03-14"/>
    <x v="3"/>
    <x v="0"/>
    <x v="1"/>
    <s v="Corporate"/>
    <x v="1"/>
    <x v="7"/>
    <x v="2"/>
    <n v="420000"/>
    <n v="6"/>
    <x v="3"/>
    <n v="336000"/>
    <n v="2520000"/>
    <n v="2016000"/>
    <n v="504000"/>
    <n v="1826"/>
  </r>
  <r>
    <s v="2025-03-22"/>
    <x v="3"/>
    <x v="2"/>
    <x v="3"/>
    <s v="Retail"/>
    <x v="1"/>
    <x v="2"/>
    <x v="1"/>
    <n v="60000"/>
    <n v="8"/>
    <x v="3"/>
    <n v="48000"/>
    <n v="480000"/>
    <n v="384000"/>
    <n v="96000"/>
    <n v="1827"/>
  </r>
  <r>
    <s v="2025-04-29"/>
    <x v="1"/>
    <x v="2"/>
    <x v="0"/>
    <s v="Retail"/>
    <x v="1"/>
    <x v="3"/>
    <x v="2"/>
    <n v="300000"/>
    <n v="7"/>
    <x v="2"/>
    <n v="240000"/>
    <n v="2100000"/>
    <n v="1680000"/>
    <n v="420000"/>
    <n v="1828"/>
  </r>
  <r>
    <s v="2025-02-10"/>
    <x v="2"/>
    <x v="1"/>
    <x v="1"/>
    <s v="Corporate"/>
    <x v="1"/>
    <x v="6"/>
    <x v="2"/>
    <n v="150000"/>
    <n v="8"/>
    <x v="4"/>
    <n v="120000"/>
    <n v="1200000"/>
    <n v="960000"/>
    <n v="240000"/>
    <n v="1829"/>
  </r>
  <r>
    <s v="2025-04-13"/>
    <x v="1"/>
    <x v="1"/>
    <x v="0"/>
    <s v="Corporate"/>
    <x v="1"/>
    <x v="2"/>
    <x v="1"/>
    <n v="60000"/>
    <n v="10"/>
    <x v="0"/>
    <n v="48000"/>
    <n v="600000"/>
    <n v="480000"/>
    <n v="120000"/>
    <n v="1830"/>
  </r>
  <r>
    <s v="2025-03-08"/>
    <x v="3"/>
    <x v="3"/>
    <x v="2"/>
    <s v="Retail"/>
    <x v="1"/>
    <x v="5"/>
    <x v="0"/>
    <n v="320000"/>
    <n v="9"/>
    <x v="3"/>
    <n v="256000"/>
    <n v="2880000"/>
    <n v="2304000"/>
    <n v="576000"/>
    <n v="1831"/>
  </r>
  <r>
    <s v="2025-03-27"/>
    <x v="3"/>
    <x v="0"/>
    <x v="0"/>
    <s v="Retail"/>
    <x v="1"/>
    <x v="8"/>
    <x v="2"/>
    <n v="250000"/>
    <n v="9"/>
    <x v="2"/>
    <n v="200000"/>
    <n v="2250000"/>
    <n v="1800000"/>
    <n v="450000"/>
    <n v="1832"/>
  </r>
  <r>
    <s v="2025-01-10"/>
    <x v="0"/>
    <x v="2"/>
    <x v="2"/>
    <s v="Retail"/>
    <x v="1"/>
    <x v="9"/>
    <x v="1"/>
    <n v="220000"/>
    <n v="7"/>
    <x v="3"/>
    <n v="176000"/>
    <n v="1540000"/>
    <n v="1232000"/>
    <n v="308000"/>
    <n v="1833"/>
  </r>
  <r>
    <s v="2025-03-10"/>
    <x v="3"/>
    <x v="2"/>
    <x v="1"/>
    <s v="Retail"/>
    <x v="1"/>
    <x v="5"/>
    <x v="0"/>
    <n v="320000"/>
    <n v="4"/>
    <x v="1"/>
    <n v="256000"/>
    <n v="1280000"/>
    <n v="1024000"/>
    <n v="256000"/>
    <n v="1834"/>
  </r>
  <r>
    <s v="2025-04-16"/>
    <x v="1"/>
    <x v="2"/>
    <x v="1"/>
    <s v="Corporate"/>
    <x v="1"/>
    <x v="9"/>
    <x v="1"/>
    <n v="220000"/>
    <n v="1"/>
    <x v="4"/>
    <n v="176000"/>
    <n v="220000"/>
    <n v="176000"/>
    <n v="44000"/>
    <n v="1835"/>
  </r>
  <r>
    <s v="2025-02-28"/>
    <x v="2"/>
    <x v="0"/>
    <x v="1"/>
    <s v="Retail"/>
    <x v="1"/>
    <x v="1"/>
    <x v="1"/>
    <n v="30000"/>
    <n v="9"/>
    <x v="4"/>
    <n v="24000"/>
    <n v="270000"/>
    <n v="216000"/>
    <n v="54000"/>
    <n v="1836"/>
  </r>
  <r>
    <s v="2025-04-28"/>
    <x v="1"/>
    <x v="3"/>
    <x v="1"/>
    <s v="Corporate"/>
    <x v="1"/>
    <x v="1"/>
    <x v="1"/>
    <n v="30000"/>
    <n v="8"/>
    <x v="4"/>
    <n v="24000"/>
    <n v="240000"/>
    <n v="192000"/>
    <n v="48000"/>
    <n v="1837"/>
  </r>
  <r>
    <s v="2025-01-18"/>
    <x v="0"/>
    <x v="2"/>
    <x v="1"/>
    <s v="Corporate"/>
    <x v="1"/>
    <x v="2"/>
    <x v="1"/>
    <n v="60000"/>
    <n v="7"/>
    <x v="1"/>
    <n v="48000"/>
    <n v="420000"/>
    <n v="336000"/>
    <n v="84000"/>
    <n v="1838"/>
  </r>
  <r>
    <s v="2025-03-11"/>
    <x v="3"/>
    <x v="0"/>
    <x v="2"/>
    <s v="Retail"/>
    <x v="1"/>
    <x v="1"/>
    <x v="1"/>
    <n v="30000"/>
    <n v="7"/>
    <x v="5"/>
    <n v="24000"/>
    <n v="210000"/>
    <n v="168000"/>
    <n v="42000"/>
    <n v="1839"/>
  </r>
  <r>
    <s v="2025-01-01"/>
    <x v="0"/>
    <x v="0"/>
    <x v="0"/>
    <s v="Retail"/>
    <x v="1"/>
    <x v="3"/>
    <x v="2"/>
    <n v="300000"/>
    <n v="6"/>
    <x v="4"/>
    <n v="240000"/>
    <n v="1800000"/>
    <n v="1440000"/>
    <n v="360000"/>
    <n v="1840"/>
  </r>
  <r>
    <s v="2025-02-26"/>
    <x v="2"/>
    <x v="3"/>
    <x v="3"/>
    <s v="Corporate"/>
    <x v="1"/>
    <x v="3"/>
    <x v="2"/>
    <n v="300000"/>
    <n v="4"/>
    <x v="5"/>
    <n v="240000"/>
    <n v="1200000"/>
    <n v="960000"/>
    <n v="240000"/>
    <n v="1841"/>
  </r>
  <r>
    <s v="2025-02-14"/>
    <x v="2"/>
    <x v="2"/>
    <x v="2"/>
    <s v="Retail"/>
    <x v="1"/>
    <x v="0"/>
    <x v="0"/>
    <n v="85000"/>
    <n v="2"/>
    <x v="0"/>
    <n v="68000"/>
    <n v="170000"/>
    <n v="136000"/>
    <n v="34000"/>
    <n v="1842"/>
  </r>
  <r>
    <s v="2025-05-01"/>
    <x v="4"/>
    <x v="3"/>
    <x v="2"/>
    <s v="Corporate"/>
    <x v="1"/>
    <x v="6"/>
    <x v="2"/>
    <n v="150000"/>
    <n v="3"/>
    <x v="1"/>
    <n v="120000"/>
    <n v="450000"/>
    <n v="360000"/>
    <n v="90000"/>
    <n v="1843"/>
  </r>
  <r>
    <s v="2025-03-29"/>
    <x v="3"/>
    <x v="0"/>
    <x v="3"/>
    <s v="Corporate"/>
    <x v="1"/>
    <x v="8"/>
    <x v="2"/>
    <n v="250000"/>
    <n v="4"/>
    <x v="2"/>
    <n v="200000"/>
    <n v="1000000"/>
    <n v="800000"/>
    <n v="200000"/>
    <n v="1844"/>
  </r>
  <r>
    <s v="2025-01-20"/>
    <x v="0"/>
    <x v="3"/>
    <x v="0"/>
    <s v="Retail"/>
    <x v="1"/>
    <x v="8"/>
    <x v="2"/>
    <n v="250000"/>
    <n v="7"/>
    <x v="0"/>
    <n v="200000"/>
    <n v="1750000"/>
    <n v="1400000"/>
    <n v="350000"/>
    <n v="1845"/>
  </r>
  <r>
    <s v="2025-01-05"/>
    <x v="0"/>
    <x v="0"/>
    <x v="1"/>
    <s v="Retail"/>
    <x v="1"/>
    <x v="8"/>
    <x v="2"/>
    <n v="250000"/>
    <n v="3"/>
    <x v="1"/>
    <n v="200000"/>
    <n v="750000"/>
    <n v="600000"/>
    <n v="150000"/>
    <n v="1846"/>
  </r>
  <r>
    <s v="2025-03-14"/>
    <x v="3"/>
    <x v="1"/>
    <x v="2"/>
    <s v="Retail"/>
    <x v="1"/>
    <x v="6"/>
    <x v="2"/>
    <n v="150000"/>
    <n v="8"/>
    <x v="0"/>
    <n v="120000"/>
    <n v="1200000"/>
    <n v="960000"/>
    <n v="240000"/>
    <n v="1847"/>
  </r>
  <r>
    <s v="2025-02-14"/>
    <x v="2"/>
    <x v="1"/>
    <x v="2"/>
    <s v="Corporate"/>
    <x v="1"/>
    <x v="0"/>
    <x v="0"/>
    <n v="85000"/>
    <n v="1"/>
    <x v="4"/>
    <n v="68000"/>
    <n v="85000"/>
    <n v="68000"/>
    <n v="17000"/>
    <n v="1848"/>
  </r>
  <r>
    <s v="2025-01-06"/>
    <x v="0"/>
    <x v="1"/>
    <x v="3"/>
    <s v="Retail"/>
    <x v="1"/>
    <x v="9"/>
    <x v="1"/>
    <n v="220000"/>
    <n v="6"/>
    <x v="0"/>
    <n v="176000"/>
    <n v="1320000"/>
    <n v="1056000"/>
    <n v="264000"/>
    <n v="1849"/>
  </r>
  <r>
    <s v="2025-02-14"/>
    <x v="2"/>
    <x v="1"/>
    <x v="0"/>
    <s v="Corporate"/>
    <x v="1"/>
    <x v="1"/>
    <x v="1"/>
    <n v="30000"/>
    <n v="3"/>
    <x v="0"/>
    <n v="24000"/>
    <n v="90000"/>
    <n v="72000"/>
    <n v="18000"/>
    <n v="1850"/>
  </r>
  <r>
    <s v="2025-02-27"/>
    <x v="2"/>
    <x v="3"/>
    <x v="3"/>
    <s v="Corporate"/>
    <x v="1"/>
    <x v="3"/>
    <x v="2"/>
    <n v="300000"/>
    <n v="3"/>
    <x v="1"/>
    <n v="240000"/>
    <n v="900000"/>
    <n v="720000"/>
    <n v="180000"/>
    <n v="1851"/>
  </r>
  <r>
    <s v="2025-04-26"/>
    <x v="1"/>
    <x v="1"/>
    <x v="2"/>
    <s v="Retail"/>
    <x v="1"/>
    <x v="8"/>
    <x v="2"/>
    <n v="250000"/>
    <n v="10"/>
    <x v="4"/>
    <n v="200000"/>
    <n v="2500000"/>
    <n v="2000000"/>
    <n v="500000"/>
    <n v="1852"/>
  </r>
  <r>
    <s v="2025-03-12"/>
    <x v="3"/>
    <x v="1"/>
    <x v="1"/>
    <s v="Retail"/>
    <x v="1"/>
    <x v="3"/>
    <x v="2"/>
    <n v="300000"/>
    <n v="4"/>
    <x v="3"/>
    <n v="240000"/>
    <n v="1200000"/>
    <n v="960000"/>
    <n v="240000"/>
    <n v="1853"/>
  </r>
  <r>
    <s v="2025-04-22"/>
    <x v="1"/>
    <x v="2"/>
    <x v="2"/>
    <s v="Retail"/>
    <x v="1"/>
    <x v="5"/>
    <x v="0"/>
    <n v="320000"/>
    <n v="5"/>
    <x v="5"/>
    <n v="256000"/>
    <n v="1600000"/>
    <n v="1280000"/>
    <n v="320000"/>
    <n v="1854"/>
  </r>
  <r>
    <s v="2025-04-23"/>
    <x v="1"/>
    <x v="2"/>
    <x v="1"/>
    <s v="Retail"/>
    <x v="1"/>
    <x v="5"/>
    <x v="0"/>
    <n v="320000"/>
    <n v="1"/>
    <x v="1"/>
    <n v="256000"/>
    <n v="320000"/>
    <n v="256000"/>
    <n v="64000"/>
    <n v="1855"/>
  </r>
  <r>
    <s v="2025-01-20"/>
    <x v="0"/>
    <x v="3"/>
    <x v="0"/>
    <s v="Retail"/>
    <x v="1"/>
    <x v="7"/>
    <x v="2"/>
    <n v="420000"/>
    <n v="4"/>
    <x v="4"/>
    <n v="336000"/>
    <n v="1680000"/>
    <n v="1344000"/>
    <n v="336000"/>
    <n v="1856"/>
  </r>
  <r>
    <s v="2025-04-05"/>
    <x v="1"/>
    <x v="2"/>
    <x v="2"/>
    <s v="Corporate"/>
    <x v="1"/>
    <x v="0"/>
    <x v="0"/>
    <n v="85000"/>
    <n v="5"/>
    <x v="2"/>
    <n v="68000"/>
    <n v="425000"/>
    <n v="340000"/>
    <n v="85000"/>
    <n v="1857"/>
  </r>
  <r>
    <s v="2025-03-13"/>
    <x v="3"/>
    <x v="1"/>
    <x v="1"/>
    <s v="Corporate"/>
    <x v="1"/>
    <x v="2"/>
    <x v="1"/>
    <n v="60000"/>
    <n v="3"/>
    <x v="0"/>
    <n v="48000"/>
    <n v="180000"/>
    <n v="144000"/>
    <n v="36000"/>
    <n v="1858"/>
  </r>
  <r>
    <s v="2025-01-15"/>
    <x v="0"/>
    <x v="0"/>
    <x v="3"/>
    <s v="Retail"/>
    <x v="1"/>
    <x v="8"/>
    <x v="2"/>
    <n v="250000"/>
    <n v="4"/>
    <x v="4"/>
    <n v="200000"/>
    <n v="1000000"/>
    <n v="800000"/>
    <n v="200000"/>
    <n v="1859"/>
  </r>
  <r>
    <s v="2025-03-31"/>
    <x v="3"/>
    <x v="1"/>
    <x v="0"/>
    <s v="Retail"/>
    <x v="1"/>
    <x v="7"/>
    <x v="2"/>
    <n v="420000"/>
    <n v="5"/>
    <x v="0"/>
    <n v="336000"/>
    <n v="2100000"/>
    <n v="1680000"/>
    <n v="420000"/>
    <n v="1860"/>
  </r>
  <r>
    <s v="2025-03-26"/>
    <x v="3"/>
    <x v="0"/>
    <x v="2"/>
    <s v="Retail"/>
    <x v="1"/>
    <x v="6"/>
    <x v="2"/>
    <n v="150000"/>
    <n v="5"/>
    <x v="2"/>
    <n v="120000"/>
    <n v="750000"/>
    <n v="600000"/>
    <n v="150000"/>
    <n v="1861"/>
  </r>
  <r>
    <s v="2025-01-31"/>
    <x v="0"/>
    <x v="3"/>
    <x v="1"/>
    <s v="Corporate"/>
    <x v="1"/>
    <x v="4"/>
    <x v="1"/>
    <n v="180000"/>
    <n v="1"/>
    <x v="3"/>
    <n v="144000"/>
    <n v="180000"/>
    <n v="144000"/>
    <n v="36000"/>
    <n v="1862"/>
  </r>
  <r>
    <s v="2025-04-20"/>
    <x v="1"/>
    <x v="2"/>
    <x v="3"/>
    <s v="Corporate"/>
    <x v="1"/>
    <x v="4"/>
    <x v="1"/>
    <n v="180000"/>
    <n v="1"/>
    <x v="2"/>
    <n v="144000"/>
    <n v="180000"/>
    <n v="144000"/>
    <n v="36000"/>
    <n v="1863"/>
  </r>
  <r>
    <s v="2025-04-13"/>
    <x v="1"/>
    <x v="0"/>
    <x v="1"/>
    <s v="Retail"/>
    <x v="1"/>
    <x v="8"/>
    <x v="2"/>
    <n v="250000"/>
    <n v="9"/>
    <x v="0"/>
    <n v="200000"/>
    <n v="2250000"/>
    <n v="1800000"/>
    <n v="450000"/>
    <n v="1864"/>
  </r>
  <r>
    <s v="2025-01-18"/>
    <x v="0"/>
    <x v="3"/>
    <x v="0"/>
    <s v="Retail"/>
    <x v="1"/>
    <x v="0"/>
    <x v="0"/>
    <n v="85000"/>
    <n v="4"/>
    <x v="3"/>
    <n v="68000"/>
    <n v="340000"/>
    <n v="272000"/>
    <n v="68000"/>
    <n v="1865"/>
  </r>
  <r>
    <s v="2025-02-12"/>
    <x v="2"/>
    <x v="0"/>
    <x v="3"/>
    <s v="Corporate"/>
    <x v="1"/>
    <x v="7"/>
    <x v="2"/>
    <n v="420000"/>
    <n v="8"/>
    <x v="1"/>
    <n v="336000"/>
    <n v="3360000"/>
    <n v="2688000"/>
    <n v="672000"/>
    <n v="1866"/>
  </r>
  <r>
    <s v="2025-03-08"/>
    <x v="3"/>
    <x v="2"/>
    <x v="3"/>
    <s v="Corporate"/>
    <x v="1"/>
    <x v="5"/>
    <x v="0"/>
    <n v="320000"/>
    <n v="6"/>
    <x v="1"/>
    <n v="256000"/>
    <n v="1920000"/>
    <n v="1536000"/>
    <n v="384000"/>
    <n v="1867"/>
  </r>
  <r>
    <s v="2025-03-20"/>
    <x v="3"/>
    <x v="3"/>
    <x v="1"/>
    <s v="Retail"/>
    <x v="1"/>
    <x v="6"/>
    <x v="2"/>
    <n v="150000"/>
    <n v="3"/>
    <x v="4"/>
    <n v="120000"/>
    <n v="450000"/>
    <n v="360000"/>
    <n v="90000"/>
    <n v="1868"/>
  </r>
  <r>
    <s v="2025-01-20"/>
    <x v="0"/>
    <x v="0"/>
    <x v="3"/>
    <s v="Retail"/>
    <x v="1"/>
    <x v="0"/>
    <x v="0"/>
    <n v="85000"/>
    <n v="3"/>
    <x v="2"/>
    <n v="68000"/>
    <n v="255000"/>
    <n v="204000"/>
    <n v="51000"/>
    <n v="1869"/>
  </r>
  <r>
    <s v="2025-03-16"/>
    <x v="3"/>
    <x v="3"/>
    <x v="1"/>
    <s v="Retail"/>
    <x v="1"/>
    <x v="3"/>
    <x v="2"/>
    <n v="300000"/>
    <n v="1"/>
    <x v="2"/>
    <n v="240000"/>
    <n v="300000"/>
    <n v="240000"/>
    <n v="60000"/>
    <n v="1870"/>
  </r>
  <r>
    <s v="2025-03-29"/>
    <x v="3"/>
    <x v="2"/>
    <x v="1"/>
    <s v="Corporate"/>
    <x v="0"/>
    <x v="4"/>
    <x v="1"/>
    <n v="180000"/>
    <n v="4"/>
    <x v="4"/>
    <n v="144000"/>
    <n v="720000"/>
    <n v="576000"/>
    <n v="144000"/>
    <n v="1871"/>
  </r>
  <r>
    <s v="2025-03-12"/>
    <x v="3"/>
    <x v="0"/>
    <x v="1"/>
    <s v="Retail"/>
    <x v="0"/>
    <x v="7"/>
    <x v="2"/>
    <n v="420000"/>
    <n v="10"/>
    <x v="3"/>
    <n v="336000"/>
    <n v="4200000"/>
    <n v="3360000"/>
    <n v="840000"/>
    <n v="1872"/>
  </r>
  <r>
    <s v="2025-04-03"/>
    <x v="1"/>
    <x v="3"/>
    <x v="3"/>
    <s v="Corporate"/>
    <x v="0"/>
    <x v="6"/>
    <x v="2"/>
    <n v="150000"/>
    <n v="4"/>
    <x v="5"/>
    <n v="120000"/>
    <n v="600000"/>
    <n v="480000"/>
    <n v="120000"/>
    <n v="1873"/>
  </r>
  <r>
    <s v="2025-04-23"/>
    <x v="1"/>
    <x v="1"/>
    <x v="2"/>
    <s v="Retail"/>
    <x v="0"/>
    <x v="0"/>
    <x v="0"/>
    <n v="85000"/>
    <n v="6"/>
    <x v="5"/>
    <n v="68000"/>
    <n v="510000"/>
    <n v="408000"/>
    <n v="102000"/>
    <n v="1874"/>
  </r>
  <r>
    <s v="2025-01-22"/>
    <x v="0"/>
    <x v="2"/>
    <x v="0"/>
    <s v="Corporate"/>
    <x v="1"/>
    <x v="3"/>
    <x v="2"/>
    <n v="300000"/>
    <n v="10"/>
    <x v="0"/>
    <n v="240000"/>
    <n v="3000000"/>
    <n v="2400000"/>
    <n v="600000"/>
    <n v="1875"/>
  </r>
  <r>
    <s v="2025-05-01"/>
    <x v="4"/>
    <x v="1"/>
    <x v="1"/>
    <s v="Corporate"/>
    <x v="1"/>
    <x v="6"/>
    <x v="2"/>
    <n v="150000"/>
    <n v="6"/>
    <x v="5"/>
    <n v="120000"/>
    <n v="900000"/>
    <n v="720000"/>
    <n v="180000"/>
    <n v="1876"/>
  </r>
  <r>
    <s v="2025-04-07"/>
    <x v="1"/>
    <x v="2"/>
    <x v="0"/>
    <s v="Corporate"/>
    <x v="1"/>
    <x v="6"/>
    <x v="2"/>
    <n v="150000"/>
    <n v="1"/>
    <x v="5"/>
    <n v="120000"/>
    <n v="150000"/>
    <n v="120000"/>
    <n v="30000"/>
    <n v="1877"/>
  </r>
  <r>
    <s v="2025-01-26"/>
    <x v="0"/>
    <x v="3"/>
    <x v="0"/>
    <s v="Retail"/>
    <x v="1"/>
    <x v="3"/>
    <x v="2"/>
    <n v="300000"/>
    <n v="3"/>
    <x v="2"/>
    <n v="240000"/>
    <n v="900000"/>
    <n v="720000"/>
    <n v="180000"/>
    <n v="1878"/>
  </r>
  <r>
    <s v="2025-01-26"/>
    <x v="0"/>
    <x v="3"/>
    <x v="0"/>
    <s v="Retail"/>
    <x v="0"/>
    <x v="3"/>
    <x v="2"/>
    <n v="300000"/>
    <n v="8"/>
    <x v="4"/>
    <n v="240000"/>
    <n v="2400000"/>
    <n v="1920000"/>
    <n v="480000"/>
    <n v="1879"/>
  </r>
  <r>
    <s v="2025-01-02"/>
    <x v="0"/>
    <x v="1"/>
    <x v="0"/>
    <s v="Corporate"/>
    <x v="0"/>
    <x v="3"/>
    <x v="2"/>
    <n v="300000"/>
    <n v="9"/>
    <x v="0"/>
    <n v="240000"/>
    <n v="2700000"/>
    <n v="2160000"/>
    <n v="540000"/>
    <n v="1880"/>
  </r>
  <r>
    <s v="2025-01-11"/>
    <x v="0"/>
    <x v="3"/>
    <x v="1"/>
    <s v="Retail"/>
    <x v="0"/>
    <x v="3"/>
    <x v="2"/>
    <n v="300000"/>
    <n v="2"/>
    <x v="3"/>
    <n v="240000"/>
    <n v="600000"/>
    <n v="480000"/>
    <n v="120000"/>
    <n v="1881"/>
  </r>
  <r>
    <s v="2025-03-10"/>
    <x v="3"/>
    <x v="3"/>
    <x v="0"/>
    <s v="Corporate"/>
    <x v="1"/>
    <x v="3"/>
    <x v="2"/>
    <n v="300000"/>
    <n v="10"/>
    <x v="2"/>
    <n v="240000"/>
    <n v="3000000"/>
    <n v="2400000"/>
    <n v="600000"/>
    <n v="1882"/>
  </r>
  <r>
    <s v="2025-01-06"/>
    <x v="0"/>
    <x v="0"/>
    <x v="2"/>
    <s v="Corporate"/>
    <x v="1"/>
    <x v="9"/>
    <x v="1"/>
    <n v="220000"/>
    <n v="4"/>
    <x v="4"/>
    <n v="176000"/>
    <n v="880000"/>
    <n v="704000"/>
    <n v="176000"/>
    <n v="1883"/>
  </r>
  <r>
    <s v="2025-04-25"/>
    <x v="1"/>
    <x v="3"/>
    <x v="1"/>
    <s v="Corporate"/>
    <x v="0"/>
    <x v="0"/>
    <x v="0"/>
    <n v="85000"/>
    <n v="6"/>
    <x v="4"/>
    <n v="68000"/>
    <n v="510000"/>
    <n v="408000"/>
    <n v="102000"/>
    <n v="1884"/>
  </r>
  <r>
    <s v="2025-03-22"/>
    <x v="3"/>
    <x v="0"/>
    <x v="2"/>
    <s v="Corporate"/>
    <x v="1"/>
    <x v="2"/>
    <x v="1"/>
    <n v="60000"/>
    <n v="4"/>
    <x v="2"/>
    <n v="48000"/>
    <n v="240000"/>
    <n v="192000"/>
    <n v="48000"/>
    <n v="1885"/>
  </r>
  <r>
    <s v="2025-04-22"/>
    <x v="1"/>
    <x v="1"/>
    <x v="0"/>
    <s v="Retail"/>
    <x v="1"/>
    <x v="9"/>
    <x v="1"/>
    <n v="220000"/>
    <n v="2"/>
    <x v="1"/>
    <n v="176000"/>
    <n v="440000"/>
    <n v="352000"/>
    <n v="88000"/>
    <n v="1886"/>
  </r>
  <r>
    <s v="2025-03-17"/>
    <x v="3"/>
    <x v="1"/>
    <x v="3"/>
    <s v="Corporate"/>
    <x v="0"/>
    <x v="3"/>
    <x v="2"/>
    <n v="300000"/>
    <n v="3"/>
    <x v="0"/>
    <n v="240000"/>
    <n v="900000"/>
    <n v="720000"/>
    <n v="180000"/>
    <n v="1887"/>
  </r>
  <r>
    <s v="2025-04-12"/>
    <x v="1"/>
    <x v="2"/>
    <x v="0"/>
    <s v="Corporate"/>
    <x v="0"/>
    <x v="9"/>
    <x v="1"/>
    <n v="220000"/>
    <n v="8"/>
    <x v="5"/>
    <n v="176000"/>
    <n v="1760000"/>
    <n v="1408000"/>
    <n v="352000"/>
    <n v="1888"/>
  </r>
  <r>
    <s v="2025-04-05"/>
    <x v="1"/>
    <x v="0"/>
    <x v="0"/>
    <s v="Retail"/>
    <x v="0"/>
    <x v="8"/>
    <x v="2"/>
    <n v="250000"/>
    <n v="8"/>
    <x v="4"/>
    <n v="200000"/>
    <n v="2000000"/>
    <n v="1600000"/>
    <n v="400000"/>
    <n v="1889"/>
  </r>
  <r>
    <s v="2025-03-22"/>
    <x v="3"/>
    <x v="2"/>
    <x v="0"/>
    <s v="Retail"/>
    <x v="0"/>
    <x v="0"/>
    <x v="0"/>
    <n v="85000"/>
    <n v="2"/>
    <x v="0"/>
    <n v="68000"/>
    <n v="170000"/>
    <n v="136000"/>
    <n v="34000"/>
    <n v="1890"/>
  </r>
  <r>
    <s v="2025-04-30"/>
    <x v="1"/>
    <x v="3"/>
    <x v="2"/>
    <s v="Corporate"/>
    <x v="1"/>
    <x v="6"/>
    <x v="2"/>
    <n v="150000"/>
    <n v="7"/>
    <x v="4"/>
    <n v="120000"/>
    <n v="1050000"/>
    <n v="840000"/>
    <n v="210000"/>
    <n v="1891"/>
  </r>
  <r>
    <s v="2025-03-14"/>
    <x v="3"/>
    <x v="2"/>
    <x v="2"/>
    <s v="Retail"/>
    <x v="0"/>
    <x v="1"/>
    <x v="1"/>
    <n v="30000"/>
    <n v="8"/>
    <x v="2"/>
    <n v="24000"/>
    <n v="240000"/>
    <n v="192000"/>
    <n v="48000"/>
    <n v="1892"/>
  </r>
  <r>
    <s v="2025-01-27"/>
    <x v="0"/>
    <x v="0"/>
    <x v="0"/>
    <s v="Corporate"/>
    <x v="0"/>
    <x v="0"/>
    <x v="0"/>
    <n v="85000"/>
    <n v="2"/>
    <x v="4"/>
    <n v="68000"/>
    <n v="170000"/>
    <n v="136000"/>
    <n v="34000"/>
    <n v="1893"/>
  </r>
  <r>
    <s v="2025-03-28"/>
    <x v="3"/>
    <x v="0"/>
    <x v="3"/>
    <s v="Retail"/>
    <x v="0"/>
    <x v="4"/>
    <x v="1"/>
    <n v="180000"/>
    <n v="5"/>
    <x v="1"/>
    <n v="144000"/>
    <n v="900000"/>
    <n v="720000"/>
    <n v="180000"/>
    <n v="1894"/>
  </r>
  <r>
    <s v="2025-03-10"/>
    <x v="3"/>
    <x v="0"/>
    <x v="2"/>
    <s v="Retail"/>
    <x v="0"/>
    <x v="0"/>
    <x v="0"/>
    <n v="85000"/>
    <n v="9"/>
    <x v="4"/>
    <n v="68000"/>
    <n v="765000"/>
    <n v="612000"/>
    <n v="153000"/>
    <n v="1895"/>
  </r>
  <r>
    <s v="2025-01-07"/>
    <x v="0"/>
    <x v="0"/>
    <x v="3"/>
    <s v="Corporate"/>
    <x v="0"/>
    <x v="7"/>
    <x v="2"/>
    <n v="420000"/>
    <n v="9"/>
    <x v="1"/>
    <n v="336000"/>
    <n v="3780000"/>
    <n v="3024000"/>
    <n v="756000"/>
    <n v="1896"/>
  </r>
  <r>
    <s v="2025-03-12"/>
    <x v="3"/>
    <x v="3"/>
    <x v="3"/>
    <s v="Retail"/>
    <x v="0"/>
    <x v="5"/>
    <x v="0"/>
    <n v="320000"/>
    <n v="5"/>
    <x v="0"/>
    <n v="256000"/>
    <n v="1600000"/>
    <n v="1280000"/>
    <n v="320000"/>
    <n v="1897"/>
  </r>
  <r>
    <s v="2025-04-22"/>
    <x v="1"/>
    <x v="0"/>
    <x v="1"/>
    <s v="Retail"/>
    <x v="0"/>
    <x v="5"/>
    <x v="0"/>
    <n v="320000"/>
    <n v="1"/>
    <x v="4"/>
    <n v="256000"/>
    <n v="320000"/>
    <n v="256000"/>
    <n v="64000"/>
    <n v="1898"/>
  </r>
  <r>
    <s v="2025-03-17"/>
    <x v="3"/>
    <x v="3"/>
    <x v="2"/>
    <s v="Retail"/>
    <x v="0"/>
    <x v="1"/>
    <x v="1"/>
    <n v="30000"/>
    <n v="10"/>
    <x v="3"/>
    <n v="24000"/>
    <n v="300000"/>
    <n v="240000"/>
    <n v="60000"/>
    <n v="1899"/>
  </r>
  <r>
    <s v="2025-02-14"/>
    <x v="2"/>
    <x v="1"/>
    <x v="0"/>
    <s v="Retail"/>
    <x v="1"/>
    <x v="4"/>
    <x v="1"/>
    <n v="180000"/>
    <n v="10"/>
    <x v="5"/>
    <n v="144000"/>
    <n v="1800000"/>
    <n v="1440000"/>
    <n v="360000"/>
    <n v="1900"/>
  </r>
  <r>
    <s v="2025-03-16"/>
    <x v="3"/>
    <x v="0"/>
    <x v="2"/>
    <s v="Corporate"/>
    <x v="0"/>
    <x v="5"/>
    <x v="0"/>
    <n v="320000"/>
    <n v="9"/>
    <x v="2"/>
    <n v="256000"/>
    <n v="2880000"/>
    <n v="2304000"/>
    <n v="576000"/>
    <n v="1901"/>
  </r>
  <r>
    <s v="2025-01-02"/>
    <x v="0"/>
    <x v="0"/>
    <x v="3"/>
    <s v="Corporate"/>
    <x v="0"/>
    <x v="7"/>
    <x v="2"/>
    <n v="420000"/>
    <n v="2"/>
    <x v="4"/>
    <n v="336000"/>
    <n v="840000"/>
    <n v="672000"/>
    <n v="168000"/>
    <n v="1902"/>
  </r>
  <r>
    <s v="2025-01-27"/>
    <x v="0"/>
    <x v="3"/>
    <x v="0"/>
    <s v="Retail"/>
    <x v="0"/>
    <x v="3"/>
    <x v="2"/>
    <n v="300000"/>
    <n v="6"/>
    <x v="2"/>
    <n v="240000"/>
    <n v="1800000"/>
    <n v="1440000"/>
    <n v="360000"/>
    <n v="1903"/>
  </r>
  <r>
    <s v="2025-01-27"/>
    <x v="0"/>
    <x v="3"/>
    <x v="2"/>
    <s v="Corporate"/>
    <x v="1"/>
    <x v="1"/>
    <x v="1"/>
    <n v="30000"/>
    <n v="4"/>
    <x v="1"/>
    <n v="24000"/>
    <n v="120000"/>
    <n v="96000"/>
    <n v="24000"/>
    <n v="1904"/>
  </r>
  <r>
    <s v="2025-02-01"/>
    <x v="2"/>
    <x v="2"/>
    <x v="3"/>
    <s v="Corporate"/>
    <x v="1"/>
    <x v="5"/>
    <x v="0"/>
    <n v="320000"/>
    <n v="7"/>
    <x v="2"/>
    <n v="256000"/>
    <n v="2240000"/>
    <n v="1792000"/>
    <n v="448000"/>
    <n v="1905"/>
  </r>
  <r>
    <s v="2025-01-11"/>
    <x v="0"/>
    <x v="3"/>
    <x v="2"/>
    <s v="Corporate"/>
    <x v="1"/>
    <x v="5"/>
    <x v="0"/>
    <n v="320000"/>
    <n v="1"/>
    <x v="4"/>
    <n v="256000"/>
    <n v="320000"/>
    <n v="256000"/>
    <n v="64000"/>
    <n v="1906"/>
  </r>
  <r>
    <s v="2025-04-13"/>
    <x v="1"/>
    <x v="3"/>
    <x v="2"/>
    <s v="Corporate"/>
    <x v="0"/>
    <x v="3"/>
    <x v="2"/>
    <n v="300000"/>
    <n v="3"/>
    <x v="3"/>
    <n v="240000"/>
    <n v="900000"/>
    <n v="720000"/>
    <n v="180000"/>
    <n v="1907"/>
  </r>
  <r>
    <s v="2025-02-04"/>
    <x v="2"/>
    <x v="3"/>
    <x v="1"/>
    <s v="Corporate"/>
    <x v="0"/>
    <x v="1"/>
    <x v="1"/>
    <n v="30000"/>
    <n v="6"/>
    <x v="2"/>
    <n v="24000"/>
    <n v="180000"/>
    <n v="144000"/>
    <n v="36000"/>
    <n v="1908"/>
  </r>
  <r>
    <s v="2025-03-05"/>
    <x v="3"/>
    <x v="1"/>
    <x v="2"/>
    <s v="Corporate"/>
    <x v="1"/>
    <x v="9"/>
    <x v="1"/>
    <n v="220000"/>
    <n v="1"/>
    <x v="2"/>
    <n v="176000"/>
    <n v="220000"/>
    <n v="176000"/>
    <n v="44000"/>
    <n v="1909"/>
  </r>
  <r>
    <s v="2025-01-08"/>
    <x v="0"/>
    <x v="3"/>
    <x v="3"/>
    <s v="Retail"/>
    <x v="0"/>
    <x v="1"/>
    <x v="1"/>
    <n v="30000"/>
    <n v="9"/>
    <x v="3"/>
    <n v="24000"/>
    <n v="270000"/>
    <n v="216000"/>
    <n v="54000"/>
    <n v="1910"/>
  </r>
  <r>
    <s v="2025-03-21"/>
    <x v="3"/>
    <x v="0"/>
    <x v="0"/>
    <s v="Corporate"/>
    <x v="0"/>
    <x v="9"/>
    <x v="1"/>
    <n v="220000"/>
    <n v="10"/>
    <x v="3"/>
    <n v="176000"/>
    <n v="2200000"/>
    <n v="1760000"/>
    <n v="440000"/>
    <n v="1911"/>
  </r>
  <r>
    <s v="2025-04-07"/>
    <x v="1"/>
    <x v="1"/>
    <x v="2"/>
    <s v="Retail"/>
    <x v="0"/>
    <x v="9"/>
    <x v="1"/>
    <n v="220000"/>
    <n v="9"/>
    <x v="0"/>
    <n v="176000"/>
    <n v="1980000"/>
    <n v="1584000"/>
    <n v="396000"/>
    <n v="1912"/>
  </r>
  <r>
    <s v="2025-03-02"/>
    <x v="3"/>
    <x v="0"/>
    <x v="3"/>
    <s v="Corporate"/>
    <x v="0"/>
    <x v="2"/>
    <x v="1"/>
    <n v="60000"/>
    <n v="4"/>
    <x v="1"/>
    <n v="48000"/>
    <n v="240000"/>
    <n v="192000"/>
    <n v="48000"/>
    <n v="1913"/>
  </r>
  <r>
    <s v="2025-04-13"/>
    <x v="1"/>
    <x v="2"/>
    <x v="2"/>
    <s v="Corporate"/>
    <x v="1"/>
    <x v="9"/>
    <x v="1"/>
    <n v="220000"/>
    <n v="7"/>
    <x v="1"/>
    <n v="176000"/>
    <n v="1540000"/>
    <n v="1232000"/>
    <n v="308000"/>
    <n v="1914"/>
  </r>
  <r>
    <s v="2025-03-05"/>
    <x v="3"/>
    <x v="0"/>
    <x v="2"/>
    <s v="Retail"/>
    <x v="1"/>
    <x v="5"/>
    <x v="0"/>
    <n v="320000"/>
    <n v="9"/>
    <x v="2"/>
    <n v="256000"/>
    <n v="2880000"/>
    <n v="2304000"/>
    <n v="576000"/>
    <n v="1915"/>
  </r>
  <r>
    <s v="2025-04-24"/>
    <x v="1"/>
    <x v="0"/>
    <x v="1"/>
    <s v="Corporate"/>
    <x v="1"/>
    <x v="0"/>
    <x v="0"/>
    <n v="85000"/>
    <n v="5"/>
    <x v="5"/>
    <n v="68000"/>
    <n v="425000"/>
    <n v="340000"/>
    <n v="85000"/>
    <n v="1916"/>
  </r>
  <r>
    <s v="2025-01-05"/>
    <x v="0"/>
    <x v="3"/>
    <x v="3"/>
    <s v="Retail"/>
    <x v="0"/>
    <x v="8"/>
    <x v="2"/>
    <n v="250000"/>
    <n v="10"/>
    <x v="4"/>
    <n v="200000"/>
    <n v="2500000"/>
    <n v="2000000"/>
    <n v="500000"/>
    <n v="1917"/>
  </r>
  <r>
    <s v="2025-04-21"/>
    <x v="1"/>
    <x v="1"/>
    <x v="3"/>
    <s v="Retail"/>
    <x v="1"/>
    <x v="5"/>
    <x v="0"/>
    <n v="320000"/>
    <n v="8"/>
    <x v="2"/>
    <n v="256000"/>
    <n v="2560000"/>
    <n v="2048000"/>
    <n v="512000"/>
    <n v="1918"/>
  </r>
  <r>
    <s v="2025-01-04"/>
    <x v="0"/>
    <x v="3"/>
    <x v="0"/>
    <s v="Corporate"/>
    <x v="1"/>
    <x v="6"/>
    <x v="2"/>
    <n v="150000"/>
    <n v="7"/>
    <x v="3"/>
    <n v="120000"/>
    <n v="1050000"/>
    <n v="840000"/>
    <n v="210000"/>
    <n v="1919"/>
  </r>
  <r>
    <s v="2025-01-05"/>
    <x v="0"/>
    <x v="3"/>
    <x v="2"/>
    <s v="Retail"/>
    <x v="1"/>
    <x v="4"/>
    <x v="1"/>
    <n v="180000"/>
    <n v="8"/>
    <x v="3"/>
    <n v="144000"/>
    <n v="1440000"/>
    <n v="1152000"/>
    <n v="288000"/>
    <n v="1920"/>
  </r>
  <r>
    <s v="2025-04-06"/>
    <x v="1"/>
    <x v="0"/>
    <x v="3"/>
    <s v="Retail"/>
    <x v="0"/>
    <x v="5"/>
    <x v="0"/>
    <n v="320000"/>
    <n v="10"/>
    <x v="2"/>
    <n v="256000"/>
    <n v="3200000"/>
    <n v="2560000"/>
    <n v="640000"/>
    <n v="1921"/>
  </r>
  <r>
    <s v="2025-02-05"/>
    <x v="2"/>
    <x v="3"/>
    <x v="0"/>
    <s v="Corporate"/>
    <x v="1"/>
    <x v="6"/>
    <x v="2"/>
    <n v="150000"/>
    <n v="7"/>
    <x v="5"/>
    <n v="120000"/>
    <n v="1050000"/>
    <n v="840000"/>
    <n v="210000"/>
    <n v="1922"/>
  </r>
  <r>
    <s v="2025-03-18"/>
    <x v="3"/>
    <x v="2"/>
    <x v="1"/>
    <s v="Corporate"/>
    <x v="1"/>
    <x v="9"/>
    <x v="1"/>
    <n v="220000"/>
    <n v="1"/>
    <x v="1"/>
    <n v="176000"/>
    <n v="220000"/>
    <n v="176000"/>
    <n v="44000"/>
    <n v="1923"/>
  </r>
  <r>
    <s v="2025-01-30"/>
    <x v="0"/>
    <x v="3"/>
    <x v="3"/>
    <s v="Corporate"/>
    <x v="0"/>
    <x v="9"/>
    <x v="1"/>
    <n v="220000"/>
    <n v="7"/>
    <x v="1"/>
    <n v="176000"/>
    <n v="1540000"/>
    <n v="1232000"/>
    <n v="308000"/>
    <n v="1924"/>
  </r>
  <r>
    <s v="2025-02-28"/>
    <x v="2"/>
    <x v="2"/>
    <x v="3"/>
    <s v="Corporate"/>
    <x v="1"/>
    <x v="6"/>
    <x v="2"/>
    <n v="150000"/>
    <n v="6"/>
    <x v="1"/>
    <n v="120000"/>
    <n v="900000"/>
    <n v="720000"/>
    <n v="180000"/>
    <n v="1925"/>
  </r>
  <r>
    <s v="2025-02-06"/>
    <x v="2"/>
    <x v="1"/>
    <x v="0"/>
    <s v="Retail"/>
    <x v="0"/>
    <x v="3"/>
    <x v="2"/>
    <n v="300000"/>
    <n v="8"/>
    <x v="2"/>
    <n v="240000"/>
    <n v="2400000"/>
    <n v="1920000"/>
    <n v="480000"/>
    <n v="1926"/>
  </r>
  <r>
    <s v="2025-01-15"/>
    <x v="0"/>
    <x v="1"/>
    <x v="3"/>
    <s v="Corporate"/>
    <x v="1"/>
    <x v="7"/>
    <x v="2"/>
    <n v="420000"/>
    <n v="10"/>
    <x v="5"/>
    <n v="336000"/>
    <n v="4200000"/>
    <n v="3360000"/>
    <n v="840000"/>
    <n v="1927"/>
  </r>
  <r>
    <s v="2025-04-24"/>
    <x v="1"/>
    <x v="3"/>
    <x v="1"/>
    <s v="Retail"/>
    <x v="1"/>
    <x v="1"/>
    <x v="1"/>
    <n v="30000"/>
    <n v="1"/>
    <x v="1"/>
    <n v="24000"/>
    <n v="30000"/>
    <n v="24000"/>
    <n v="6000"/>
    <n v="1928"/>
  </r>
  <r>
    <s v="2025-01-17"/>
    <x v="0"/>
    <x v="1"/>
    <x v="0"/>
    <s v="Corporate"/>
    <x v="0"/>
    <x v="7"/>
    <x v="2"/>
    <n v="420000"/>
    <n v="7"/>
    <x v="0"/>
    <n v="336000"/>
    <n v="2940000"/>
    <n v="2352000"/>
    <n v="588000"/>
    <n v="1929"/>
  </r>
  <r>
    <s v="2025-02-02"/>
    <x v="2"/>
    <x v="3"/>
    <x v="0"/>
    <s v="Corporate"/>
    <x v="1"/>
    <x v="4"/>
    <x v="1"/>
    <n v="180000"/>
    <n v="6"/>
    <x v="3"/>
    <n v="144000"/>
    <n v="1080000"/>
    <n v="864000"/>
    <n v="216000"/>
    <n v="1930"/>
  </r>
  <r>
    <s v="2025-03-24"/>
    <x v="3"/>
    <x v="2"/>
    <x v="2"/>
    <s v="Retail"/>
    <x v="0"/>
    <x v="1"/>
    <x v="1"/>
    <n v="30000"/>
    <n v="10"/>
    <x v="5"/>
    <n v="24000"/>
    <n v="300000"/>
    <n v="240000"/>
    <n v="60000"/>
    <n v="1931"/>
  </r>
  <r>
    <s v="2025-02-01"/>
    <x v="2"/>
    <x v="0"/>
    <x v="0"/>
    <s v="Retail"/>
    <x v="1"/>
    <x v="9"/>
    <x v="1"/>
    <n v="220000"/>
    <n v="1"/>
    <x v="5"/>
    <n v="176000"/>
    <n v="220000"/>
    <n v="176000"/>
    <n v="44000"/>
    <n v="1932"/>
  </r>
  <r>
    <s v="2025-04-02"/>
    <x v="1"/>
    <x v="2"/>
    <x v="2"/>
    <s v="Retail"/>
    <x v="0"/>
    <x v="5"/>
    <x v="0"/>
    <n v="320000"/>
    <n v="6"/>
    <x v="3"/>
    <n v="256000"/>
    <n v="1920000"/>
    <n v="1536000"/>
    <n v="384000"/>
    <n v="1933"/>
  </r>
  <r>
    <s v="2025-03-28"/>
    <x v="3"/>
    <x v="2"/>
    <x v="3"/>
    <s v="Corporate"/>
    <x v="1"/>
    <x v="2"/>
    <x v="1"/>
    <n v="60000"/>
    <n v="10"/>
    <x v="1"/>
    <n v="48000"/>
    <n v="600000"/>
    <n v="480000"/>
    <n v="120000"/>
    <n v="1934"/>
  </r>
  <r>
    <s v="2025-04-10"/>
    <x v="1"/>
    <x v="0"/>
    <x v="3"/>
    <s v="Retail"/>
    <x v="0"/>
    <x v="0"/>
    <x v="0"/>
    <n v="85000"/>
    <n v="7"/>
    <x v="5"/>
    <n v="68000"/>
    <n v="595000"/>
    <n v="476000"/>
    <n v="119000"/>
    <n v="1935"/>
  </r>
  <r>
    <s v="2025-04-01"/>
    <x v="1"/>
    <x v="1"/>
    <x v="3"/>
    <s v="Corporate"/>
    <x v="0"/>
    <x v="8"/>
    <x v="2"/>
    <n v="250000"/>
    <n v="1"/>
    <x v="5"/>
    <n v="200000"/>
    <n v="250000"/>
    <n v="200000"/>
    <n v="50000"/>
    <n v="1936"/>
  </r>
  <r>
    <s v="2025-04-19"/>
    <x v="1"/>
    <x v="3"/>
    <x v="3"/>
    <s v="Corporate"/>
    <x v="1"/>
    <x v="9"/>
    <x v="1"/>
    <n v="220000"/>
    <n v="8"/>
    <x v="1"/>
    <n v="176000"/>
    <n v="1760000"/>
    <n v="1408000"/>
    <n v="352000"/>
    <n v="1937"/>
  </r>
  <r>
    <s v="2025-02-19"/>
    <x v="2"/>
    <x v="3"/>
    <x v="1"/>
    <s v="Retail"/>
    <x v="0"/>
    <x v="8"/>
    <x v="2"/>
    <n v="250000"/>
    <n v="6"/>
    <x v="3"/>
    <n v="200000"/>
    <n v="1500000"/>
    <n v="1200000"/>
    <n v="300000"/>
    <n v="1938"/>
  </r>
  <r>
    <s v="2025-03-15"/>
    <x v="3"/>
    <x v="3"/>
    <x v="3"/>
    <s v="Retail"/>
    <x v="0"/>
    <x v="0"/>
    <x v="0"/>
    <n v="85000"/>
    <n v="7"/>
    <x v="3"/>
    <n v="68000"/>
    <n v="595000"/>
    <n v="476000"/>
    <n v="119000"/>
    <n v="1939"/>
  </r>
  <r>
    <s v="2025-02-16"/>
    <x v="2"/>
    <x v="2"/>
    <x v="2"/>
    <s v="Retail"/>
    <x v="1"/>
    <x v="0"/>
    <x v="0"/>
    <n v="85000"/>
    <n v="4"/>
    <x v="2"/>
    <n v="68000"/>
    <n v="340000"/>
    <n v="272000"/>
    <n v="68000"/>
    <n v="1940"/>
  </r>
  <r>
    <s v="2025-02-03"/>
    <x v="2"/>
    <x v="1"/>
    <x v="3"/>
    <s v="Corporate"/>
    <x v="1"/>
    <x v="7"/>
    <x v="2"/>
    <n v="420000"/>
    <n v="6"/>
    <x v="0"/>
    <n v="336000"/>
    <n v="2520000"/>
    <n v="2016000"/>
    <n v="504000"/>
    <n v="1941"/>
  </r>
  <r>
    <s v="2025-02-06"/>
    <x v="2"/>
    <x v="1"/>
    <x v="0"/>
    <s v="Corporate"/>
    <x v="1"/>
    <x v="8"/>
    <x v="2"/>
    <n v="250000"/>
    <n v="4"/>
    <x v="2"/>
    <n v="200000"/>
    <n v="1000000"/>
    <n v="800000"/>
    <n v="200000"/>
    <n v="1942"/>
  </r>
  <r>
    <s v="2025-03-18"/>
    <x v="3"/>
    <x v="0"/>
    <x v="0"/>
    <s v="Retail"/>
    <x v="1"/>
    <x v="1"/>
    <x v="1"/>
    <n v="30000"/>
    <n v="3"/>
    <x v="4"/>
    <n v="24000"/>
    <n v="90000"/>
    <n v="72000"/>
    <n v="18000"/>
    <n v="1943"/>
  </r>
  <r>
    <s v="2025-01-07"/>
    <x v="0"/>
    <x v="3"/>
    <x v="3"/>
    <s v="Corporate"/>
    <x v="0"/>
    <x v="5"/>
    <x v="0"/>
    <n v="320000"/>
    <n v="9"/>
    <x v="3"/>
    <n v="256000"/>
    <n v="2880000"/>
    <n v="2304000"/>
    <n v="576000"/>
    <n v="1944"/>
  </r>
  <r>
    <s v="2025-01-19"/>
    <x v="0"/>
    <x v="3"/>
    <x v="0"/>
    <s v="Retail"/>
    <x v="1"/>
    <x v="9"/>
    <x v="1"/>
    <n v="220000"/>
    <n v="7"/>
    <x v="2"/>
    <n v="176000"/>
    <n v="1540000"/>
    <n v="1232000"/>
    <n v="308000"/>
    <n v="1945"/>
  </r>
  <r>
    <s v="2025-03-27"/>
    <x v="3"/>
    <x v="2"/>
    <x v="1"/>
    <s v="Corporate"/>
    <x v="0"/>
    <x v="6"/>
    <x v="2"/>
    <n v="150000"/>
    <n v="5"/>
    <x v="0"/>
    <n v="120000"/>
    <n v="750000"/>
    <n v="600000"/>
    <n v="150000"/>
    <n v="1946"/>
  </r>
  <r>
    <s v="2025-03-11"/>
    <x v="3"/>
    <x v="2"/>
    <x v="0"/>
    <s v="Corporate"/>
    <x v="1"/>
    <x v="0"/>
    <x v="0"/>
    <n v="85000"/>
    <n v="9"/>
    <x v="3"/>
    <n v="68000"/>
    <n v="765000"/>
    <n v="612000"/>
    <n v="153000"/>
    <n v="1947"/>
  </r>
  <r>
    <s v="2025-01-26"/>
    <x v="0"/>
    <x v="3"/>
    <x v="3"/>
    <s v="Corporate"/>
    <x v="0"/>
    <x v="8"/>
    <x v="2"/>
    <n v="250000"/>
    <n v="10"/>
    <x v="0"/>
    <n v="200000"/>
    <n v="2500000"/>
    <n v="2000000"/>
    <n v="500000"/>
    <n v="1948"/>
  </r>
  <r>
    <s v="2025-04-10"/>
    <x v="1"/>
    <x v="1"/>
    <x v="0"/>
    <s v="Corporate"/>
    <x v="0"/>
    <x v="0"/>
    <x v="0"/>
    <n v="85000"/>
    <n v="7"/>
    <x v="1"/>
    <n v="68000"/>
    <n v="595000"/>
    <n v="476000"/>
    <n v="119000"/>
    <n v="1949"/>
  </r>
  <r>
    <s v="2025-03-02"/>
    <x v="3"/>
    <x v="1"/>
    <x v="1"/>
    <s v="Retail"/>
    <x v="0"/>
    <x v="3"/>
    <x v="2"/>
    <n v="300000"/>
    <n v="6"/>
    <x v="4"/>
    <n v="240000"/>
    <n v="1800000"/>
    <n v="1440000"/>
    <n v="360000"/>
    <n v="1950"/>
  </r>
  <r>
    <s v="2025-03-20"/>
    <x v="3"/>
    <x v="0"/>
    <x v="0"/>
    <s v="Retail"/>
    <x v="1"/>
    <x v="3"/>
    <x v="2"/>
    <n v="300000"/>
    <n v="10"/>
    <x v="1"/>
    <n v="240000"/>
    <n v="3000000"/>
    <n v="2400000"/>
    <n v="600000"/>
    <n v="1951"/>
  </r>
  <r>
    <s v="2025-03-30"/>
    <x v="3"/>
    <x v="1"/>
    <x v="1"/>
    <s v="Corporate"/>
    <x v="0"/>
    <x v="4"/>
    <x v="1"/>
    <n v="180000"/>
    <n v="1"/>
    <x v="2"/>
    <n v="144000"/>
    <n v="180000"/>
    <n v="144000"/>
    <n v="36000"/>
    <n v="1952"/>
  </r>
  <r>
    <s v="2025-01-07"/>
    <x v="0"/>
    <x v="2"/>
    <x v="3"/>
    <s v="Retail"/>
    <x v="0"/>
    <x v="6"/>
    <x v="2"/>
    <n v="150000"/>
    <n v="7"/>
    <x v="4"/>
    <n v="120000"/>
    <n v="1050000"/>
    <n v="840000"/>
    <n v="210000"/>
    <n v="1953"/>
  </r>
  <r>
    <s v="2025-03-07"/>
    <x v="3"/>
    <x v="3"/>
    <x v="0"/>
    <s v="Retail"/>
    <x v="0"/>
    <x v="9"/>
    <x v="1"/>
    <n v="220000"/>
    <n v="5"/>
    <x v="1"/>
    <n v="176000"/>
    <n v="1100000"/>
    <n v="880000"/>
    <n v="220000"/>
    <n v="1954"/>
  </r>
  <r>
    <s v="2025-02-01"/>
    <x v="2"/>
    <x v="1"/>
    <x v="0"/>
    <s v="Retail"/>
    <x v="0"/>
    <x v="7"/>
    <x v="2"/>
    <n v="420000"/>
    <n v="2"/>
    <x v="4"/>
    <n v="336000"/>
    <n v="840000"/>
    <n v="672000"/>
    <n v="168000"/>
    <n v="1955"/>
  </r>
  <r>
    <s v="2025-01-25"/>
    <x v="0"/>
    <x v="0"/>
    <x v="2"/>
    <s v="Retail"/>
    <x v="0"/>
    <x v="4"/>
    <x v="1"/>
    <n v="180000"/>
    <n v="9"/>
    <x v="3"/>
    <n v="144000"/>
    <n v="1620000"/>
    <n v="1296000"/>
    <n v="324000"/>
    <n v="1956"/>
  </r>
  <r>
    <s v="2025-01-14"/>
    <x v="0"/>
    <x v="3"/>
    <x v="3"/>
    <s v="Retail"/>
    <x v="0"/>
    <x v="9"/>
    <x v="1"/>
    <n v="220000"/>
    <n v="5"/>
    <x v="3"/>
    <n v="176000"/>
    <n v="1100000"/>
    <n v="880000"/>
    <n v="220000"/>
    <n v="1957"/>
  </r>
  <r>
    <s v="2025-04-09"/>
    <x v="1"/>
    <x v="3"/>
    <x v="2"/>
    <s v="Retail"/>
    <x v="0"/>
    <x v="4"/>
    <x v="1"/>
    <n v="180000"/>
    <n v="1"/>
    <x v="5"/>
    <n v="144000"/>
    <n v="180000"/>
    <n v="144000"/>
    <n v="36000"/>
    <n v="1958"/>
  </r>
  <r>
    <s v="2025-04-10"/>
    <x v="1"/>
    <x v="1"/>
    <x v="2"/>
    <s v="Corporate"/>
    <x v="1"/>
    <x v="2"/>
    <x v="1"/>
    <n v="60000"/>
    <n v="2"/>
    <x v="5"/>
    <n v="48000"/>
    <n v="120000"/>
    <n v="96000"/>
    <n v="24000"/>
    <n v="1959"/>
  </r>
  <r>
    <s v="2025-03-11"/>
    <x v="3"/>
    <x v="3"/>
    <x v="2"/>
    <s v="Retail"/>
    <x v="0"/>
    <x v="3"/>
    <x v="2"/>
    <n v="300000"/>
    <n v="5"/>
    <x v="1"/>
    <n v="240000"/>
    <n v="1500000"/>
    <n v="1200000"/>
    <n v="300000"/>
    <n v="1960"/>
  </r>
  <r>
    <s v="2025-01-17"/>
    <x v="0"/>
    <x v="3"/>
    <x v="2"/>
    <s v="Retail"/>
    <x v="1"/>
    <x v="3"/>
    <x v="2"/>
    <n v="300000"/>
    <n v="9"/>
    <x v="4"/>
    <n v="240000"/>
    <n v="2700000"/>
    <n v="2160000"/>
    <n v="540000"/>
    <n v="1961"/>
  </r>
  <r>
    <s v="2025-03-13"/>
    <x v="3"/>
    <x v="2"/>
    <x v="3"/>
    <s v="Retail"/>
    <x v="0"/>
    <x v="9"/>
    <x v="1"/>
    <n v="220000"/>
    <n v="1"/>
    <x v="4"/>
    <n v="176000"/>
    <n v="220000"/>
    <n v="176000"/>
    <n v="44000"/>
    <n v="1962"/>
  </r>
  <r>
    <s v="2025-03-20"/>
    <x v="3"/>
    <x v="0"/>
    <x v="3"/>
    <s v="Corporate"/>
    <x v="1"/>
    <x v="1"/>
    <x v="1"/>
    <n v="30000"/>
    <n v="5"/>
    <x v="4"/>
    <n v="24000"/>
    <n v="150000"/>
    <n v="120000"/>
    <n v="30000"/>
    <n v="1963"/>
  </r>
  <r>
    <s v="2025-03-31"/>
    <x v="3"/>
    <x v="2"/>
    <x v="0"/>
    <s v="Corporate"/>
    <x v="0"/>
    <x v="4"/>
    <x v="1"/>
    <n v="180000"/>
    <n v="1"/>
    <x v="0"/>
    <n v="144000"/>
    <n v="180000"/>
    <n v="144000"/>
    <n v="36000"/>
    <n v="1964"/>
  </r>
  <r>
    <s v="2025-04-30"/>
    <x v="1"/>
    <x v="3"/>
    <x v="2"/>
    <s v="Retail"/>
    <x v="0"/>
    <x v="3"/>
    <x v="2"/>
    <n v="300000"/>
    <n v="6"/>
    <x v="4"/>
    <n v="240000"/>
    <n v="1800000"/>
    <n v="1440000"/>
    <n v="360000"/>
    <n v="1965"/>
  </r>
  <r>
    <s v="2025-01-01"/>
    <x v="0"/>
    <x v="0"/>
    <x v="2"/>
    <s v="Retail"/>
    <x v="1"/>
    <x v="9"/>
    <x v="1"/>
    <n v="220000"/>
    <n v="3"/>
    <x v="5"/>
    <n v="176000"/>
    <n v="660000"/>
    <n v="528000"/>
    <n v="132000"/>
    <n v="1966"/>
  </r>
  <r>
    <s v="2025-04-03"/>
    <x v="1"/>
    <x v="3"/>
    <x v="0"/>
    <s v="Retail"/>
    <x v="1"/>
    <x v="5"/>
    <x v="0"/>
    <n v="320000"/>
    <n v="5"/>
    <x v="3"/>
    <n v="256000"/>
    <n v="1600000"/>
    <n v="1280000"/>
    <n v="320000"/>
    <n v="1967"/>
  </r>
  <r>
    <s v="2025-03-02"/>
    <x v="3"/>
    <x v="2"/>
    <x v="2"/>
    <s v="Retail"/>
    <x v="0"/>
    <x v="6"/>
    <x v="2"/>
    <n v="150000"/>
    <n v="2"/>
    <x v="3"/>
    <n v="120000"/>
    <n v="300000"/>
    <n v="240000"/>
    <n v="60000"/>
    <n v="1968"/>
  </r>
  <r>
    <s v="2025-02-18"/>
    <x v="2"/>
    <x v="0"/>
    <x v="0"/>
    <s v="Retail"/>
    <x v="0"/>
    <x v="4"/>
    <x v="1"/>
    <n v="180000"/>
    <n v="1"/>
    <x v="1"/>
    <n v="144000"/>
    <n v="180000"/>
    <n v="144000"/>
    <n v="36000"/>
    <n v="1969"/>
  </r>
  <r>
    <s v="2025-04-17"/>
    <x v="1"/>
    <x v="0"/>
    <x v="1"/>
    <s v="Corporate"/>
    <x v="1"/>
    <x v="1"/>
    <x v="1"/>
    <n v="30000"/>
    <n v="10"/>
    <x v="4"/>
    <n v="24000"/>
    <n v="300000"/>
    <n v="240000"/>
    <n v="60000"/>
    <n v="1970"/>
  </r>
  <r>
    <s v="2025-01-03"/>
    <x v="0"/>
    <x v="3"/>
    <x v="1"/>
    <s v="Retail"/>
    <x v="1"/>
    <x v="6"/>
    <x v="2"/>
    <n v="150000"/>
    <n v="4"/>
    <x v="1"/>
    <n v="120000"/>
    <n v="600000"/>
    <n v="480000"/>
    <n v="120000"/>
    <n v="1971"/>
  </r>
  <r>
    <s v="2025-01-01"/>
    <x v="0"/>
    <x v="3"/>
    <x v="2"/>
    <s v="Retail"/>
    <x v="0"/>
    <x v="1"/>
    <x v="1"/>
    <n v="30000"/>
    <n v="1"/>
    <x v="1"/>
    <n v="24000"/>
    <n v="30000"/>
    <n v="24000"/>
    <n v="6000"/>
    <n v="1972"/>
  </r>
  <r>
    <s v="2025-03-26"/>
    <x v="3"/>
    <x v="3"/>
    <x v="1"/>
    <s v="Retail"/>
    <x v="0"/>
    <x v="1"/>
    <x v="1"/>
    <n v="30000"/>
    <n v="6"/>
    <x v="3"/>
    <n v="24000"/>
    <n v="180000"/>
    <n v="144000"/>
    <n v="36000"/>
    <n v="1973"/>
  </r>
  <r>
    <s v="2025-04-17"/>
    <x v="1"/>
    <x v="2"/>
    <x v="0"/>
    <s v="Corporate"/>
    <x v="0"/>
    <x v="4"/>
    <x v="1"/>
    <n v="180000"/>
    <n v="7"/>
    <x v="0"/>
    <n v="144000"/>
    <n v="1260000"/>
    <n v="1008000"/>
    <n v="252000"/>
    <n v="1974"/>
  </r>
  <r>
    <s v="2025-01-27"/>
    <x v="0"/>
    <x v="2"/>
    <x v="3"/>
    <s v="Retail"/>
    <x v="0"/>
    <x v="2"/>
    <x v="1"/>
    <n v="60000"/>
    <n v="8"/>
    <x v="5"/>
    <n v="48000"/>
    <n v="480000"/>
    <n v="384000"/>
    <n v="96000"/>
    <n v="1975"/>
  </r>
  <r>
    <s v="2025-04-21"/>
    <x v="1"/>
    <x v="2"/>
    <x v="1"/>
    <s v="Retail"/>
    <x v="0"/>
    <x v="2"/>
    <x v="1"/>
    <n v="60000"/>
    <n v="2"/>
    <x v="4"/>
    <n v="48000"/>
    <n v="120000"/>
    <n v="96000"/>
    <n v="24000"/>
    <n v="1976"/>
  </r>
  <r>
    <s v="2025-02-17"/>
    <x v="2"/>
    <x v="2"/>
    <x v="2"/>
    <s v="Retail"/>
    <x v="1"/>
    <x v="0"/>
    <x v="0"/>
    <n v="85000"/>
    <n v="1"/>
    <x v="3"/>
    <n v="68000"/>
    <n v="85000"/>
    <n v="68000"/>
    <n v="17000"/>
    <n v="1977"/>
  </r>
  <r>
    <s v="2025-04-03"/>
    <x v="1"/>
    <x v="3"/>
    <x v="2"/>
    <s v="Corporate"/>
    <x v="0"/>
    <x v="1"/>
    <x v="1"/>
    <n v="30000"/>
    <n v="8"/>
    <x v="4"/>
    <n v="24000"/>
    <n v="240000"/>
    <n v="192000"/>
    <n v="48000"/>
    <n v="1978"/>
  </r>
  <r>
    <s v="2025-02-28"/>
    <x v="2"/>
    <x v="3"/>
    <x v="3"/>
    <s v="Retail"/>
    <x v="1"/>
    <x v="2"/>
    <x v="1"/>
    <n v="60000"/>
    <n v="10"/>
    <x v="4"/>
    <n v="48000"/>
    <n v="600000"/>
    <n v="480000"/>
    <n v="120000"/>
    <n v="1979"/>
  </r>
  <r>
    <s v="2025-04-04"/>
    <x v="1"/>
    <x v="0"/>
    <x v="0"/>
    <s v="Corporate"/>
    <x v="1"/>
    <x v="6"/>
    <x v="2"/>
    <n v="150000"/>
    <n v="1"/>
    <x v="0"/>
    <n v="120000"/>
    <n v="150000"/>
    <n v="120000"/>
    <n v="30000"/>
    <n v="1980"/>
  </r>
  <r>
    <s v="2025-03-31"/>
    <x v="3"/>
    <x v="2"/>
    <x v="0"/>
    <s v="Corporate"/>
    <x v="1"/>
    <x v="2"/>
    <x v="1"/>
    <n v="60000"/>
    <n v="9"/>
    <x v="5"/>
    <n v="48000"/>
    <n v="540000"/>
    <n v="432000"/>
    <n v="108000"/>
    <n v="1981"/>
  </r>
  <r>
    <s v="2025-04-11"/>
    <x v="1"/>
    <x v="3"/>
    <x v="3"/>
    <s v="Retail"/>
    <x v="0"/>
    <x v="2"/>
    <x v="1"/>
    <n v="60000"/>
    <n v="5"/>
    <x v="5"/>
    <n v="48000"/>
    <n v="300000"/>
    <n v="240000"/>
    <n v="60000"/>
    <n v="1982"/>
  </r>
  <r>
    <s v="2025-04-22"/>
    <x v="1"/>
    <x v="1"/>
    <x v="0"/>
    <s v="Retail"/>
    <x v="1"/>
    <x v="9"/>
    <x v="1"/>
    <n v="220000"/>
    <n v="8"/>
    <x v="0"/>
    <n v="176000"/>
    <n v="1760000"/>
    <n v="1408000"/>
    <n v="352000"/>
    <n v="1983"/>
  </r>
  <r>
    <s v="2025-02-18"/>
    <x v="2"/>
    <x v="0"/>
    <x v="0"/>
    <s v="Retail"/>
    <x v="1"/>
    <x v="0"/>
    <x v="0"/>
    <n v="85000"/>
    <n v="2"/>
    <x v="4"/>
    <n v="68000"/>
    <n v="170000"/>
    <n v="136000"/>
    <n v="34000"/>
    <n v="1984"/>
  </r>
  <r>
    <s v="2025-04-27"/>
    <x v="1"/>
    <x v="2"/>
    <x v="3"/>
    <s v="Retail"/>
    <x v="1"/>
    <x v="5"/>
    <x v="0"/>
    <n v="320000"/>
    <n v="7"/>
    <x v="4"/>
    <n v="256000"/>
    <n v="2240000"/>
    <n v="1792000"/>
    <n v="448000"/>
    <n v="1985"/>
  </r>
  <r>
    <s v="2025-02-10"/>
    <x v="2"/>
    <x v="2"/>
    <x v="3"/>
    <s v="Retail"/>
    <x v="0"/>
    <x v="8"/>
    <x v="2"/>
    <n v="250000"/>
    <n v="4"/>
    <x v="0"/>
    <n v="200000"/>
    <n v="1000000"/>
    <n v="800000"/>
    <n v="200000"/>
    <n v="1986"/>
  </r>
  <r>
    <s v="2025-04-26"/>
    <x v="1"/>
    <x v="1"/>
    <x v="0"/>
    <s v="Corporate"/>
    <x v="1"/>
    <x v="6"/>
    <x v="2"/>
    <n v="150000"/>
    <n v="6"/>
    <x v="1"/>
    <n v="120000"/>
    <n v="900000"/>
    <n v="720000"/>
    <n v="180000"/>
    <n v="1987"/>
  </r>
  <r>
    <s v="2025-03-22"/>
    <x v="3"/>
    <x v="3"/>
    <x v="3"/>
    <s v="Retail"/>
    <x v="0"/>
    <x v="3"/>
    <x v="2"/>
    <n v="300000"/>
    <n v="8"/>
    <x v="1"/>
    <n v="240000"/>
    <n v="2400000"/>
    <n v="1920000"/>
    <n v="480000"/>
    <n v="1988"/>
  </r>
  <r>
    <s v="2025-03-08"/>
    <x v="3"/>
    <x v="0"/>
    <x v="1"/>
    <s v="Retail"/>
    <x v="1"/>
    <x v="3"/>
    <x v="2"/>
    <n v="300000"/>
    <n v="10"/>
    <x v="0"/>
    <n v="240000"/>
    <n v="3000000"/>
    <n v="2400000"/>
    <n v="600000"/>
    <n v="1989"/>
  </r>
  <r>
    <s v="2025-04-11"/>
    <x v="1"/>
    <x v="3"/>
    <x v="2"/>
    <s v="Corporate"/>
    <x v="1"/>
    <x v="5"/>
    <x v="0"/>
    <n v="320000"/>
    <n v="1"/>
    <x v="2"/>
    <n v="256000"/>
    <n v="320000"/>
    <n v="256000"/>
    <n v="64000"/>
    <n v="1990"/>
  </r>
  <r>
    <s v="2025-04-17"/>
    <x v="1"/>
    <x v="2"/>
    <x v="1"/>
    <s v="Corporate"/>
    <x v="1"/>
    <x v="5"/>
    <x v="0"/>
    <n v="320000"/>
    <n v="3"/>
    <x v="2"/>
    <n v="256000"/>
    <n v="960000"/>
    <n v="768000"/>
    <n v="192000"/>
    <n v="1991"/>
  </r>
  <r>
    <s v="2025-03-05"/>
    <x v="3"/>
    <x v="0"/>
    <x v="0"/>
    <s v="Corporate"/>
    <x v="0"/>
    <x v="6"/>
    <x v="2"/>
    <n v="150000"/>
    <n v="6"/>
    <x v="3"/>
    <n v="120000"/>
    <n v="900000"/>
    <n v="720000"/>
    <n v="180000"/>
    <n v="1992"/>
  </r>
  <r>
    <s v="2025-01-29"/>
    <x v="0"/>
    <x v="1"/>
    <x v="1"/>
    <s v="Retail"/>
    <x v="0"/>
    <x v="4"/>
    <x v="1"/>
    <n v="180000"/>
    <n v="9"/>
    <x v="5"/>
    <n v="144000"/>
    <n v="1620000"/>
    <n v="1296000"/>
    <n v="324000"/>
    <n v="1993"/>
  </r>
  <r>
    <s v="2025-03-31"/>
    <x v="3"/>
    <x v="2"/>
    <x v="3"/>
    <s v="Retail"/>
    <x v="0"/>
    <x v="2"/>
    <x v="1"/>
    <n v="60000"/>
    <n v="2"/>
    <x v="3"/>
    <n v="48000"/>
    <n v="120000"/>
    <n v="96000"/>
    <n v="24000"/>
    <n v="1994"/>
  </r>
  <r>
    <s v="2025-02-11"/>
    <x v="2"/>
    <x v="1"/>
    <x v="2"/>
    <s v="Retail"/>
    <x v="1"/>
    <x v="6"/>
    <x v="2"/>
    <n v="150000"/>
    <n v="5"/>
    <x v="3"/>
    <n v="120000"/>
    <n v="750000"/>
    <n v="600000"/>
    <n v="150000"/>
    <n v="1995"/>
  </r>
  <r>
    <s v="2025-04-11"/>
    <x v="1"/>
    <x v="1"/>
    <x v="2"/>
    <s v="Retail"/>
    <x v="1"/>
    <x v="4"/>
    <x v="1"/>
    <n v="180000"/>
    <n v="10"/>
    <x v="3"/>
    <n v="144000"/>
    <n v="1800000"/>
    <n v="1440000"/>
    <n v="360000"/>
    <n v="1996"/>
  </r>
  <r>
    <s v="2025-02-05"/>
    <x v="2"/>
    <x v="0"/>
    <x v="0"/>
    <s v="Retail"/>
    <x v="0"/>
    <x v="0"/>
    <x v="0"/>
    <n v="85000"/>
    <n v="7"/>
    <x v="4"/>
    <n v="68000"/>
    <n v="595000"/>
    <n v="476000"/>
    <n v="119000"/>
    <n v="1997"/>
  </r>
  <r>
    <s v="2025-01-19"/>
    <x v="0"/>
    <x v="1"/>
    <x v="3"/>
    <s v="Corporate"/>
    <x v="1"/>
    <x v="7"/>
    <x v="2"/>
    <n v="420000"/>
    <n v="3"/>
    <x v="1"/>
    <n v="336000"/>
    <n v="1260000"/>
    <n v="1008000"/>
    <n v="252000"/>
    <n v="1998"/>
  </r>
  <r>
    <s v="2025-03-02"/>
    <x v="3"/>
    <x v="1"/>
    <x v="3"/>
    <s v="Corporate"/>
    <x v="0"/>
    <x v="3"/>
    <x v="2"/>
    <n v="300000"/>
    <n v="2"/>
    <x v="4"/>
    <n v="240000"/>
    <n v="600000"/>
    <n v="480000"/>
    <n v="120000"/>
    <n v="1999"/>
  </r>
  <r>
    <s v="2025-04-03"/>
    <x v="1"/>
    <x v="1"/>
    <x v="1"/>
    <s v="Corporate"/>
    <x v="0"/>
    <x v="8"/>
    <x v="2"/>
    <n v="250000"/>
    <n v="3"/>
    <x v="4"/>
    <n v="200000"/>
    <n v="750000"/>
    <n v="600000"/>
    <n v="150000"/>
    <n v="2000"/>
  </r>
  <r>
    <s v="2025-02-14"/>
    <x v="2"/>
    <x v="1"/>
    <x v="0"/>
    <s v="Retail"/>
    <x v="1"/>
    <x v="6"/>
    <x v="2"/>
    <n v="150000"/>
    <n v="7"/>
    <x v="1"/>
    <n v="120000"/>
    <n v="1050000"/>
    <n v="840000"/>
    <n v="210000"/>
    <n v="2001"/>
  </r>
  <r>
    <s v="2025-04-09"/>
    <x v="1"/>
    <x v="0"/>
    <x v="0"/>
    <s v="Corporate"/>
    <x v="0"/>
    <x v="7"/>
    <x v="2"/>
    <n v="420000"/>
    <n v="7"/>
    <x v="3"/>
    <n v="336000"/>
    <n v="2940000"/>
    <n v="2352000"/>
    <n v="588000"/>
    <n v="2002"/>
  </r>
  <r>
    <s v="2025-02-12"/>
    <x v="2"/>
    <x v="2"/>
    <x v="1"/>
    <s v="Retail"/>
    <x v="1"/>
    <x v="4"/>
    <x v="1"/>
    <n v="180000"/>
    <n v="7"/>
    <x v="2"/>
    <n v="144000"/>
    <n v="1260000"/>
    <n v="1008000"/>
    <n v="252000"/>
    <n v="2003"/>
  </r>
  <r>
    <s v="2025-01-13"/>
    <x v="0"/>
    <x v="0"/>
    <x v="0"/>
    <s v="Retail"/>
    <x v="1"/>
    <x v="5"/>
    <x v="0"/>
    <n v="320000"/>
    <n v="2"/>
    <x v="5"/>
    <n v="256000"/>
    <n v="640000"/>
    <n v="512000"/>
    <n v="128000"/>
    <n v="2004"/>
  </r>
  <r>
    <s v="2025-03-20"/>
    <x v="3"/>
    <x v="3"/>
    <x v="0"/>
    <s v="Corporate"/>
    <x v="1"/>
    <x v="5"/>
    <x v="0"/>
    <n v="320000"/>
    <n v="6"/>
    <x v="5"/>
    <n v="256000"/>
    <n v="1920000"/>
    <n v="1536000"/>
    <n v="384000"/>
    <n v="2005"/>
  </r>
  <r>
    <s v="2025-03-14"/>
    <x v="3"/>
    <x v="1"/>
    <x v="2"/>
    <s v="Corporate"/>
    <x v="0"/>
    <x v="1"/>
    <x v="1"/>
    <n v="30000"/>
    <n v="3"/>
    <x v="4"/>
    <n v="24000"/>
    <n v="90000"/>
    <n v="72000"/>
    <n v="18000"/>
    <n v="2006"/>
  </r>
  <r>
    <s v="2025-01-21"/>
    <x v="0"/>
    <x v="3"/>
    <x v="0"/>
    <s v="Retail"/>
    <x v="0"/>
    <x v="7"/>
    <x v="2"/>
    <n v="420000"/>
    <n v="3"/>
    <x v="0"/>
    <n v="336000"/>
    <n v="1260000"/>
    <n v="1008000"/>
    <n v="252000"/>
    <n v="2007"/>
  </r>
  <r>
    <s v="2025-04-07"/>
    <x v="1"/>
    <x v="2"/>
    <x v="1"/>
    <s v="Retail"/>
    <x v="1"/>
    <x v="1"/>
    <x v="1"/>
    <n v="30000"/>
    <n v="9"/>
    <x v="3"/>
    <n v="24000"/>
    <n v="270000"/>
    <n v="216000"/>
    <n v="54000"/>
    <n v="2008"/>
  </r>
  <r>
    <s v="2025-04-18"/>
    <x v="1"/>
    <x v="1"/>
    <x v="0"/>
    <s v="Corporate"/>
    <x v="1"/>
    <x v="5"/>
    <x v="0"/>
    <n v="320000"/>
    <n v="4"/>
    <x v="0"/>
    <n v="256000"/>
    <n v="1280000"/>
    <n v="1024000"/>
    <n v="256000"/>
    <n v="2009"/>
  </r>
  <r>
    <s v="2025-04-03"/>
    <x v="1"/>
    <x v="3"/>
    <x v="3"/>
    <s v="Corporate"/>
    <x v="1"/>
    <x v="6"/>
    <x v="2"/>
    <n v="150000"/>
    <n v="5"/>
    <x v="1"/>
    <n v="120000"/>
    <n v="750000"/>
    <n v="600000"/>
    <n v="150000"/>
    <n v="2010"/>
  </r>
  <r>
    <s v="2025-02-14"/>
    <x v="2"/>
    <x v="2"/>
    <x v="0"/>
    <s v="Corporate"/>
    <x v="1"/>
    <x v="0"/>
    <x v="0"/>
    <n v="85000"/>
    <n v="8"/>
    <x v="3"/>
    <n v="68000"/>
    <n v="680000"/>
    <n v="544000"/>
    <n v="136000"/>
    <n v="2011"/>
  </r>
  <r>
    <s v="2025-04-13"/>
    <x v="1"/>
    <x v="3"/>
    <x v="3"/>
    <s v="Retail"/>
    <x v="1"/>
    <x v="2"/>
    <x v="1"/>
    <n v="60000"/>
    <n v="1"/>
    <x v="0"/>
    <n v="48000"/>
    <n v="60000"/>
    <n v="48000"/>
    <n v="12000"/>
    <n v="2012"/>
  </r>
  <r>
    <s v="2025-03-31"/>
    <x v="3"/>
    <x v="2"/>
    <x v="1"/>
    <s v="Retail"/>
    <x v="0"/>
    <x v="9"/>
    <x v="1"/>
    <n v="220000"/>
    <n v="3"/>
    <x v="2"/>
    <n v="176000"/>
    <n v="660000"/>
    <n v="528000"/>
    <n v="132000"/>
    <n v="2013"/>
  </r>
  <r>
    <s v="2025-02-11"/>
    <x v="2"/>
    <x v="0"/>
    <x v="3"/>
    <s v="Corporate"/>
    <x v="0"/>
    <x v="4"/>
    <x v="1"/>
    <n v="180000"/>
    <n v="2"/>
    <x v="4"/>
    <n v="144000"/>
    <n v="360000"/>
    <n v="288000"/>
    <n v="72000"/>
    <n v="2014"/>
  </r>
  <r>
    <s v="2025-03-17"/>
    <x v="3"/>
    <x v="2"/>
    <x v="0"/>
    <s v="Corporate"/>
    <x v="0"/>
    <x v="8"/>
    <x v="2"/>
    <n v="250000"/>
    <n v="9"/>
    <x v="1"/>
    <n v="200000"/>
    <n v="2250000"/>
    <n v="1800000"/>
    <n v="450000"/>
    <n v="2015"/>
  </r>
  <r>
    <s v="2025-04-22"/>
    <x v="1"/>
    <x v="0"/>
    <x v="0"/>
    <s v="Corporate"/>
    <x v="0"/>
    <x v="3"/>
    <x v="2"/>
    <n v="300000"/>
    <n v="8"/>
    <x v="4"/>
    <n v="240000"/>
    <n v="2400000"/>
    <n v="1920000"/>
    <n v="480000"/>
    <n v="2016"/>
  </r>
  <r>
    <s v="2025-04-28"/>
    <x v="1"/>
    <x v="0"/>
    <x v="1"/>
    <s v="Retail"/>
    <x v="0"/>
    <x v="6"/>
    <x v="2"/>
    <n v="150000"/>
    <n v="6"/>
    <x v="0"/>
    <n v="120000"/>
    <n v="900000"/>
    <n v="720000"/>
    <n v="180000"/>
    <n v="2017"/>
  </r>
  <r>
    <s v="2025-02-13"/>
    <x v="2"/>
    <x v="3"/>
    <x v="3"/>
    <s v="Corporate"/>
    <x v="1"/>
    <x v="0"/>
    <x v="0"/>
    <n v="85000"/>
    <n v="9"/>
    <x v="2"/>
    <n v="68000"/>
    <n v="765000"/>
    <n v="612000"/>
    <n v="153000"/>
    <n v="2018"/>
  </r>
  <r>
    <s v="2025-02-13"/>
    <x v="2"/>
    <x v="3"/>
    <x v="2"/>
    <s v="Corporate"/>
    <x v="0"/>
    <x v="2"/>
    <x v="1"/>
    <n v="60000"/>
    <n v="3"/>
    <x v="1"/>
    <n v="48000"/>
    <n v="180000"/>
    <n v="144000"/>
    <n v="36000"/>
    <n v="2019"/>
  </r>
  <r>
    <s v="2025-04-07"/>
    <x v="1"/>
    <x v="2"/>
    <x v="3"/>
    <s v="Retail"/>
    <x v="1"/>
    <x v="7"/>
    <x v="2"/>
    <n v="420000"/>
    <n v="7"/>
    <x v="3"/>
    <n v="336000"/>
    <n v="2940000"/>
    <n v="2352000"/>
    <n v="588000"/>
    <n v="2020"/>
  </r>
  <r>
    <s v="2025-04-03"/>
    <x v="1"/>
    <x v="2"/>
    <x v="0"/>
    <s v="Corporate"/>
    <x v="0"/>
    <x v="0"/>
    <x v="0"/>
    <n v="85000"/>
    <n v="5"/>
    <x v="1"/>
    <n v="68000"/>
    <n v="425000"/>
    <n v="340000"/>
    <n v="85000"/>
    <n v="2021"/>
  </r>
  <r>
    <s v="2025-03-02"/>
    <x v="3"/>
    <x v="1"/>
    <x v="0"/>
    <s v="Corporate"/>
    <x v="0"/>
    <x v="2"/>
    <x v="1"/>
    <n v="60000"/>
    <n v="7"/>
    <x v="1"/>
    <n v="48000"/>
    <n v="420000"/>
    <n v="336000"/>
    <n v="84000"/>
    <n v="2022"/>
  </r>
  <r>
    <s v="2025-01-30"/>
    <x v="0"/>
    <x v="1"/>
    <x v="3"/>
    <s v="Retail"/>
    <x v="0"/>
    <x v="4"/>
    <x v="1"/>
    <n v="180000"/>
    <n v="2"/>
    <x v="3"/>
    <n v="144000"/>
    <n v="360000"/>
    <n v="288000"/>
    <n v="72000"/>
    <n v="2023"/>
  </r>
  <r>
    <s v="2025-01-21"/>
    <x v="0"/>
    <x v="0"/>
    <x v="0"/>
    <s v="Corporate"/>
    <x v="1"/>
    <x v="8"/>
    <x v="2"/>
    <n v="250000"/>
    <n v="3"/>
    <x v="4"/>
    <n v="200000"/>
    <n v="750000"/>
    <n v="600000"/>
    <n v="150000"/>
    <n v="2024"/>
  </r>
  <r>
    <s v="2025-01-16"/>
    <x v="0"/>
    <x v="1"/>
    <x v="2"/>
    <s v="Corporate"/>
    <x v="0"/>
    <x v="4"/>
    <x v="1"/>
    <n v="180000"/>
    <n v="6"/>
    <x v="5"/>
    <n v="144000"/>
    <n v="1080000"/>
    <n v="864000"/>
    <n v="216000"/>
    <n v="2025"/>
  </r>
  <r>
    <s v="2025-04-02"/>
    <x v="1"/>
    <x v="1"/>
    <x v="3"/>
    <s v="Retail"/>
    <x v="1"/>
    <x v="0"/>
    <x v="0"/>
    <n v="85000"/>
    <n v="2"/>
    <x v="5"/>
    <n v="68000"/>
    <n v="170000"/>
    <n v="136000"/>
    <n v="34000"/>
    <n v="2026"/>
  </r>
  <r>
    <s v="2025-02-14"/>
    <x v="2"/>
    <x v="3"/>
    <x v="3"/>
    <s v="Corporate"/>
    <x v="1"/>
    <x v="8"/>
    <x v="2"/>
    <n v="250000"/>
    <n v="5"/>
    <x v="2"/>
    <n v="200000"/>
    <n v="1250000"/>
    <n v="1000000"/>
    <n v="250000"/>
    <n v="2027"/>
  </r>
  <r>
    <s v="2025-02-09"/>
    <x v="2"/>
    <x v="0"/>
    <x v="0"/>
    <s v="Corporate"/>
    <x v="1"/>
    <x v="9"/>
    <x v="1"/>
    <n v="220000"/>
    <n v="2"/>
    <x v="4"/>
    <n v="176000"/>
    <n v="440000"/>
    <n v="352000"/>
    <n v="88000"/>
    <n v="2028"/>
  </r>
  <r>
    <s v="2025-04-14"/>
    <x v="1"/>
    <x v="2"/>
    <x v="3"/>
    <s v="Retail"/>
    <x v="0"/>
    <x v="1"/>
    <x v="1"/>
    <n v="30000"/>
    <n v="2"/>
    <x v="1"/>
    <n v="24000"/>
    <n v="60000"/>
    <n v="48000"/>
    <n v="12000"/>
    <n v="2029"/>
  </r>
  <r>
    <s v="2025-03-22"/>
    <x v="3"/>
    <x v="1"/>
    <x v="2"/>
    <s v="Corporate"/>
    <x v="1"/>
    <x v="7"/>
    <x v="2"/>
    <n v="420000"/>
    <n v="10"/>
    <x v="4"/>
    <n v="336000"/>
    <n v="4200000"/>
    <n v="3360000"/>
    <n v="840000"/>
    <n v="2030"/>
  </r>
  <r>
    <s v="2025-02-10"/>
    <x v="2"/>
    <x v="3"/>
    <x v="3"/>
    <s v="Corporate"/>
    <x v="0"/>
    <x v="9"/>
    <x v="1"/>
    <n v="220000"/>
    <n v="2"/>
    <x v="3"/>
    <n v="176000"/>
    <n v="440000"/>
    <n v="352000"/>
    <n v="88000"/>
    <n v="2031"/>
  </r>
  <r>
    <s v="2025-02-06"/>
    <x v="2"/>
    <x v="2"/>
    <x v="2"/>
    <s v="Corporate"/>
    <x v="1"/>
    <x v="9"/>
    <x v="1"/>
    <n v="220000"/>
    <n v="10"/>
    <x v="1"/>
    <n v="176000"/>
    <n v="2200000"/>
    <n v="1760000"/>
    <n v="440000"/>
    <n v="2032"/>
  </r>
  <r>
    <s v="2025-02-27"/>
    <x v="2"/>
    <x v="0"/>
    <x v="1"/>
    <s v="Corporate"/>
    <x v="1"/>
    <x v="5"/>
    <x v="0"/>
    <n v="320000"/>
    <n v="6"/>
    <x v="3"/>
    <n v="256000"/>
    <n v="1920000"/>
    <n v="1536000"/>
    <n v="384000"/>
    <n v="2033"/>
  </r>
  <r>
    <s v="2025-03-10"/>
    <x v="3"/>
    <x v="3"/>
    <x v="0"/>
    <s v="Corporate"/>
    <x v="1"/>
    <x v="7"/>
    <x v="2"/>
    <n v="420000"/>
    <n v="8"/>
    <x v="3"/>
    <n v="336000"/>
    <n v="3360000"/>
    <n v="2688000"/>
    <n v="672000"/>
    <n v="2034"/>
  </r>
  <r>
    <s v="2025-04-13"/>
    <x v="1"/>
    <x v="1"/>
    <x v="3"/>
    <s v="Retail"/>
    <x v="1"/>
    <x v="9"/>
    <x v="1"/>
    <n v="220000"/>
    <n v="9"/>
    <x v="3"/>
    <n v="176000"/>
    <n v="1980000"/>
    <n v="1584000"/>
    <n v="396000"/>
    <n v="2035"/>
  </r>
  <r>
    <s v="2025-02-27"/>
    <x v="2"/>
    <x v="3"/>
    <x v="1"/>
    <s v="Corporate"/>
    <x v="0"/>
    <x v="9"/>
    <x v="1"/>
    <n v="220000"/>
    <n v="2"/>
    <x v="5"/>
    <n v="176000"/>
    <n v="440000"/>
    <n v="352000"/>
    <n v="88000"/>
    <n v="2036"/>
  </r>
  <r>
    <s v="2025-03-06"/>
    <x v="3"/>
    <x v="2"/>
    <x v="3"/>
    <s v="Retail"/>
    <x v="0"/>
    <x v="6"/>
    <x v="2"/>
    <n v="150000"/>
    <n v="4"/>
    <x v="4"/>
    <n v="120000"/>
    <n v="600000"/>
    <n v="480000"/>
    <n v="120000"/>
    <n v="2037"/>
  </r>
  <r>
    <s v="2025-02-24"/>
    <x v="2"/>
    <x v="1"/>
    <x v="2"/>
    <s v="Retail"/>
    <x v="1"/>
    <x v="3"/>
    <x v="2"/>
    <n v="300000"/>
    <n v="7"/>
    <x v="5"/>
    <n v="240000"/>
    <n v="2100000"/>
    <n v="1680000"/>
    <n v="420000"/>
    <n v="2038"/>
  </r>
  <r>
    <s v="2025-01-10"/>
    <x v="0"/>
    <x v="2"/>
    <x v="1"/>
    <s v="Corporate"/>
    <x v="0"/>
    <x v="7"/>
    <x v="2"/>
    <n v="420000"/>
    <n v="4"/>
    <x v="5"/>
    <n v="336000"/>
    <n v="1680000"/>
    <n v="1344000"/>
    <n v="336000"/>
    <n v="2039"/>
  </r>
  <r>
    <s v="2025-02-17"/>
    <x v="2"/>
    <x v="0"/>
    <x v="2"/>
    <s v="Corporate"/>
    <x v="1"/>
    <x v="2"/>
    <x v="1"/>
    <n v="60000"/>
    <n v="4"/>
    <x v="4"/>
    <n v="48000"/>
    <n v="240000"/>
    <n v="192000"/>
    <n v="48000"/>
    <n v="2040"/>
  </r>
  <r>
    <s v="2025-02-05"/>
    <x v="2"/>
    <x v="3"/>
    <x v="2"/>
    <s v="Retail"/>
    <x v="0"/>
    <x v="4"/>
    <x v="1"/>
    <n v="180000"/>
    <n v="6"/>
    <x v="0"/>
    <n v="144000"/>
    <n v="1080000"/>
    <n v="864000"/>
    <n v="216000"/>
    <n v="2041"/>
  </r>
  <r>
    <s v="2025-02-02"/>
    <x v="2"/>
    <x v="2"/>
    <x v="2"/>
    <s v="Corporate"/>
    <x v="0"/>
    <x v="3"/>
    <x v="2"/>
    <n v="300000"/>
    <n v="8"/>
    <x v="3"/>
    <n v="240000"/>
    <n v="2400000"/>
    <n v="1920000"/>
    <n v="480000"/>
    <n v="2042"/>
  </r>
  <r>
    <s v="2025-02-24"/>
    <x v="2"/>
    <x v="0"/>
    <x v="0"/>
    <s v="Retail"/>
    <x v="1"/>
    <x v="5"/>
    <x v="0"/>
    <n v="320000"/>
    <n v="10"/>
    <x v="0"/>
    <n v="256000"/>
    <n v="3200000"/>
    <n v="2560000"/>
    <n v="640000"/>
    <n v="2043"/>
  </r>
  <r>
    <s v="2025-03-29"/>
    <x v="3"/>
    <x v="0"/>
    <x v="1"/>
    <s v="Retail"/>
    <x v="1"/>
    <x v="1"/>
    <x v="1"/>
    <n v="30000"/>
    <n v="1"/>
    <x v="0"/>
    <n v="24000"/>
    <n v="30000"/>
    <n v="24000"/>
    <n v="6000"/>
    <n v="2044"/>
  </r>
  <r>
    <s v="2025-01-07"/>
    <x v="0"/>
    <x v="1"/>
    <x v="1"/>
    <s v="Corporate"/>
    <x v="1"/>
    <x v="0"/>
    <x v="0"/>
    <n v="85000"/>
    <n v="2"/>
    <x v="3"/>
    <n v="68000"/>
    <n v="170000"/>
    <n v="136000"/>
    <n v="34000"/>
    <n v="2045"/>
  </r>
  <r>
    <s v="2025-04-25"/>
    <x v="1"/>
    <x v="0"/>
    <x v="0"/>
    <s v="Corporate"/>
    <x v="0"/>
    <x v="0"/>
    <x v="0"/>
    <n v="85000"/>
    <n v="5"/>
    <x v="4"/>
    <n v="68000"/>
    <n v="425000"/>
    <n v="340000"/>
    <n v="85000"/>
    <n v="2046"/>
  </r>
  <r>
    <s v="2025-02-01"/>
    <x v="2"/>
    <x v="2"/>
    <x v="0"/>
    <s v="Retail"/>
    <x v="1"/>
    <x v="8"/>
    <x v="2"/>
    <n v="250000"/>
    <n v="8"/>
    <x v="4"/>
    <n v="200000"/>
    <n v="2000000"/>
    <n v="1600000"/>
    <n v="400000"/>
    <n v="2047"/>
  </r>
  <r>
    <s v="2025-02-05"/>
    <x v="2"/>
    <x v="3"/>
    <x v="2"/>
    <s v="Corporate"/>
    <x v="0"/>
    <x v="3"/>
    <x v="2"/>
    <n v="300000"/>
    <n v="8"/>
    <x v="3"/>
    <n v="240000"/>
    <n v="2400000"/>
    <n v="1920000"/>
    <n v="480000"/>
    <n v="2048"/>
  </r>
  <r>
    <s v="2025-04-19"/>
    <x v="1"/>
    <x v="0"/>
    <x v="1"/>
    <s v="Corporate"/>
    <x v="1"/>
    <x v="4"/>
    <x v="1"/>
    <n v="180000"/>
    <n v="9"/>
    <x v="2"/>
    <n v="144000"/>
    <n v="1620000"/>
    <n v="1296000"/>
    <n v="324000"/>
    <n v="2049"/>
  </r>
  <r>
    <s v="2025-04-18"/>
    <x v="1"/>
    <x v="3"/>
    <x v="3"/>
    <s v="Corporate"/>
    <x v="0"/>
    <x v="2"/>
    <x v="1"/>
    <n v="60000"/>
    <n v="4"/>
    <x v="3"/>
    <n v="48000"/>
    <n v="240000"/>
    <n v="192000"/>
    <n v="48000"/>
    <n v="2050"/>
  </r>
  <r>
    <s v="2025-01-22"/>
    <x v="0"/>
    <x v="2"/>
    <x v="0"/>
    <s v="Retail"/>
    <x v="1"/>
    <x v="2"/>
    <x v="1"/>
    <n v="60000"/>
    <n v="3"/>
    <x v="3"/>
    <n v="48000"/>
    <n v="180000"/>
    <n v="144000"/>
    <n v="36000"/>
    <n v="2051"/>
  </r>
  <r>
    <s v="2025-04-16"/>
    <x v="1"/>
    <x v="2"/>
    <x v="0"/>
    <s v="Retail"/>
    <x v="0"/>
    <x v="9"/>
    <x v="1"/>
    <n v="220000"/>
    <n v="6"/>
    <x v="4"/>
    <n v="176000"/>
    <n v="1320000"/>
    <n v="1056000"/>
    <n v="264000"/>
    <n v="2052"/>
  </r>
  <r>
    <s v="2025-03-09"/>
    <x v="3"/>
    <x v="1"/>
    <x v="2"/>
    <s v="Retail"/>
    <x v="1"/>
    <x v="5"/>
    <x v="0"/>
    <n v="320000"/>
    <n v="9"/>
    <x v="3"/>
    <n v="256000"/>
    <n v="2880000"/>
    <n v="2304000"/>
    <n v="576000"/>
    <n v="2053"/>
  </r>
  <r>
    <s v="2025-01-19"/>
    <x v="0"/>
    <x v="2"/>
    <x v="2"/>
    <s v="Retail"/>
    <x v="1"/>
    <x v="7"/>
    <x v="2"/>
    <n v="420000"/>
    <n v="3"/>
    <x v="1"/>
    <n v="336000"/>
    <n v="1260000"/>
    <n v="1008000"/>
    <n v="252000"/>
    <n v="2054"/>
  </r>
  <r>
    <s v="2025-04-28"/>
    <x v="1"/>
    <x v="1"/>
    <x v="3"/>
    <s v="Corporate"/>
    <x v="1"/>
    <x v="4"/>
    <x v="1"/>
    <n v="180000"/>
    <n v="9"/>
    <x v="0"/>
    <n v="144000"/>
    <n v="1620000"/>
    <n v="1296000"/>
    <n v="324000"/>
    <n v="2055"/>
  </r>
  <r>
    <s v="2025-03-22"/>
    <x v="3"/>
    <x v="2"/>
    <x v="3"/>
    <s v="Corporate"/>
    <x v="1"/>
    <x v="2"/>
    <x v="1"/>
    <n v="60000"/>
    <n v="1"/>
    <x v="0"/>
    <n v="48000"/>
    <n v="60000"/>
    <n v="48000"/>
    <n v="12000"/>
    <n v="2056"/>
  </r>
  <r>
    <s v="2025-03-13"/>
    <x v="3"/>
    <x v="0"/>
    <x v="2"/>
    <s v="Corporate"/>
    <x v="1"/>
    <x v="8"/>
    <x v="2"/>
    <n v="250000"/>
    <n v="5"/>
    <x v="3"/>
    <n v="200000"/>
    <n v="1250000"/>
    <n v="1000000"/>
    <n v="250000"/>
    <n v="2057"/>
  </r>
  <r>
    <s v="2025-04-25"/>
    <x v="1"/>
    <x v="0"/>
    <x v="0"/>
    <s v="Corporate"/>
    <x v="1"/>
    <x v="1"/>
    <x v="1"/>
    <n v="30000"/>
    <n v="8"/>
    <x v="0"/>
    <n v="24000"/>
    <n v="240000"/>
    <n v="192000"/>
    <n v="48000"/>
    <n v="2058"/>
  </r>
  <r>
    <s v="2025-02-01"/>
    <x v="2"/>
    <x v="3"/>
    <x v="0"/>
    <s v="Retail"/>
    <x v="0"/>
    <x v="4"/>
    <x v="1"/>
    <n v="180000"/>
    <n v="6"/>
    <x v="0"/>
    <n v="144000"/>
    <n v="1080000"/>
    <n v="864000"/>
    <n v="216000"/>
    <n v="2059"/>
  </r>
  <r>
    <s v="2025-04-28"/>
    <x v="1"/>
    <x v="1"/>
    <x v="2"/>
    <s v="Retail"/>
    <x v="1"/>
    <x v="2"/>
    <x v="1"/>
    <n v="60000"/>
    <n v="1"/>
    <x v="2"/>
    <n v="48000"/>
    <n v="60000"/>
    <n v="48000"/>
    <n v="12000"/>
    <n v="2060"/>
  </r>
  <r>
    <s v="2025-04-27"/>
    <x v="1"/>
    <x v="1"/>
    <x v="2"/>
    <s v="Retail"/>
    <x v="0"/>
    <x v="6"/>
    <x v="2"/>
    <n v="150000"/>
    <n v="5"/>
    <x v="5"/>
    <n v="120000"/>
    <n v="750000"/>
    <n v="600000"/>
    <n v="150000"/>
    <n v="2061"/>
  </r>
  <r>
    <s v="2025-03-12"/>
    <x v="3"/>
    <x v="3"/>
    <x v="1"/>
    <s v="Corporate"/>
    <x v="1"/>
    <x v="0"/>
    <x v="0"/>
    <n v="85000"/>
    <n v="1"/>
    <x v="5"/>
    <n v="68000"/>
    <n v="85000"/>
    <n v="68000"/>
    <n v="17000"/>
    <n v="2062"/>
  </r>
  <r>
    <s v="2025-01-20"/>
    <x v="0"/>
    <x v="2"/>
    <x v="1"/>
    <s v="Corporate"/>
    <x v="1"/>
    <x v="6"/>
    <x v="2"/>
    <n v="150000"/>
    <n v="7"/>
    <x v="3"/>
    <n v="120000"/>
    <n v="1050000"/>
    <n v="840000"/>
    <n v="210000"/>
    <n v="2063"/>
  </r>
  <r>
    <s v="2025-01-17"/>
    <x v="0"/>
    <x v="3"/>
    <x v="2"/>
    <s v="Corporate"/>
    <x v="1"/>
    <x v="4"/>
    <x v="1"/>
    <n v="180000"/>
    <n v="4"/>
    <x v="0"/>
    <n v="144000"/>
    <n v="720000"/>
    <n v="576000"/>
    <n v="144000"/>
    <n v="2064"/>
  </r>
  <r>
    <s v="2025-01-15"/>
    <x v="0"/>
    <x v="3"/>
    <x v="2"/>
    <s v="Corporate"/>
    <x v="1"/>
    <x v="0"/>
    <x v="0"/>
    <n v="85000"/>
    <n v="8"/>
    <x v="0"/>
    <n v="68000"/>
    <n v="680000"/>
    <n v="544000"/>
    <n v="136000"/>
    <n v="2065"/>
  </r>
  <r>
    <s v="2025-03-25"/>
    <x v="3"/>
    <x v="3"/>
    <x v="3"/>
    <s v="Corporate"/>
    <x v="1"/>
    <x v="5"/>
    <x v="0"/>
    <n v="320000"/>
    <n v="4"/>
    <x v="1"/>
    <n v="256000"/>
    <n v="1280000"/>
    <n v="1024000"/>
    <n v="256000"/>
    <n v="2066"/>
  </r>
  <r>
    <s v="2025-03-30"/>
    <x v="3"/>
    <x v="0"/>
    <x v="2"/>
    <s v="Retail"/>
    <x v="1"/>
    <x v="8"/>
    <x v="2"/>
    <n v="250000"/>
    <n v="6"/>
    <x v="3"/>
    <n v="200000"/>
    <n v="1500000"/>
    <n v="1200000"/>
    <n v="300000"/>
    <n v="2067"/>
  </r>
  <r>
    <s v="2025-03-20"/>
    <x v="3"/>
    <x v="0"/>
    <x v="2"/>
    <s v="Retail"/>
    <x v="1"/>
    <x v="9"/>
    <x v="1"/>
    <n v="220000"/>
    <n v="5"/>
    <x v="2"/>
    <n v="176000"/>
    <n v="1100000"/>
    <n v="880000"/>
    <n v="220000"/>
    <n v="2068"/>
  </r>
  <r>
    <s v="2025-02-18"/>
    <x v="2"/>
    <x v="2"/>
    <x v="1"/>
    <s v="Corporate"/>
    <x v="1"/>
    <x v="3"/>
    <x v="2"/>
    <n v="300000"/>
    <n v="8"/>
    <x v="4"/>
    <n v="240000"/>
    <n v="2400000"/>
    <n v="1920000"/>
    <n v="480000"/>
    <n v="2069"/>
  </r>
  <r>
    <s v="2025-03-28"/>
    <x v="3"/>
    <x v="2"/>
    <x v="3"/>
    <s v="Retail"/>
    <x v="1"/>
    <x v="2"/>
    <x v="1"/>
    <n v="60000"/>
    <n v="10"/>
    <x v="2"/>
    <n v="48000"/>
    <n v="600000"/>
    <n v="480000"/>
    <n v="120000"/>
    <n v="2070"/>
  </r>
  <r>
    <s v="2025-01-06"/>
    <x v="0"/>
    <x v="2"/>
    <x v="1"/>
    <s v="Retail"/>
    <x v="1"/>
    <x v="4"/>
    <x v="1"/>
    <n v="180000"/>
    <n v="6"/>
    <x v="5"/>
    <n v="144000"/>
    <n v="1080000"/>
    <n v="864000"/>
    <n v="216000"/>
    <n v="2071"/>
  </r>
  <r>
    <s v="2025-04-20"/>
    <x v="1"/>
    <x v="2"/>
    <x v="2"/>
    <s v="Corporate"/>
    <x v="1"/>
    <x v="2"/>
    <x v="1"/>
    <n v="60000"/>
    <n v="3"/>
    <x v="4"/>
    <n v="48000"/>
    <n v="180000"/>
    <n v="144000"/>
    <n v="36000"/>
    <n v="2072"/>
  </r>
  <r>
    <s v="2025-01-29"/>
    <x v="0"/>
    <x v="2"/>
    <x v="2"/>
    <s v="Retail"/>
    <x v="1"/>
    <x v="1"/>
    <x v="1"/>
    <n v="30000"/>
    <n v="4"/>
    <x v="1"/>
    <n v="24000"/>
    <n v="120000"/>
    <n v="96000"/>
    <n v="24000"/>
    <n v="2073"/>
  </r>
  <r>
    <s v="2025-04-08"/>
    <x v="1"/>
    <x v="1"/>
    <x v="0"/>
    <s v="Corporate"/>
    <x v="1"/>
    <x v="2"/>
    <x v="1"/>
    <n v="60000"/>
    <n v="4"/>
    <x v="4"/>
    <n v="48000"/>
    <n v="240000"/>
    <n v="192000"/>
    <n v="48000"/>
    <n v="2074"/>
  </r>
  <r>
    <s v="2025-03-02"/>
    <x v="3"/>
    <x v="0"/>
    <x v="2"/>
    <s v="Corporate"/>
    <x v="1"/>
    <x v="4"/>
    <x v="1"/>
    <n v="180000"/>
    <n v="5"/>
    <x v="2"/>
    <n v="144000"/>
    <n v="900000"/>
    <n v="720000"/>
    <n v="180000"/>
    <n v="2075"/>
  </r>
  <r>
    <s v="2025-01-27"/>
    <x v="0"/>
    <x v="3"/>
    <x v="0"/>
    <s v="Retail"/>
    <x v="1"/>
    <x v="0"/>
    <x v="0"/>
    <n v="85000"/>
    <n v="9"/>
    <x v="1"/>
    <n v="68000"/>
    <n v="765000"/>
    <n v="612000"/>
    <n v="153000"/>
    <n v="2076"/>
  </r>
  <r>
    <s v="2025-03-30"/>
    <x v="3"/>
    <x v="0"/>
    <x v="3"/>
    <s v="Retail"/>
    <x v="1"/>
    <x v="0"/>
    <x v="0"/>
    <n v="85000"/>
    <n v="9"/>
    <x v="4"/>
    <n v="68000"/>
    <n v="765000"/>
    <n v="612000"/>
    <n v="153000"/>
    <n v="2077"/>
  </r>
  <r>
    <s v="2025-01-31"/>
    <x v="0"/>
    <x v="3"/>
    <x v="0"/>
    <s v="Corporate"/>
    <x v="1"/>
    <x v="4"/>
    <x v="1"/>
    <n v="180000"/>
    <n v="8"/>
    <x v="5"/>
    <n v="144000"/>
    <n v="1440000"/>
    <n v="1152000"/>
    <n v="288000"/>
    <n v="2078"/>
  </r>
  <r>
    <s v="2025-01-10"/>
    <x v="0"/>
    <x v="3"/>
    <x v="1"/>
    <s v="Corporate"/>
    <x v="1"/>
    <x v="6"/>
    <x v="2"/>
    <n v="150000"/>
    <n v="2"/>
    <x v="5"/>
    <n v="120000"/>
    <n v="300000"/>
    <n v="240000"/>
    <n v="60000"/>
    <n v="2079"/>
  </r>
  <r>
    <s v="2025-01-06"/>
    <x v="0"/>
    <x v="1"/>
    <x v="2"/>
    <s v="Corporate"/>
    <x v="1"/>
    <x v="1"/>
    <x v="1"/>
    <n v="30000"/>
    <n v="3"/>
    <x v="0"/>
    <n v="24000"/>
    <n v="90000"/>
    <n v="72000"/>
    <n v="18000"/>
    <n v="2080"/>
  </r>
  <r>
    <s v="2025-03-30"/>
    <x v="3"/>
    <x v="3"/>
    <x v="0"/>
    <s v="Corporate"/>
    <x v="1"/>
    <x v="1"/>
    <x v="1"/>
    <n v="30000"/>
    <n v="5"/>
    <x v="1"/>
    <n v="24000"/>
    <n v="150000"/>
    <n v="120000"/>
    <n v="30000"/>
    <n v="2081"/>
  </r>
  <r>
    <s v="2025-04-25"/>
    <x v="1"/>
    <x v="1"/>
    <x v="1"/>
    <s v="Corporate"/>
    <x v="1"/>
    <x v="1"/>
    <x v="1"/>
    <n v="30000"/>
    <n v="7"/>
    <x v="5"/>
    <n v="24000"/>
    <n v="210000"/>
    <n v="168000"/>
    <n v="42000"/>
    <n v="2082"/>
  </r>
  <r>
    <s v="2025-04-08"/>
    <x v="1"/>
    <x v="1"/>
    <x v="0"/>
    <s v="Retail"/>
    <x v="1"/>
    <x v="4"/>
    <x v="1"/>
    <n v="180000"/>
    <n v="4"/>
    <x v="0"/>
    <n v="144000"/>
    <n v="720000"/>
    <n v="576000"/>
    <n v="144000"/>
    <n v="2083"/>
  </r>
  <r>
    <s v="2025-02-07"/>
    <x v="2"/>
    <x v="1"/>
    <x v="0"/>
    <s v="Corporate"/>
    <x v="1"/>
    <x v="4"/>
    <x v="1"/>
    <n v="180000"/>
    <n v="1"/>
    <x v="3"/>
    <n v="144000"/>
    <n v="180000"/>
    <n v="144000"/>
    <n v="36000"/>
    <n v="2084"/>
  </r>
  <r>
    <s v="2025-03-21"/>
    <x v="3"/>
    <x v="2"/>
    <x v="1"/>
    <s v="Retail"/>
    <x v="1"/>
    <x v="2"/>
    <x v="1"/>
    <n v="60000"/>
    <n v="10"/>
    <x v="4"/>
    <n v="48000"/>
    <n v="600000"/>
    <n v="480000"/>
    <n v="120000"/>
    <n v="2085"/>
  </r>
  <r>
    <s v="2025-03-03"/>
    <x v="3"/>
    <x v="3"/>
    <x v="1"/>
    <s v="Retail"/>
    <x v="1"/>
    <x v="8"/>
    <x v="2"/>
    <n v="250000"/>
    <n v="8"/>
    <x v="2"/>
    <n v="200000"/>
    <n v="2000000"/>
    <n v="1600000"/>
    <n v="400000"/>
    <n v="2086"/>
  </r>
  <r>
    <s v="2025-01-16"/>
    <x v="0"/>
    <x v="3"/>
    <x v="2"/>
    <s v="Retail"/>
    <x v="1"/>
    <x v="1"/>
    <x v="1"/>
    <n v="30000"/>
    <n v="8"/>
    <x v="4"/>
    <n v="24000"/>
    <n v="240000"/>
    <n v="192000"/>
    <n v="48000"/>
    <n v="2087"/>
  </r>
  <r>
    <s v="2025-03-26"/>
    <x v="3"/>
    <x v="3"/>
    <x v="0"/>
    <s v="Corporate"/>
    <x v="0"/>
    <x v="4"/>
    <x v="1"/>
    <n v="180000"/>
    <n v="4"/>
    <x v="2"/>
    <n v="144000"/>
    <n v="720000"/>
    <n v="576000"/>
    <n v="144000"/>
    <n v="2088"/>
  </r>
  <r>
    <s v="2025-02-07"/>
    <x v="2"/>
    <x v="1"/>
    <x v="1"/>
    <s v="Corporate"/>
    <x v="0"/>
    <x v="6"/>
    <x v="2"/>
    <n v="150000"/>
    <n v="1"/>
    <x v="2"/>
    <n v="120000"/>
    <n v="150000"/>
    <n v="120000"/>
    <n v="30000"/>
    <n v="2089"/>
  </r>
  <r>
    <s v="2025-04-09"/>
    <x v="1"/>
    <x v="3"/>
    <x v="3"/>
    <s v="Retail"/>
    <x v="1"/>
    <x v="3"/>
    <x v="2"/>
    <n v="300000"/>
    <n v="3"/>
    <x v="0"/>
    <n v="240000"/>
    <n v="900000"/>
    <n v="720000"/>
    <n v="180000"/>
    <n v="2090"/>
  </r>
  <r>
    <s v="2025-04-08"/>
    <x v="1"/>
    <x v="0"/>
    <x v="2"/>
    <s v="Retail"/>
    <x v="0"/>
    <x v="5"/>
    <x v="0"/>
    <n v="320000"/>
    <n v="5"/>
    <x v="0"/>
    <n v="256000"/>
    <n v="1600000"/>
    <n v="1280000"/>
    <n v="320000"/>
    <n v="2091"/>
  </r>
  <r>
    <s v="2025-02-23"/>
    <x v="2"/>
    <x v="0"/>
    <x v="3"/>
    <s v="Corporate"/>
    <x v="0"/>
    <x v="3"/>
    <x v="2"/>
    <n v="300000"/>
    <n v="1"/>
    <x v="1"/>
    <n v="240000"/>
    <n v="300000"/>
    <n v="240000"/>
    <n v="60000"/>
    <n v="2092"/>
  </r>
  <r>
    <s v="2025-02-25"/>
    <x v="2"/>
    <x v="0"/>
    <x v="1"/>
    <s v="Corporate"/>
    <x v="0"/>
    <x v="6"/>
    <x v="2"/>
    <n v="150000"/>
    <n v="4"/>
    <x v="2"/>
    <n v="120000"/>
    <n v="600000"/>
    <n v="480000"/>
    <n v="120000"/>
    <n v="2093"/>
  </r>
  <r>
    <s v="2025-04-30"/>
    <x v="1"/>
    <x v="2"/>
    <x v="0"/>
    <s v="Corporate"/>
    <x v="0"/>
    <x v="8"/>
    <x v="2"/>
    <n v="250000"/>
    <n v="2"/>
    <x v="3"/>
    <n v="200000"/>
    <n v="500000"/>
    <n v="400000"/>
    <n v="100000"/>
    <n v="2094"/>
  </r>
  <r>
    <s v="2025-04-20"/>
    <x v="1"/>
    <x v="3"/>
    <x v="1"/>
    <s v="Retail"/>
    <x v="1"/>
    <x v="8"/>
    <x v="2"/>
    <n v="250000"/>
    <n v="10"/>
    <x v="4"/>
    <n v="200000"/>
    <n v="2500000"/>
    <n v="2000000"/>
    <n v="500000"/>
    <n v="2095"/>
  </r>
  <r>
    <s v="2025-04-19"/>
    <x v="1"/>
    <x v="2"/>
    <x v="3"/>
    <s v="Corporate"/>
    <x v="1"/>
    <x v="6"/>
    <x v="2"/>
    <n v="150000"/>
    <n v="2"/>
    <x v="0"/>
    <n v="120000"/>
    <n v="300000"/>
    <n v="240000"/>
    <n v="60000"/>
    <n v="2096"/>
  </r>
  <r>
    <s v="2025-03-08"/>
    <x v="3"/>
    <x v="2"/>
    <x v="0"/>
    <s v="Retail"/>
    <x v="0"/>
    <x v="8"/>
    <x v="2"/>
    <n v="250000"/>
    <n v="9"/>
    <x v="3"/>
    <n v="200000"/>
    <n v="2250000"/>
    <n v="1800000"/>
    <n v="450000"/>
    <n v="2097"/>
  </r>
  <r>
    <s v="2025-02-05"/>
    <x v="2"/>
    <x v="2"/>
    <x v="0"/>
    <s v="Retail"/>
    <x v="0"/>
    <x v="5"/>
    <x v="0"/>
    <n v="320000"/>
    <n v="4"/>
    <x v="1"/>
    <n v="256000"/>
    <n v="1280000"/>
    <n v="1024000"/>
    <n v="256000"/>
    <n v="2098"/>
  </r>
  <r>
    <m/>
    <x v="5"/>
    <x v="4"/>
    <x v="4"/>
    <m/>
    <x v="2"/>
    <x v="10"/>
    <x v="3"/>
    <m/>
    <m/>
    <x v="6"/>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F0DA57-212E-4FCB-A3F9-4F4808C77807}"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s">
  <location ref="A3:D4" firstHeaderRow="0" firstDataRow="1" firstDataCol="0"/>
  <pivotFields count="16">
    <pivotField showAll="0"/>
    <pivotField showAll="0"/>
    <pivotField showAll="0">
      <items count="6">
        <item x="1"/>
        <item x="3"/>
        <item x="2"/>
        <item x="0"/>
        <item h="1" x="4"/>
        <item t="default"/>
      </items>
    </pivotField>
    <pivotField showAll="0"/>
    <pivotField showAll="0"/>
    <pivotField showAll="0">
      <items count="4">
        <item x="0"/>
        <item x="1"/>
        <item x="2"/>
        <item t="default"/>
      </items>
    </pivotField>
    <pivotField multipleItemSelectionAllowed="1" showAll="0"/>
    <pivotField showAll="0">
      <items count="5">
        <item x="2"/>
        <item x="0"/>
        <item x="1"/>
        <item x="3"/>
        <item t="default"/>
      </items>
    </pivotField>
    <pivotField showAll="0"/>
    <pivotField showAll="0"/>
    <pivotField showAll="0">
      <items count="8">
        <item x="4"/>
        <item x="0"/>
        <item x="1"/>
        <item x="5"/>
        <item x="2"/>
        <item x="3"/>
        <item x="6"/>
        <item t="default"/>
      </items>
    </pivotField>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Revenue" fld="12" baseField="0" baseItem="1" numFmtId="165"/>
    <dataField name="Sum of COGS" fld="13" baseField="0" baseItem="1" numFmtId="165"/>
    <dataField name="Sum of Total Profit" fld="14" baseField="0" baseItem="1" numFmtId="165"/>
    <dataField name="Count of Total Customer" fld="15" subtotal="count" baseField="0" baseItem="1" numFmtId="1"/>
  </dataFields>
  <formats count="6">
    <format dxfId="9">
      <pivotArea outline="0" collapsedLevelsAreSubtotals="1" fieldPosition="0"/>
    </format>
    <format dxfId="10">
      <pivotArea dataOnly="0" labelOnly="1" outline="0" axis="axisValues" fieldPosition="0"/>
    </format>
    <format dxfId="11">
      <pivotArea outline="0" fieldPosition="0">
        <references count="1">
          <reference field="4294967294" count="1">
            <x v="3"/>
          </reference>
        </references>
      </pivotArea>
    </format>
    <format dxfId="12">
      <pivotArea outline="0" fieldPosition="0">
        <references count="1">
          <reference field="4294967294" count="1">
            <x v="0"/>
          </reference>
        </references>
      </pivotArea>
    </format>
    <format dxfId="13">
      <pivotArea outline="0" fieldPosition="0">
        <references count="1">
          <reference field="4294967294" count="1">
            <x v="1"/>
          </reference>
        </references>
      </pivotArea>
    </format>
    <format dxfId="14">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9295B3-A537-423B-A0F8-43F4CD7B0B91}"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Product">
  <location ref="A48:B54" firstHeaderRow="1" firstDataRow="1" firstDataCol="1"/>
  <pivotFields count="16">
    <pivotField showAll="0"/>
    <pivotField axis="axisRow" showAll="0" sortType="descending">
      <items count="7">
        <item x="0"/>
        <item x="2"/>
        <item x="3"/>
        <item x="1"/>
        <item x="4"/>
        <item h="1" x="5"/>
        <item t="default"/>
      </items>
      <autoSortScope>
        <pivotArea dataOnly="0" outline="0" fieldPosition="0">
          <references count="1">
            <reference field="4294967294" count="1" selected="0">
              <x v="0"/>
            </reference>
          </references>
        </pivotArea>
      </autoSortScope>
    </pivotField>
    <pivotField showAll="0">
      <items count="6">
        <item x="1"/>
        <item x="3"/>
        <item x="2"/>
        <item x="0"/>
        <item h="1" x="4"/>
        <item t="default"/>
      </items>
    </pivotField>
    <pivotField showAll="0"/>
    <pivotField showAll="0"/>
    <pivotField showAll="0">
      <items count="4">
        <item x="0"/>
        <item x="1"/>
        <item x="2"/>
        <item t="default"/>
      </items>
    </pivotField>
    <pivotField multipleItemSelectionAllowed="1" showAll="0"/>
    <pivotField showAll="0">
      <items count="5">
        <item x="2"/>
        <item x="0"/>
        <item x="1"/>
        <item x="3"/>
        <item t="default"/>
      </items>
    </pivotField>
    <pivotField showAll="0"/>
    <pivotField showAll="0"/>
    <pivotField showAll="0"/>
    <pivotField showAll="0"/>
    <pivotField showAll="0"/>
    <pivotField showAll="0"/>
    <pivotField showAll="0"/>
    <pivotField dataField="1" showAll="0"/>
  </pivotFields>
  <rowFields count="1">
    <field x="1"/>
  </rowFields>
  <rowItems count="6">
    <i>
      <x v="3"/>
    </i>
    <i>
      <x v="2"/>
    </i>
    <i>
      <x/>
    </i>
    <i>
      <x v="1"/>
    </i>
    <i>
      <x v="4"/>
    </i>
    <i t="grand">
      <x/>
    </i>
  </rowItems>
  <colItems count="1">
    <i/>
  </colItems>
  <dataFields count="1">
    <dataField name="Count of Total Customer" fld="15" subtotal="count" baseField="1" baseItem="0" numFmtId="1"/>
  </dataFields>
  <formats count="3">
    <format dxfId="0">
      <pivotArea outline="0" collapsedLevelsAreSubtotals="1" fieldPosition="0"/>
    </format>
    <format dxfId="1">
      <pivotArea dataOnly="0" labelOnly="1" outline="0" axis="axisValues" fieldPosition="0"/>
    </format>
    <format dxfId="2">
      <pivotArea outline="0" fieldPosition="0">
        <references count="1">
          <reference field="4294967294" count="1">
            <x v="0"/>
          </reference>
        </references>
      </pivotArea>
    </format>
  </formats>
  <chartFormats count="11">
    <chartFormat chart="3"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2">
          <reference field="4294967294" count="1" selected="0">
            <x v="0"/>
          </reference>
          <reference field="1" count="1" selected="0">
            <x v="2"/>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 chart="9" format="6" series="1">
      <pivotArea type="data" outline="0" fieldPosition="0">
        <references count="2">
          <reference field="4294967294" count="1" selected="0">
            <x v="0"/>
          </reference>
          <reference field="1" count="1" selected="0">
            <x v="4"/>
          </reference>
        </references>
      </pivotArea>
    </chartFormat>
    <chartFormat chart="3" format="1" series="1">
      <pivotArea type="data" outline="0" fieldPosition="0">
        <references count="2">
          <reference field="4294967294" count="1" selected="0">
            <x v="0"/>
          </reference>
          <reference field="1" count="1" selected="0">
            <x v="2"/>
          </reference>
        </references>
      </pivotArea>
    </chartFormat>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11E907-3CA8-42FA-921A-32E421AB6DE6}"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roduct">
  <location ref="A33:B38" firstHeaderRow="1" firstDataRow="1" firstDataCol="1"/>
  <pivotFields count="16">
    <pivotField showAll="0"/>
    <pivotField showAll="0"/>
    <pivotField showAll="0">
      <items count="6">
        <item x="1"/>
        <item x="3"/>
        <item x="2"/>
        <item x="0"/>
        <item h="1" x="4"/>
        <item t="default"/>
      </items>
    </pivotField>
    <pivotField axis="axisRow" showAll="0" sortType="descending">
      <items count="6">
        <item x="3"/>
        <item x="2"/>
        <item x="1"/>
        <item x="0"/>
        <item h="1" x="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multipleItemSelectionAllowed="1" showAll="0"/>
    <pivotField showAll="0">
      <items count="5">
        <item x="2"/>
        <item x="0"/>
        <item x="1"/>
        <item x="3"/>
        <item t="default"/>
      </items>
    </pivotField>
    <pivotField showAll="0"/>
    <pivotField showAll="0"/>
    <pivotField showAll="0">
      <items count="8">
        <item x="4"/>
        <item x="0"/>
        <item x="1"/>
        <item x="5"/>
        <item x="2"/>
        <item x="3"/>
        <item x="6"/>
        <item t="default"/>
      </items>
    </pivotField>
    <pivotField showAll="0"/>
    <pivotField showAll="0"/>
    <pivotField dataField="1" showAll="0"/>
    <pivotField showAll="0"/>
    <pivotField showAll="0"/>
  </pivotFields>
  <rowFields count="1">
    <field x="3"/>
  </rowFields>
  <rowItems count="5">
    <i>
      <x v="2"/>
    </i>
    <i>
      <x v="1"/>
    </i>
    <i>
      <x v="3"/>
    </i>
    <i>
      <x/>
    </i>
    <i t="grand">
      <x/>
    </i>
  </rowItems>
  <colItems count="1">
    <i/>
  </colItems>
  <dataFields count="1">
    <dataField name="Sum of COGS" fld="13" baseField="3" baseItem="1" numFmtId="165"/>
  </dataFields>
  <formats count="3">
    <format dxfId="3">
      <pivotArea outline="0" collapsedLevelsAreSubtotals="1" fieldPosition="0"/>
    </format>
    <format dxfId="4">
      <pivotArea dataOnly="0" labelOnly="1" outline="0" axis="axisValues" fieldPosition="0"/>
    </format>
    <format dxfId="5">
      <pivotArea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275EF5-36F9-46EC-93D3-F42BB26A8B1B}"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location ref="A23:B30" firstHeaderRow="1" firstDataRow="1" firstDataCol="1"/>
  <pivotFields count="16">
    <pivotField showAll="0"/>
    <pivotField showAll="0"/>
    <pivotField showAll="0">
      <items count="6">
        <item x="1"/>
        <item x="3"/>
        <item x="2"/>
        <item x="0"/>
        <item h="1" x="4"/>
        <item t="default"/>
      </items>
    </pivotField>
    <pivotField showAll="0"/>
    <pivotField showAll="0"/>
    <pivotField showAll="0">
      <items count="4">
        <item x="0"/>
        <item x="1"/>
        <item x="2"/>
        <item t="default"/>
      </items>
    </pivotField>
    <pivotField multipleItemSelectionAllowed="1" showAll="0"/>
    <pivotField showAll="0">
      <items count="5">
        <item x="2"/>
        <item x="0"/>
        <item x="1"/>
        <item x="3"/>
        <item t="default"/>
      </items>
    </pivotField>
    <pivotField showAll="0"/>
    <pivotField showAll="0"/>
    <pivotField axis="axisRow" showAll="0" sortType="descending">
      <items count="8">
        <item sd="0" x="4"/>
        <item x="0"/>
        <item x="1"/>
        <item x="5"/>
        <item x="2"/>
        <item x="3"/>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0"/>
  </rowFields>
  <rowItems count="7">
    <i>
      <x v="5"/>
    </i>
    <i>
      <x v="4"/>
    </i>
    <i>
      <x v="2"/>
    </i>
    <i>
      <x/>
    </i>
    <i>
      <x v="1"/>
    </i>
    <i>
      <x v="3"/>
    </i>
    <i t="grand">
      <x/>
    </i>
  </rowItems>
  <colItems count="1">
    <i/>
  </colItems>
  <dataFields count="1">
    <dataField name="Sum of Revenue" fld="12" baseField="10" baseItem="5" numFmtId="165"/>
  </dataFields>
  <formats count="3">
    <format dxfId="6">
      <pivotArea outline="0" collapsedLevelsAreSubtotals="1" fieldPosition="0"/>
    </format>
    <format dxfId="7">
      <pivotArea dataOnly="0" labelOnly="1" outline="0" axis="axisValues" fieldPosition="0"/>
    </format>
    <format dxfId="8">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397C7A-5360-45B0-A872-C839E2990D9B}"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roduct">
  <location ref="A9:B20" firstHeaderRow="1" firstDataRow="1" firstDataCol="1"/>
  <pivotFields count="16">
    <pivotField showAll="0"/>
    <pivotField showAll="0"/>
    <pivotField showAll="0">
      <items count="6">
        <item x="1"/>
        <item x="3"/>
        <item x="2"/>
        <item x="0"/>
        <item h="1" x="4"/>
        <item t="default"/>
      </items>
    </pivotField>
    <pivotField showAll="0"/>
    <pivotField showAll="0"/>
    <pivotField showAll="0">
      <items count="4">
        <item x="0"/>
        <item x="1"/>
        <item x="2"/>
        <item t="default"/>
      </items>
    </pivotField>
    <pivotField axis="axisRow" multipleItemSelectionAllowed="1" showAll="0" sortType="descending">
      <items count="12">
        <item sd="0" x="4"/>
        <item sd="0" x="1"/>
        <item sd="0" x="3"/>
        <item sd="0" x="7"/>
        <item sd="0" x="2"/>
        <item sd="0" x="0"/>
        <item sd="0" x="6"/>
        <item sd="0" x="9"/>
        <item sd="0" x="8"/>
        <item sd="0" x="5"/>
        <item h="1" sd="0" x="1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items count="8">
        <item x="4"/>
        <item x="0"/>
        <item x="1"/>
        <item x="5"/>
        <item x="2"/>
        <item x="3"/>
        <item x="6"/>
        <item t="default"/>
      </items>
    </pivotField>
    <pivotField showAll="0"/>
    <pivotField showAll="0"/>
    <pivotField showAll="0"/>
    <pivotField dataField="1" showAll="0"/>
    <pivotField showAll="0"/>
  </pivotFields>
  <rowFields count="1">
    <field x="6"/>
  </rowFields>
  <rowItems count="11">
    <i>
      <x v="3"/>
    </i>
    <i>
      <x v="9"/>
    </i>
    <i>
      <x v="2"/>
    </i>
    <i>
      <x v="8"/>
    </i>
    <i>
      <x v="7"/>
    </i>
    <i>
      <x/>
    </i>
    <i>
      <x v="6"/>
    </i>
    <i>
      <x v="5"/>
    </i>
    <i>
      <x v="4"/>
    </i>
    <i>
      <x v="1"/>
    </i>
    <i t="grand">
      <x/>
    </i>
  </rowItems>
  <colItems count="1">
    <i/>
  </colItems>
  <dataFields count="1">
    <dataField name="Sum of Total Profit" fld="14" baseField="6" baseItem="3" numFmtId="165"/>
  </dataFields>
  <formats count="3">
    <format dxfId="15">
      <pivotArea outline="0" collapsedLevelsAreSubtotals="1" fieldPosition="0"/>
    </format>
    <format dxfId="16">
      <pivotArea dataOnly="0" labelOnly="1" outline="0" axis="axisValues" fieldPosition="0"/>
    </format>
    <format dxfId="17">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494860-BAD1-4EAB-A50D-8726E8A4FF14}" sourceName="REGION">
  <pivotTables>
    <pivotTable tabId="9" name="PivotTable6"/>
    <pivotTable tabId="9" name="PivotTable4"/>
    <pivotTable tabId="9" name="PivotTable7"/>
    <pivotTable tabId="9" name="PivotTable8"/>
    <pivotTable tabId="9" name="PivotTable9"/>
  </pivotTables>
  <data>
    <tabular pivotCacheId="266998453">
      <items count="5">
        <i x="1" s="1"/>
        <i x="3" s="1"/>
        <i x="2" s="1"/>
        <i x="0"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09417A5-2B71-4DED-95BD-6F8A060EB277}" sourceName="CHANNEL">
  <pivotTables>
    <pivotTable tabId="9" name="PivotTable6"/>
    <pivotTable tabId="9" name="PivotTable4"/>
    <pivotTable tabId="9" name="PivotTable7"/>
    <pivotTable tabId="9" name="PivotTable8"/>
    <pivotTable tabId="9" name="PivotTable9"/>
  </pivotTables>
  <data>
    <tabular pivotCacheId="266998453">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23900F9-D966-4933-8CB1-062124714A45}" sourceName="CATEGORY">
  <pivotTables>
    <pivotTable tabId="9" name="PivotTable6"/>
    <pivotTable tabId="9" name="PivotTable4"/>
    <pivotTable tabId="9" name="PivotTable7"/>
    <pivotTable tabId="9" name="PivotTable8"/>
    <pivotTable tabId="9" name="PivotTable9"/>
  </pivotTables>
  <data>
    <tabular pivotCacheId="266998453">
      <items count="4">
        <i x="2" s="1"/>
        <i x="0"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B4E167E-D27A-4200-BFC9-12DACDB79116}" sourceName="SALES REP">
  <pivotTables>
    <pivotTable tabId="9" name="PivotTable6"/>
    <pivotTable tabId="9" name="PivotTable4"/>
    <pivotTable tabId="9" name="PivotTable7"/>
    <pivotTable tabId="9" name="PivotTable8"/>
  </pivotTables>
  <data>
    <tabular pivotCacheId="266998453">
      <items count="7">
        <i x="4" s="1"/>
        <i x="0" s="1"/>
        <i x="1" s="1"/>
        <i x="5" s="1"/>
        <i x="2" s="1"/>
        <i x="3"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1F1E7A-BA2B-497B-8AAB-308070F535C4}" cache="Slicer_REGION" caption="REGION" style="SlicerStyleDark1" rowHeight="241300"/>
  <slicer name="CHANNEL" xr10:uid="{0B4B51E5-3622-4938-88F9-85B49651C335}" cache="Slicer_CHANNEL" caption="CHANNEL" style="SlicerStyleDark1" rowHeight="241300"/>
  <slicer name="CATEGORY" xr10:uid="{CF5565AB-3ED1-4953-A2E0-082403850169}" cache="Slicer_CATEGORY" caption="CATEGORY" style="SlicerStyleDark1" rowHeight="241300"/>
  <slicer name="SALES REP" xr10:uid="{9258CE2C-CF38-4620-BB49-8578E9A3EA5C}" cache="Slicer_SALES_REP" caption="SALES REP"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80E0254-F3FC-406E-B5F2-FA3D9B21124E}" cache="Slicer_REGION" caption="REGION" style="SlicerStyleDark2" rowHeight="241300"/>
  <slicer name="CHANNEL 1" xr10:uid="{0F88E116-BC10-4127-9555-122C11837BC3}" cache="Slicer_CHANNEL" caption="CHANNEL" style="SlicerStyleDark2" rowHeight="241300"/>
  <slicer name="CATEGORY 1" xr10:uid="{4F23867C-5A8C-4AB4-800C-C7B598BE7C1B}" cache="Slicer_CATEGORY" caption="CATEGORY" style="SlicerStyleDark2" rowHeight="241300"/>
  <slicer name="SALES REP 1" xr10:uid="{93D694DA-167A-4866-8ECE-120AD74989DB}" cache="Slicer_SALES_REP" caption="SALES REP"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FD99AF-8202-48A2-A2A9-AFA7DEA0857D}" name="Table14" displayName="Table14" ref="A1:K2099" totalsRowShown="0">
  <autoFilter ref="A1:K2099" xr:uid="{2DFD99AF-8202-48A2-A2A9-AFA7DEA0857D}"/>
  <tableColumns count="11">
    <tableColumn id="1" xr3:uid="{DA6253FE-8CEC-4633-B8CB-CE8FE962B60A}" name="Date"/>
    <tableColumn id="2" xr3:uid="{197D1FA8-B870-495E-9FF4-A1A494883EF7}" name="Region"/>
    <tableColumn id="3" xr3:uid="{ACD3ED98-2AF6-47AE-9901-99EBD9CB9489}" name="City"/>
    <tableColumn id="4" xr3:uid="{F4CDE767-D3CC-4A21-9C0F-EA0BB8970322}" name="Customer Type"/>
    <tableColumn id="5" xr3:uid="{D16F6036-54DB-41E4-BA92-93B36B939F0A}" name="Channel"/>
    <tableColumn id="6" xr3:uid="{C163C494-0898-4A9C-81DF-BF467D7E5C40}" name="Product"/>
    <tableColumn id="7" xr3:uid="{BF55916F-F5AE-4FDA-AF33-22A2785ED6EA}" name="Category"/>
    <tableColumn id="8" xr3:uid="{6681B458-1FA9-44C7-A119-A64C87F1C61F}" name="Unit Price"/>
    <tableColumn id="9" xr3:uid="{857F8AB1-FD90-4A3E-BBE7-53F43380A1C6}" name="Quantity"/>
    <tableColumn id="14" xr3:uid="{16A01DD1-23A4-4C18-84F6-91B9F882564D}" name="Sales Rep"/>
    <tableColumn id="15" xr3:uid="{0928D9C1-864F-4277-A23C-646F09A62E7D}" name="Cost Price" dataDxfId="26">
      <calculatedColumnFormula>H2-H2*0.2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099" totalsRowShown="0">
  <autoFilter ref="A1:P2099" xr:uid="{00000000-0009-0000-0100-000001000000}"/>
  <tableColumns count="16">
    <tableColumn id="1" xr3:uid="{00000000-0010-0000-0000-000001000000}" name="Date" dataDxfId="25"/>
    <tableColumn id="10" xr3:uid="{47BDBE50-3A80-4D4F-BE47-B7AE7230DE1A}" name="Monthly  " dataDxfId="24">
      <calculatedColumnFormula>TEXT(Table1[[#This Row],[Date]],"MMM")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22"/>
    <tableColumn id="9" xr3:uid="{00000000-0010-0000-0000-000009000000}" name="Quantity"/>
    <tableColumn id="14" xr3:uid="{00000000-0010-0000-0000-00000E000000}" name="SALES REP"/>
    <tableColumn id="15" xr3:uid="{00000000-0010-0000-0000-00000F000000}" name="Cost Price" dataDxfId="21">
      <calculatedColumnFormula>E2-E2*0.2</calculatedColumnFormula>
    </tableColumn>
    <tableColumn id="12" xr3:uid="{BADC41C3-6BB0-4D2C-B2EF-3FE5171D0B53}" name="Revenue" dataDxfId="20">
      <calculatedColumnFormula>Table1[[#This Row],[Unit Price]]*Table1[[#This Row],[Quantity]]</calculatedColumnFormula>
    </tableColumn>
    <tableColumn id="13" xr3:uid="{8B1FD9E1-42BB-4004-8A05-5775DC572D27}" name="COGS" dataDxfId="19">
      <calculatedColumnFormula>Table1[[#This Row],[Cost Price]]*Table1[[#This Row],[Quantity]]</calculatedColumnFormula>
    </tableColumn>
    <tableColumn id="16" xr3:uid="{67573677-BEA9-4F02-8120-578D594C544E}" name="Total Profit" dataDxfId="18">
      <calculatedColumnFormula>Table1[[#This Row],[Revenue]]-Table1[[#This Row],[COGS]]</calculatedColumnFormula>
    </tableColumn>
    <tableColumn id="17" xr3:uid="{C75E1919-561E-4380-B31C-9CB63B332766}" name="Total Customer" dataDxfId="2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election activeCell="A14" sqref="A14"/>
    </sheetView>
  </sheetViews>
  <sheetFormatPr defaultColWidth="9" defaultRowHeight="15"/>
  <cols>
    <col min="1" max="1" width="65.28515625" customWidth="1"/>
  </cols>
  <sheetData>
    <row r="1" spans="1:1">
      <c r="A1" t="s">
        <v>0</v>
      </c>
    </row>
    <row r="3" spans="1:1">
      <c r="A3" t="s">
        <v>1</v>
      </c>
    </row>
    <row r="5" spans="1:1">
      <c r="A5" t="s">
        <v>2</v>
      </c>
    </row>
    <row r="7" spans="1:1">
      <c r="A7" t="s">
        <v>3</v>
      </c>
    </row>
    <row r="9" spans="1:1">
      <c r="A9" t="s">
        <v>4</v>
      </c>
    </row>
    <row r="11" spans="1:1">
      <c r="A11" t="s">
        <v>5</v>
      </c>
    </row>
    <row r="13" spans="1:1">
      <c r="A13" t="s">
        <v>6</v>
      </c>
    </row>
    <row r="15" spans="1:1">
      <c r="A15" t="s">
        <v>7</v>
      </c>
    </row>
    <row r="17" spans="1:1">
      <c r="A17" t="s">
        <v>8</v>
      </c>
    </row>
    <row r="19" spans="1:1">
      <c r="A19" t="s">
        <v>9</v>
      </c>
    </row>
    <row r="21" spans="1:1">
      <c r="A21" t="s">
        <v>10</v>
      </c>
    </row>
    <row r="23" spans="1:1">
      <c r="A23" t="s">
        <v>11</v>
      </c>
    </row>
    <row r="25" spans="1:1">
      <c r="A25" t="s">
        <v>12</v>
      </c>
    </row>
    <row r="27" spans="1:1">
      <c r="A27" t="s">
        <v>13</v>
      </c>
    </row>
    <row r="30" spans="1:1">
      <c r="A3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8B6CF-CFFE-4AAC-B6F9-6B9F9BEDF959}">
  <dimension ref="A1:K2099"/>
  <sheetViews>
    <sheetView workbookViewId="0">
      <selection activeCell="F24" sqref="F24"/>
    </sheetView>
  </sheetViews>
  <sheetFormatPr defaultRowHeight="15"/>
  <cols>
    <col min="1" max="1" width="11" customWidth="1"/>
    <col min="2" max="2" width="10.28515625" customWidth="1"/>
    <col min="3" max="3" width="12.28515625" customWidth="1"/>
    <col min="4" max="4" width="14.7109375" customWidth="1"/>
    <col min="5" max="5" width="13.28515625" customWidth="1"/>
    <col min="6" max="6" width="16.42578125" customWidth="1"/>
    <col min="7" max="7" width="16" customWidth="1"/>
    <col min="8" max="8" width="9.7109375" customWidth="1"/>
    <col min="9" max="9" width="13.28515625" customWidth="1"/>
    <col min="10" max="10" width="13.140625" customWidth="1"/>
  </cols>
  <sheetData>
    <row r="1" spans="1:11">
      <c r="A1" t="s">
        <v>15</v>
      </c>
      <c r="B1" t="s">
        <v>16</v>
      </c>
      <c r="C1" t="s">
        <v>17</v>
      </c>
      <c r="D1" t="s">
        <v>18</v>
      </c>
      <c r="E1" t="s">
        <v>19</v>
      </c>
      <c r="F1" t="s">
        <v>20</v>
      </c>
      <c r="G1" t="s">
        <v>21</v>
      </c>
      <c r="H1" t="s">
        <v>22</v>
      </c>
      <c r="I1" t="s">
        <v>23</v>
      </c>
      <c r="J1" t="s">
        <v>24</v>
      </c>
      <c r="K1" t="s">
        <v>25</v>
      </c>
    </row>
    <row r="2" spans="1:11">
      <c r="A2" t="s">
        <v>26</v>
      </c>
      <c r="B2" t="s">
        <v>27</v>
      </c>
      <c r="C2" t="s">
        <v>28</v>
      </c>
      <c r="D2" t="s">
        <v>29</v>
      </c>
      <c r="E2" t="s">
        <v>30</v>
      </c>
      <c r="F2" t="s">
        <v>31</v>
      </c>
      <c r="G2" t="s">
        <v>32</v>
      </c>
      <c r="H2">
        <v>85000</v>
      </c>
      <c r="I2">
        <v>1</v>
      </c>
      <c r="J2" t="s">
        <v>33</v>
      </c>
      <c r="K2">
        <f t="shared" ref="K2:K65" si="0">H2-H2*0.2</f>
        <v>68000</v>
      </c>
    </row>
    <row r="3" spans="1:11">
      <c r="A3" t="s">
        <v>34</v>
      </c>
      <c r="B3" t="s">
        <v>35</v>
      </c>
      <c r="C3" t="s">
        <v>36</v>
      </c>
      <c r="D3" t="s">
        <v>29</v>
      </c>
      <c r="E3" t="s">
        <v>37</v>
      </c>
      <c r="F3" t="s">
        <v>38</v>
      </c>
      <c r="G3" t="s">
        <v>39</v>
      </c>
      <c r="H3">
        <v>30000</v>
      </c>
      <c r="I3">
        <v>8</v>
      </c>
      <c r="J3" t="s">
        <v>33</v>
      </c>
      <c r="K3">
        <f t="shared" si="0"/>
        <v>24000</v>
      </c>
    </row>
    <row r="4" spans="1:11">
      <c r="A4" t="s">
        <v>40</v>
      </c>
      <c r="B4" t="s">
        <v>35</v>
      </c>
      <c r="C4" t="s">
        <v>28</v>
      </c>
      <c r="D4" t="s">
        <v>41</v>
      </c>
      <c r="E4" t="s">
        <v>30</v>
      </c>
      <c r="F4" t="s">
        <v>31</v>
      </c>
      <c r="G4" t="s">
        <v>32</v>
      </c>
      <c r="H4">
        <v>85000</v>
      </c>
      <c r="I4">
        <v>2</v>
      </c>
      <c r="J4" t="s">
        <v>42</v>
      </c>
      <c r="K4">
        <f t="shared" si="0"/>
        <v>68000</v>
      </c>
    </row>
    <row r="5" spans="1:11">
      <c r="A5" t="s">
        <v>43</v>
      </c>
      <c r="B5" t="s">
        <v>44</v>
      </c>
      <c r="C5" t="s">
        <v>45</v>
      </c>
      <c r="D5" t="s">
        <v>29</v>
      </c>
      <c r="E5" t="s">
        <v>30</v>
      </c>
      <c r="F5" t="s">
        <v>46</v>
      </c>
      <c r="G5" t="s">
        <v>39</v>
      </c>
      <c r="H5">
        <v>60000</v>
      </c>
      <c r="I5">
        <v>2</v>
      </c>
      <c r="J5" t="s">
        <v>47</v>
      </c>
      <c r="K5">
        <f t="shared" si="0"/>
        <v>48000</v>
      </c>
    </row>
    <row r="6" spans="1:11">
      <c r="A6" t="s">
        <v>48</v>
      </c>
      <c r="B6" t="s">
        <v>49</v>
      </c>
      <c r="C6" t="s">
        <v>45</v>
      </c>
      <c r="D6" t="s">
        <v>41</v>
      </c>
      <c r="E6" t="s">
        <v>30</v>
      </c>
      <c r="F6" t="s">
        <v>50</v>
      </c>
      <c r="G6" t="s">
        <v>51</v>
      </c>
      <c r="H6">
        <v>300000</v>
      </c>
      <c r="I6">
        <v>2</v>
      </c>
      <c r="J6" t="s">
        <v>33</v>
      </c>
      <c r="K6">
        <f t="shared" si="0"/>
        <v>240000</v>
      </c>
    </row>
    <row r="7" spans="1:11">
      <c r="A7" t="s">
        <v>52</v>
      </c>
      <c r="B7" t="s">
        <v>44</v>
      </c>
      <c r="C7" t="s">
        <v>53</v>
      </c>
      <c r="D7" t="s">
        <v>29</v>
      </c>
      <c r="E7" t="s">
        <v>30</v>
      </c>
      <c r="F7" t="s">
        <v>54</v>
      </c>
      <c r="G7" t="s">
        <v>39</v>
      </c>
      <c r="H7">
        <v>180000</v>
      </c>
      <c r="I7">
        <v>10</v>
      </c>
      <c r="J7" t="s">
        <v>33</v>
      </c>
      <c r="K7">
        <f t="shared" si="0"/>
        <v>144000</v>
      </c>
    </row>
    <row r="8" spans="1:11">
      <c r="A8" t="s">
        <v>55</v>
      </c>
      <c r="B8" t="s">
        <v>44</v>
      </c>
      <c r="C8" t="s">
        <v>53</v>
      </c>
      <c r="D8" t="s">
        <v>41</v>
      </c>
      <c r="E8" t="s">
        <v>30</v>
      </c>
      <c r="F8" t="s">
        <v>56</v>
      </c>
      <c r="G8" t="s">
        <v>32</v>
      </c>
      <c r="H8">
        <v>320000</v>
      </c>
      <c r="I8">
        <v>4</v>
      </c>
      <c r="J8" t="s">
        <v>47</v>
      </c>
      <c r="K8">
        <f t="shared" si="0"/>
        <v>256000</v>
      </c>
    </row>
    <row r="9" spans="1:11">
      <c r="A9" t="s">
        <v>57</v>
      </c>
      <c r="B9" t="s">
        <v>44</v>
      </c>
      <c r="C9" t="s">
        <v>45</v>
      </c>
      <c r="D9" t="s">
        <v>29</v>
      </c>
      <c r="E9" t="s">
        <v>30</v>
      </c>
      <c r="F9" t="s">
        <v>56</v>
      </c>
      <c r="G9" t="s">
        <v>32</v>
      </c>
      <c r="H9">
        <v>320000</v>
      </c>
      <c r="I9">
        <v>1</v>
      </c>
      <c r="J9" t="s">
        <v>58</v>
      </c>
      <c r="K9">
        <f t="shared" si="0"/>
        <v>256000</v>
      </c>
    </row>
    <row r="10" spans="1:11">
      <c r="A10" t="s">
        <v>59</v>
      </c>
      <c r="B10" t="s">
        <v>35</v>
      </c>
      <c r="C10" t="s">
        <v>36</v>
      </c>
      <c r="D10" t="s">
        <v>29</v>
      </c>
      <c r="E10" t="s">
        <v>37</v>
      </c>
      <c r="F10" t="s">
        <v>56</v>
      </c>
      <c r="G10" t="s">
        <v>32</v>
      </c>
      <c r="H10">
        <v>320000</v>
      </c>
      <c r="I10">
        <v>9</v>
      </c>
      <c r="J10" t="s">
        <v>47</v>
      </c>
      <c r="K10">
        <f t="shared" si="0"/>
        <v>256000</v>
      </c>
    </row>
    <row r="11" spans="1:11">
      <c r="A11" t="s">
        <v>60</v>
      </c>
      <c r="B11" t="s">
        <v>44</v>
      </c>
      <c r="C11" t="s">
        <v>36</v>
      </c>
      <c r="D11" t="s">
        <v>29</v>
      </c>
      <c r="E11" t="s">
        <v>30</v>
      </c>
      <c r="F11" t="s">
        <v>56</v>
      </c>
      <c r="G11" t="s">
        <v>32</v>
      </c>
      <c r="H11">
        <v>320000</v>
      </c>
      <c r="I11">
        <v>3</v>
      </c>
      <c r="J11" t="s">
        <v>47</v>
      </c>
      <c r="K11">
        <f t="shared" si="0"/>
        <v>256000</v>
      </c>
    </row>
    <row r="12" spans="1:11">
      <c r="A12" t="s">
        <v>61</v>
      </c>
      <c r="B12" t="s">
        <v>44</v>
      </c>
      <c r="C12" t="s">
        <v>28</v>
      </c>
      <c r="D12" t="s">
        <v>29</v>
      </c>
      <c r="E12" t="s">
        <v>30</v>
      </c>
      <c r="F12" t="s">
        <v>62</v>
      </c>
      <c r="G12" t="s">
        <v>51</v>
      </c>
      <c r="H12">
        <v>150000</v>
      </c>
      <c r="I12">
        <v>4</v>
      </c>
      <c r="J12" t="s">
        <v>58</v>
      </c>
      <c r="K12">
        <f t="shared" si="0"/>
        <v>120000</v>
      </c>
    </row>
    <row r="13" spans="1:11">
      <c r="A13" t="s">
        <v>63</v>
      </c>
      <c r="B13" t="s">
        <v>27</v>
      </c>
      <c r="C13" t="s">
        <v>45</v>
      </c>
      <c r="D13" t="s">
        <v>41</v>
      </c>
      <c r="E13" t="s">
        <v>30</v>
      </c>
      <c r="F13" t="s">
        <v>56</v>
      </c>
      <c r="G13" t="s">
        <v>32</v>
      </c>
      <c r="H13">
        <v>320000</v>
      </c>
      <c r="I13">
        <v>7</v>
      </c>
      <c r="J13" t="s">
        <v>58</v>
      </c>
      <c r="K13">
        <f t="shared" si="0"/>
        <v>256000</v>
      </c>
    </row>
    <row r="14" spans="1:11">
      <c r="A14" t="s">
        <v>64</v>
      </c>
      <c r="B14" t="s">
        <v>44</v>
      </c>
      <c r="C14" t="s">
        <v>28</v>
      </c>
      <c r="D14" t="s">
        <v>29</v>
      </c>
      <c r="E14" t="s">
        <v>37</v>
      </c>
      <c r="F14" t="s">
        <v>62</v>
      </c>
      <c r="G14" t="s">
        <v>51</v>
      </c>
      <c r="H14">
        <v>150000</v>
      </c>
      <c r="I14">
        <v>2</v>
      </c>
      <c r="J14" t="s">
        <v>65</v>
      </c>
      <c r="K14">
        <f t="shared" si="0"/>
        <v>120000</v>
      </c>
    </row>
    <row r="15" spans="1:11">
      <c r="A15" t="s">
        <v>66</v>
      </c>
      <c r="B15" t="s">
        <v>27</v>
      </c>
      <c r="C15" t="s">
        <v>36</v>
      </c>
      <c r="D15" t="s">
        <v>29</v>
      </c>
      <c r="E15" t="s">
        <v>30</v>
      </c>
      <c r="F15" t="s">
        <v>67</v>
      </c>
      <c r="G15" t="s">
        <v>51</v>
      </c>
      <c r="H15">
        <v>420000</v>
      </c>
      <c r="I15">
        <v>9</v>
      </c>
      <c r="J15" t="s">
        <v>47</v>
      </c>
      <c r="K15">
        <f t="shared" si="0"/>
        <v>336000</v>
      </c>
    </row>
    <row r="16" spans="1:11">
      <c r="A16" t="s">
        <v>68</v>
      </c>
      <c r="B16" t="s">
        <v>49</v>
      </c>
      <c r="C16" t="s">
        <v>36</v>
      </c>
      <c r="D16" t="s">
        <v>29</v>
      </c>
      <c r="E16" t="s">
        <v>30</v>
      </c>
      <c r="F16" t="s">
        <v>67</v>
      </c>
      <c r="G16" t="s">
        <v>51</v>
      </c>
      <c r="H16">
        <v>420000</v>
      </c>
      <c r="I16">
        <v>5</v>
      </c>
      <c r="J16" t="s">
        <v>69</v>
      </c>
      <c r="K16">
        <f t="shared" si="0"/>
        <v>336000</v>
      </c>
    </row>
    <row r="17" spans="1:11">
      <c r="A17" t="s">
        <v>70</v>
      </c>
      <c r="B17" t="s">
        <v>27</v>
      </c>
      <c r="C17" t="s">
        <v>45</v>
      </c>
      <c r="D17" t="s">
        <v>41</v>
      </c>
      <c r="E17" t="s">
        <v>37</v>
      </c>
      <c r="F17" t="s">
        <v>71</v>
      </c>
      <c r="G17" t="s">
        <v>51</v>
      </c>
      <c r="H17">
        <v>250000</v>
      </c>
      <c r="I17">
        <v>4</v>
      </c>
      <c r="J17" t="s">
        <v>58</v>
      </c>
      <c r="K17">
        <f t="shared" si="0"/>
        <v>200000</v>
      </c>
    </row>
    <row r="18" spans="1:11">
      <c r="A18" t="s">
        <v>72</v>
      </c>
      <c r="B18" t="s">
        <v>27</v>
      </c>
      <c r="C18" t="s">
        <v>36</v>
      </c>
      <c r="D18" t="s">
        <v>29</v>
      </c>
      <c r="E18" t="s">
        <v>30</v>
      </c>
      <c r="F18" t="s">
        <v>73</v>
      </c>
      <c r="G18" t="s">
        <v>39</v>
      </c>
      <c r="H18">
        <v>220000</v>
      </c>
      <c r="I18">
        <v>2</v>
      </c>
      <c r="J18" t="s">
        <v>58</v>
      </c>
      <c r="K18">
        <f t="shared" si="0"/>
        <v>176000</v>
      </c>
    </row>
    <row r="19" spans="1:11">
      <c r="A19" t="s">
        <v>74</v>
      </c>
      <c r="B19" t="s">
        <v>35</v>
      </c>
      <c r="C19" t="s">
        <v>45</v>
      </c>
      <c r="D19" t="s">
        <v>29</v>
      </c>
      <c r="E19" t="s">
        <v>37</v>
      </c>
      <c r="F19" t="s">
        <v>62</v>
      </c>
      <c r="G19" t="s">
        <v>51</v>
      </c>
      <c r="H19">
        <v>150000</v>
      </c>
      <c r="I19">
        <v>7</v>
      </c>
      <c r="J19" t="s">
        <v>47</v>
      </c>
      <c r="K19">
        <f t="shared" si="0"/>
        <v>120000</v>
      </c>
    </row>
    <row r="20" spans="1:11">
      <c r="A20" t="s">
        <v>75</v>
      </c>
      <c r="B20" t="s">
        <v>44</v>
      </c>
      <c r="C20" t="s">
        <v>53</v>
      </c>
      <c r="D20" t="s">
        <v>41</v>
      </c>
      <c r="E20" t="s">
        <v>37</v>
      </c>
      <c r="F20" t="s">
        <v>50</v>
      </c>
      <c r="G20" t="s">
        <v>51</v>
      </c>
      <c r="H20">
        <v>300000</v>
      </c>
      <c r="I20">
        <v>5</v>
      </c>
      <c r="J20" t="s">
        <v>58</v>
      </c>
      <c r="K20">
        <f t="shared" si="0"/>
        <v>240000</v>
      </c>
    </row>
    <row r="21" spans="1:11">
      <c r="A21" t="s">
        <v>74</v>
      </c>
      <c r="B21" t="s">
        <v>49</v>
      </c>
      <c r="C21" t="s">
        <v>45</v>
      </c>
      <c r="D21" t="s">
        <v>29</v>
      </c>
      <c r="E21" t="s">
        <v>30</v>
      </c>
      <c r="F21" t="s">
        <v>62</v>
      </c>
      <c r="G21" t="s">
        <v>51</v>
      </c>
      <c r="H21">
        <v>150000</v>
      </c>
      <c r="I21">
        <v>4</v>
      </c>
      <c r="J21" t="s">
        <v>58</v>
      </c>
      <c r="K21">
        <f t="shared" si="0"/>
        <v>120000</v>
      </c>
    </row>
    <row r="22" spans="1:11">
      <c r="A22" t="s">
        <v>76</v>
      </c>
      <c r="B22" t="s">
        <v>49</v>
      </c>
      <c r="C22" t="s">
        <v>45</v>
      </c>
      <c r="D22" t="s">
        <v>41</v>
      </c>
      <c r="E22" t="s">
        <v>37</v>
      </c>
      <c r="F22" t="s">
        <v>31</v>
      </c>
      <c r="G22" t="s">
        <v>32</v>
      </c>
      <c r="H22">
        <v>85000</v>
      </c>
      <c r="I22">
        <v>1</v>
      </c>
      <c r="J22" t="s">
        <v>69</v>
      </c>
      <c r="K22">
        <f t="shared" si="0"/>
        <v>68000</v>
      </c>
    </row>
    <row r="23" spans="1:11">
      <c r="A23" t="s">
        <v>66</v>
      </c>
      <c r="B23" t="s">
        <v>35</v>
      </c>
      <c r="C23" t="s">
        <v>28</v>
      </c>
      <c r="D23" t="s">
        <v>29</v>
      </c>
      <c r="E23" t="s">
        <v>37</v>
      </c>
      <c r="F23" t="s">
        <v>31</v>
      </c>
      <c r="G23" t="s">
        <v>32</v>
      </c>
      <c r="H23">
        <v>85000</v>
      </c>
      <c r="I23">
        <v>9</v>
      </c>
      <c r="J23" t="s">
        <v>42</v>
      </c>
      <c r="K23">
        <f t="shared" si="0"/>
        <v>68000</v>
      </c>
    </row>
    <row r="24" spans="1:11">
      <c r="A24" t="s">
        <v>77</v>
      </c>
      <c r="B24" t="s">
        <v>35</v>
      </c>
      <c r="C24" t="s">
        <v>36</v>
      </c>
      <c r="D24" t="s">
        <v>29</v>
      </c>
      <c r="E24" t="s">
        <v>37</v>
      </c>
      <c r="F24" t="s">
        <v>67</v>
      </c>
      <c r="G24" t="s">
        <v>51</v>
      </c>
      <c r="H24">
        <v>420000</v>
      </c>
      <c r="I24">
        <v>8</v>
      </c>
      <c r="J24" t="s">
        <v>69</v>
      </c>
      <c r="K24">
        <f t="shared" si="0"/>
        <v>336000</v>
      </c>
    </row>
    <row r="25" spans="1:11">
      <c r="A25" t="s">
        <v>78</v>
      </c>
      <c r="B25" t="s">
        <v>49</v>
      </c>
      <c r="C25" t="s">
        <v>36</v>
      </c>
      <c r="D25" t="s">
        <v>41</v>
      </c>
      <c r="E25" t="s">
        <v>30</v>
      </c>
      <c r="F25" t="s">
        <v>67</v>
      </c>
      <c r="G25" t="s">
        <v>51</v>
      </c>
      <c r="H25">
        <v>420000</v>
      </c>
      <c r="I25">
        <v>10</v>
      </c>
      <c r="J25" t="s">
        <v>69</v>
      </c>
      <c r="K25">
        <f t="shared" si="0"/>
        <v>336000</v>
      </c>
    </row>
    <row r="26" spans="1:11">
      <c r="A26" t="s">
        <v>79</v>
      </c>
      <c r="B26" t="s">
        <v>35</v>
      </c>
      <c r="C26" t="s">
        <v>28</v>
      </c>
      <c r="D26" t="s">
        <v>29</v>
      </c>
      <c r="E26" t="s">
        <v>37</v>
      </c>
      <c r="F26" t="s">
        <v>71</v>
      </c>
      <c r="G26" t="s">
        <v>51</v>
      </c>
      <c r="H26">
        <v>250000</v>
      </c>
      <c r="I26">
        <v>5</v>
      </c>
      <c r="J26" t="s">
        <v>65</v>
      </c>
      <c r="K26">
        <f t="shared" si="0"/>
        <v>200000</v>
      </c>
    </row>
    <row r="27" spans="1:11">
      <c r="A27" t="s">
        <v>80</v>
      </c>
      <c r="B27" t="s">
        <v>49</v>
      </c>
      <c r="C27" t="s">
        <v>36</v>
      </c>
      <c r="D27" t="s">
        <v>41</v>
      </c>
      <c r="E27" t="s">
        <v>37</v>
      </c>
      <c r="F27" t="s">
        <v>73</v>
      </c>
      <c r="G27" t="s">
        <v>39</v>
      </c>
      <c r="H27">
        <v>220000</v>
      </c>
      <c r="I27">
        <v>4</v>
      </c>
      <c r="J27" t="s">
        <v>69</v>
      </c>
      <c r="K27">
        <f t="shared" si="0"/>
        <v>176000</v>
      </c>
    </row>
    <row r="28" spans="1:11">
      <c r="A28" t="s">
        <v>81</v>
      </c>
      <c r="B28" t="s">
        <v>27</v>
      </c>
      <c r="C28" t="s">
        <v>53</v>
      </c>
      <c r="D28" t="s">
        <v>41</v>
      </c>
      <c r="E28" t="s">
        <v>30</v>
      </c>
      <c r="F28" t="s">
        <v>62</v>
      </c>
      <c r="G28" t="s">
        <v>51</v>
      </c>
      <c r="H28">
        <v>150000</v>
      </c>
      <c r="I28">
        <v>7</v>
      </c>
      <c r="J28" t="s">
        <v>47</v>
      </c>
      <c r="K28">
        <f t="shared" si="0"/>
        <v>120000</v>
      </c>
    </row>
    <row r="29" spans="1:11">
      <c r="A29" t="s">
        <v>82</v>
      </c>
      <c r="B29" t="s">
        <v>44</v>
      </c>
      <c r="C29" t="s">
        <v>45</v>
      </c>
      <c r="D29" t="s">
        <v>29</v>
      </c>
      <c r="E29" t="s">
        <v>30</v>
      </c>
      <c r="F29" t="s">
        <v>31</v>
      </c>
      <c r="G29" t="s">
        <v>32</v>
      </c>
      <c r="H29">
        <v>85000</v>
      </c>
      <c r="I29">
        <v>3</v>
      </c>
      <c r="J29" t="s">
        <v>58</v>
      </c>
      <c r="K29">
        <f t="shared" si="0"/>
        <v>68000</v>
      </c>
    </row>
    <row r="30" spans="1:11">
      <c r="A30" t="s">
        <v>74</v>
      </c>
      <c r="B30" t="s">
        <v>35</v>
      </c>
      <c r="C30" t="s">
        <v>28</v>
      </c>
      <c r="D30" t="s">
        <v>29</v>
      </c>
      <c r="E30" t="s">
        <v>37</v>
      </c>
      <c r="F30" t="s">
        <v>50</v>
      </c>
      <c r="G30" t="s">
        <v>51</v>
      </c>
      <c r="H30">
        <v>300000</v>
      </c>
      <c r="I30">
        <v>8</v>
      </c>
      <c r="J30" t="s">
        <v>69</v>
      </c>
      <c r="K30">
        <f t="shared" si="0"/>
        <v>240000</v>
      </c>
    </row>
    <row r="31" spans="1:11">
      <c r="A31" t="s">
        <v>80</v>
      </c>
      <c r="B31" t="s">
        <v>27</v>
      </c>
      <c r="C31" t="s">
        <v>36</v>
      </c>
      <c r="D31" t="s">
        <v>41</v>
      </c>
      <c r="E31" t="s">
        <v>30</v>
      </c>
      <c r="F31" t="s">
        <v>73</v>
      </c>
      <c r="G31" t="s">
        <v>39</v>
      </c>
      <c r="H31">
        <v>220000</v>
      </c>
      <c r="I31">
        <v>1</v>
      </c>
      <c r="J31" t="s">
        <v>42</v>
      </c>
      <c r="K31">
        <f t="shared" si="0"/>
        <v>176000</v>
      </c>
    </row>
    <row r="32" spans="1:11">
      <c r="A32" t="s">
        <v>83</v>
      </c>
      <c r="B32" t="s">
        <v>44</v>
      </c>
      <c r="C32" t="s">
        <v>53</v>
      </c>
      <c r="D32" t="s">
        <v>41</v>
      </c>
      <c r="E32" t="s">
        <v>30</v>
      </c>
      <c r="F32" t="s">
        <v>56</v>
      </c>
      <c r="G32" t="s">
        <v>32</v>
      </c>
      <c r="H32">
        <v>320000</v>
      </c>
      <c r="I32">
        <v>7</v>
      </c>
      <c r="J32" t="s">
        <v>69</v>
      </c>
      <c r="K32">
        <f t="shared" si="0"/>
        <v>256000</v>
      </c>
    </row>
    <row r="33" spans="1:11">
      <c r="A33" t="s">
        <v>84</v>
      </c>
      <c r="B33" t="s">
        <v>27</v>
      </c>
      <c r="C33" t="s">
        <v>53</v>
      </c>
      <c r="D33" t="s">
        <v>29</v>
      </c>
      <c r="E33" t="s">
        <v>37</v>
      </c>
      <c r="F33" t="s">
        <v>62</v>
      </c>
      <c r="G33" t="s">
        <v>51</v>
      </c>
      <c r="H33">
        <v>150000</v>
      </c>
      <c r="I33">
        <v>1</v>
      </c>
      <c r="J33" t="s">
        <v>33</v>
      </c>
      <c r="K33">
        <f t="shared" si="0"/>
        <v>120000</v>
      </c>
    </row>
    <row r="34" spans="1:11">
      <c r="A34" t="s">
        <v>85</v>
      </c>
      <c r="B34" t="s">
        <v>35</v>
      </c>
      <c r="C34" t="s">
        <v>45</v>
      </c>
      <c r="D34" t="s">
        <v>29</v>
      </c>
      <c r="E34" t="s">
        <v>30</v>
      </c>
      <c r="F34" t="s">
        <v>54</v>
      </c>
      <c r="G34" t="s">
        <v>39</v>
      </c>
      <c r="H34">
        <v>180000</v>
      </c>
      <c r="I34">
        <v>9</v>
      </c>
      <c r="J34" t="s">
        <v>69</v>
      </c>
      <c r="K34">
        <f t="shared" si="0"/>
        <v>144000</v>
      </c>
    </row>
    <row r="35" spans="1:11">
      <c r="A35" t="s">
        <v>55</v>
      </c>
      <c r="B35" t="s">
        <v>44</v>
      </c>
      <c r="C35" t="s">
        <v>45</v>
      </c>
      <c r="D35" t="s">
        <v>29</v>
      </c>
      <c r="E35" t="s">
        <v>30</v>
      </c>
      <c r="F35" t="s">
        <v>56</v>
      </c>
      <c r="G35" t="s">
        <v>32</v>
      </c>
      <c r="H35">
        <v>320000</v>
      </c>
      <c r="I35">
        <v>5</v>
      </c>
      <c r="J35" t="s">
        <v>69</v>
      </c>
      <c r="K35">
        <f t="shared" si="0"/>
        <v>256000</v>
      </c>
    </row>
    <row r="36" spans="1:11">
      <c r="A36" t="s">
        <v>80</v>
      </c>
      <c r="B36" t="s">
        <v>44</v>
      </c>
      <c r="C36" t="s">
        <v>45</v>
      </c>
      <c r="D36" t="s">
        <v>41</v>
      </c>
      <c r="E36" t="s">
        <v>37</v>
      </c>
      <c r="F36" t="s">
        <v>62</v>
      </c>
      <c r="G36" t="s">
        <v>51</v>
      </c>
      <c r="H36">
        <v>150000</v>
      </c>
      <c r="I36">
        <v>8</v>
      </c>
      <c r="J36" t="s">
        <v>65</v>
      </c>
      <c r="K36">
        <f t="shared" si="0"/>
        <v>120000</v>
      </c>
    </row>
    <row r="37" spans="1:11">
      <c r="A37" t="s">
        <v>86</v>
      </c>
      <c r="B37" t="s">
        <v>27</v>
      </c>
      <c r="C37" t="s">
        <v>28</v>
      </c>
      <c r="D37" t="s">
        <v>41</v>
      </c>
      <c r="E37" t="s">
        <v>37</v>
      </c>
      <c r="F37" t="s">
        <v>31</v>
      </c>
      <c r="G37" t="s">
        <v>32</v>
      </c>
      <c r="H37">
        <v>85000</v>
      </c>
      <c r="I37">
        <v>7</v>
      </c>
      <c r="J37" t="s">
        <v>42</v>
      </c>
      <c r="K37">
        <f t="shared" si="0"/>
        <v>68000</v>
      </c>
    </row>
    <row r="38" spans="1:11">
      <c r="A38" t="s">
        <v>87</v>
      </c>
      <c r="B38" t="s">
        <v>44</v>
      </c>
      <c r="C38" t="s">
        <v>53</v>
      </c>
      <c r="D38" t="s">
        <v>41</v>
      </c>
      <c r="E38" t="s">
        <v>30</v>
      </c>
      <c r="F38" t="s">
        <v>56</v>
      </c>
      <c r="G38" t="s">
        <v>32</v>
      </c>
      <c r="H38">
        <v>320000</v>
      </c>
      <c r="I38">
        <v>6</v>
      </c>
      <c r="J38" t="s">
        <v>42</v>
      </c>
      <c r="K38">
        <f t="shared" si="0"/>
        <v>256000</v>
      </c>
    </row>
    <row r="39" spans="1:11">
      <c r="A39" t="s">
        <v>88</v>
      </c>
      <c r="B39" t="s">
        <v>27</v>
      </c>
      <c r="C39" t="s">
        <v>45</v>
      </c>
      <c r="D39" t="s">
        <v>29</v>
      </c>
      <c r="E39" t="s">
        <v>37</v>
      </c>
      <c r="F39" t="s">
        <v>67</v>
      </c>
      <c r="G39" t="s">
        <v>51</v>
      </c>
      <c r="H39">
        <v>420000</v>
      </c>
      <c r="I39">
        <v>8</v>
      </c>
      <c r="J39" t="s">
        <v>65</v>
      </c>
      <c r="K39">
        <f t="shared" si="0"/>
        <v>336000</v>
      </c>
    </row>
    <row r="40" spans="1:11">
      <c r="A40" t="s">
        <v>89</v>
      </c>
      <c r="B40" t="s">
        <v>44</v>
      </c>
      <c r="C40" t="s">
        <v>28</v>
      </c>
      <c r="D40" t="s">
        <v>41</v>
      </c>
      <c r="E40" t="s">
        <v>30</v>
      </c>
      <c r="F40" t="s">
        <v>50</v>
      </c>
      <c r="G40" t="s">
        <v>51</v>
      </c>
      <c r="H40">
        <v>300000</v>
      </c>
      <c r="I40">
        <v>7</v>
      </c>
      <c r="J40" t="s">
        <v>58</v>
      </c>
      <c r="K40">
        <f t="shared" si="0"/>
        <v>240000</v>
      </c>
    </row>
    <row r="41" spans="1:11">
      <c r="A41" t="s">
        <v>90</v>
      </c>
      <c r="B41" t="s">
        <v>27</v>
      </c>
      <c r="C41" t="s">
        <v>28</v>
      </c>
      <c r="D41" t="s">
        <v>29</v>
      </c>
      <c r="E41" t="s">
        <v>30</v>
      </c>
      <c r="F41" t="s">
        <v>38</v>
      </c>
      <c r="G41" t="s">
        <v>39</v>
      </c>
      <c r="H41">
        <v>30000</v>
      </c>
      <c r="I41">
        <v>6</v>
      </c>
      <c r="J41" t="s">
        <v>42</v>
      </c>
      <c r="K41">
        <f t="shared" si="0"/>
        <v>24000</v>
      </c>
    </row>
    <row r="42" spans="1:11">
      <c r="A42" t="s">
        <v>91</v>
      </c>
      <c r="B42" t="s">
        <v>27</v>
      </c>
      <c r="C42" t="s">
        <v>28</v>
      </c>
      <c r="D42" t="s">
        <v>41</v>
      </c>
      <c r="E42" t="s">
        <v>37</v>
      </c>
      <c r="F42" t="s">
        <v>73</v>
      </c>
      <c r="G42" t="s">
        <v>39</v>
      </c>
      <c r="H42">
        <v>220000</v>
      </c>
      <c r="I42">
        <v>2</v>
      </c>
      <c r="J42" t="s">
        <v>58</v>
      </c>
      <c r="K42">
        <f t="shared" si="0"/>
        <v>176000</v>
      </c>
    </row>
    <row r="43" spans="1:11">
      <c r="A43" t="s">
        <v>61</v>
      </c>
      <c r="B43" t="s">
        <v>27</v>
      </c>
      <c r="C43" t="s">
        <v>53</v>
      </c>
      <c r="D43" t="s">
        <v>29</v>
      </c>
      <c r="E43" t="s">
        <v>30</v>
      </c>
      <c r="F43" t="s">
        <v>62</v>
      </c>
      <c r="G43" t="s">
        <v>51</v>
      </c>
      <c r="H43">
        <v>150000</v>
      </c>
      <c r="I43">
        <v>1</v>
      </c>
      <c r="J43" t="s">
        <v>42</v>
      </c>
      <c r="K43">
        <f t="shared" si="0"/>
        <v>120000</v>
      </c>
    </row>
    <row r="44" spans="1:11">
      <c r="A44" t="s">
        <v>92</v>
      </c>
      <c r="B44" t="s">
        <v>49</v>
      </c>
      <c r="C44" t="s">
        <v>36</v>
      </c>
      <c r="D44" t="s">
        <v>29</v>
      </c>
      <c r="E44" t="s">
        <v>37</v>
      </c>
      <c r="F44" t="s">
        <v>56</v>
      </c>
      <c r="G44" t="s">
        <v>32</v>
      </c>
      <c r="H44">
        <v>320000</v>
      </c>
      <c r="I44">
        <v>1</v>
      </c>
      <c r="J44" t="s">
        <v>69</v>
      </c>
      <c r="K44">
        <f t="shared" si="0"/>
        <v>256000</v>
      </c>
    </row>
    <row r="45" spans="1:11">
      <c r="A45" t="s">
        <v>93</v>
      </c>
      <c r="B45" t="s">
        <v>49</v>
      </c>
      <c r="C45" t="s">
        <v>53</v>
      </c>
      <c r="D45" t="s">
        <v>41</v>
      </c>
      <c r="E45" t="s">
        <v>37</v>
      </c>
      <c r="F45" t="s">
        <v>38</v>
      </c>
      <c r="G45" t="s">
        <v>39</v>
      </c>
      <c r="H45">
        <v>30000</v>
      </c>
      <c r="I45">
        <v>3</v>
      </c>
      <c r="J45" t="s">
        <v>42</v>
      </c>
      <c r="K45">
        <f t="shared" si="0"/>
        <v>24000</v>
      </c>
    </row>
    <row r="46" spans="1:11">
      <c r="A46" t="s">
        <v>94</v>
      </c>
      <c r="B46" t="s">
        <v>27</v>
      </c>
      <c r="C46" t="s">
        <v>28</v>
      </c>
      <c r="D46" t="s">
        <v>41</v>
      </c>
      <c r="E46" t="s">
        <v>30</v>
      </c>
      <c r="F46" t="s">
        <v>46</v>
      </c>
      <c r="G46" t="s">
        <v>39</v>
      </c>
      <c r="H46">
        <v>60000</v>
      </c>
      <c r="I46">
        <v>5</v>
      </c>
      <c r="J46" t="s">
        <v>47</v>
      </c>
      <c r="K46">
        <f t="shared" si="0"/>
        <v>48000</v>
      </c>
    </row>
    <row r="47" spans="1:11">
      <c r="A47" t="s">
        <v>81</v>
      </c>
      <c r="B47" t="s">
        <v>35</v>
      </c>
      <c r="C47" t="s">
        <v>45</v>
      </c>
      <c r="D47" t="s">
        <v>41</v>
      </c>
      <c r="E47" t="s">
        <v>30</v>
      </c>
      <c r="F47" t="s">
        <v>62</v>
      </c>
      <c r="G47" t="s">
        <v>51</v>
      </c>
      <c r="H47">
        <v>150000</v>
      </c>
      <c r="I47">
        <v>3</v>
      </c>
      <c r="J47" t="s">
        <v>47</v>
      </c>
      <c r="K47">
        <f t="shared" si="0"/>
        <v>120000</v>
      </c>
    </row>
    <row r="48" spans="1:11">
      <c r="A48" t="s">
        <v>77</v>
      </c>
      <c r="B48" t="s">
        <v>35</v>
      </c>
      <c r="C48" t="s">
        <v>36</v>
      </c>
      <c r="D48" t="s">
        <v>29</v>
      </c>
      <c r="E48" t="s">
        <v>30</v>
      </c>
      <c r="F48" t="s">
        <v>56</v>
      </c>
      <c r="G48" t="s">
        <v>32</v>
      </c>
      <c r="H48">
        <v>320000</v>
      </c>
      <c r="I48">
        <v>10</v>
      </c>
      <c r="J48" t="s">
        <v>47</v>
      </c>
      <c r="K48">
        <f t="shared" si="0"/>
        <v>256000</v>
      </c>
    </row>
    <row r="49" spans="1:11">
      <c r="A49" t="s">
        <v>95</v>
      </c>
      <c r="B49" t="s">
        <v>35</v>
      </c>
      <c r="C49" t="s">
        <v>28</v>
      </c>
      <c r="D49" t="s">
        <v>41</v>
      </c>
      <c r="E49" t="s">
        <v>30</v>
      </c>
      <c r="F49" t="s">
        <v>73</v>
      </c>
      <c r="G49" t="s">
        <v>39</v>
      </c>
      <c r="H49">
        <v>220000</v>
      </c>
      <c r="I49">
        <v>6</v>
      </c>
      <c r="J49" t="s">
        <v>33</v>
      </c>
      <c r="K49">
        <f t="shared" si="0"/>
        <v>176000</v>
      </c>
    </row>
    <row r="50" spans="1:11">
      <c r="A50" t="s">
        <v>96</v>
      </c>
      <c r="B50" t="s">
        <v>27</v>
      </c>
      <c r="C50" t="s">
        <v>53</v>
      </c>
      <c r="D50" t="s">
        <v>41</v>
      </c>
      <c r="E50" t="s">
        <v>30</v>
      </c>
      <c r="F50" t="s">
        <v>54</v>
      </c>
      <c r="G50" t="s">
        <v>39</v>
      </c>
      <c r="H50">
        <v>180000</v>
      </c>
      <c r="I50">
        <v>8</v>
      </c>
      <c r="J50" t="s">
        <v>47</v>
      </c>
      <c r="K50">
        <f t="shared" si="0"/>
        <v>144000</v>
      </c>
    </row>
    <row r="51" spans="1:11">
      <c r="A51" t="s">
        <v>97</v>
      </c>
      <c r="B51" t="s">
        <v>27</v>
      </c>
      <c r="C51" t="s">
        <v>45</v>
      </c>
      <c r="D51" t="s">
        <v>29</v>
      </c>
      <c r="E51" t="s">
        <v>37</v>
      </c>
      <c r="F51" t="s">
        <v>56</v>
      </c>
      <c r="G51" t="s">
        <v>32</v>
      </c>
      <c r="H51">
        <v>320000</v>
      </c>
      <c r="I51">
        <v>2</v>
      </c>
      <c r="J51" t="s">
        <v>42</v>
      </c>
      <c r="K51">
        <f t="shared" si="0"/>
        <v>256000</v>
      </c>
    </row>
    <row r="52" spans="1:11">
      <c r="A52" t="s">
        <v>57</v>
      </c>
      <c r="B52" t="s">
        <v>27</v>
      </c>
      <c r="C52" t="s">
        <v>36</v>
      </c>
      <c r="D52" t="s">
        <v>29</v>
      </c>
      <c r="E52" t="s">
        <v>37</v>
      </c>
      <c r="F52" t="s">
        <v>50</v>
      </c>
      <c r="G52" t="s">
        <v>51</v>
      </c>
      <c r="H52">
        <v>300000</v>
      </c>
      <c r="I52">
        <v>9</v>
      </c>
      <c r="J52" t="s">
        <v>58</v>
      </c>
      <c r="K52">
        <f t="shared" si="0"/>
        <v>240000</v>
      </c>
    </row>
    <row r="53" spans="1:11">
      <c r="A53" t="s">
        <v>98</v>
      </c>
      <c r="B53" t="s">
        <v>49</v>
      </c>
      <c r="C53" t="s">
        <v>45</v>
      </c>
      <c r="D53" t="s">
        <v>29</v>
      </c>
      <c r="E53" t="s">
        <v>37</v>
      </c>
      <c r="F53" t="s">
        <v>67</v>
      </c>
      <c r="G53" t="s">
        <v>51</v>
      </c>
      <c r="H53">
        <v>420000</v>
      </c>
      <c r="I53">
        <v>1</v>
      </c>
      <c r="J53" t="s">
        <v>58</v>
      </c>
      <c r="K53">
        <f t="shared" si="0"/>
        <v>336000</v>
      </c>
    </row>
    <row r="54" spans="1:11">
      <c r="A54" t="s">
        <v>99</v>
      </c>
      <c r="B54" t="s">
        <v>35</v>
      </c>
      <c r="C54" t="s">
        <v>45</v>
      </c>
      <c r="D54" t="s">
        <v>29</v>
      </c>
      <c r="E54" t="s">
        <v>30</v>
      </c>
      <c r="F54" t="s">
        <v>46</v>
      </c>
      <c r="G54" t="s">
        <v>39</v>
      </c>
      <c r="H54">
        <v>60000</v>
      </c>
      <c r="I54">
        <v>1</v>
      </c>
      <c r="J54" t="s">
        <v>47</v>
      </c>
      <c r="K54">
        <f t="shared" si="0"/>
        <v>48000</v>
      </c>
    </row>
    <row r="55" spans="1:11">
      <c r="A55" t="s">
        <v>55</v>
      </c>
      <c r="B55" t="s">
        <v>35</v>
      </c>
      <c r="C55" t="s">
        <v>36</v>
      </c>
      <c r="D55" t="s">
        <v>41</v>
      </c>
      <c r="E55" t="s">
        <v>37</v>
      </c>
      <c r="F55" t="s">
        <v>50</v>
      </c>
      <c r="G55" t="s">
        <v>51</v>
      </c>
      <c r="H55">
        <v>300000</v>
      </c>
      <c r="I55">
        <v>9</v>
      </c>
      <c r="J55" t="s">
        <v>58</v>
      </c>
      <c r="K55">
        <f t="shared" si="0"/>
        <v>240000</v>
      </c>
    </row>
    <row r="56" spans="1:11">
      <c r="A56" t="s">
        <v>100</v>
      </c>
      <c r="B56" t="s">
        <v>27</v>
      </c>
      <c r="C56" t="s">
        <v>45</v>
      </c>
      <c r="D56" t="s">
        <v>41</v>
      </c>
      <c r="E56" t="s">
        <v>30</v>
      </c>
      <c r="F56" t="s">
        <v>67</v>
      </c>
      <c r="G56" t="s">
        <v>51</v>
      </c>
      <c r="H56">
        <v>420000</v>
      </c>
      <c r="I56">
        <v>9</v>
      </c>
      <c r="J56" t="s">
        <v>42</v>
      </c>
      <c r="K56">
        <f t="shared" si="0"/>
        <v>336000</v>
      </c>
    </row>
    <row r="57" spans="1:11">
      <c r="A57" t="s">
        <v>85</v>
      </c>
      <c r="B57" t="s">
        <v>35</v>
      </c>
      <c r="C57" t="s">
        <v>36</v>
      </c>
      <c r="D57" t="s">
        <v>29</v>
      </c>
      <c r="E57" t="s">
        <v>30</v>
      </c>
      <c r="F57" t="s">
        <v>73</v>
      </c>
      <c r="G57" t="s">
        <v>39</v>
      </c>
      <c r="H57">
        <v>220000</v>
      </c>
      <c r="I57">
        <v>8</v>
      </c>
      <c r="J57" t="s">
        <v>65</v>
      </c>
      <c r="K57">
        <f t="shared" si="0"/>
        <v>176000</v>
      </c>
    </row>
    <row r="58" spans="1:11">
      <c r="A58" t="s">
        <v>101</v>
      </c>
      <c r="B58" t="s">
        <v>44</v>
      </c>
      <c r="C58" t="s">
        <v>28</v>
      </c>
      <c r="D58" t="s">
        <v>29</v>
      </c>
      <c r="E58" t="s">
        <v>30</v>
      </c>
      <c r="F58" t="s">
        <v>31</v>
      </c>
      <c r="G58" t="s">
        <v>32</v>
      </c>
      <c r="H58">
        <v>85000</v>
      </c>
      <c r="I58">
        <v>10</v>
      </c>
      <c r="J58" t="s">
        <v>58</v>
      </c>
      <c r="K58">
        <f t="shared" si="0"/>
        <v>68000</v>
      </c>
    </row>
    <row r="59" spans="1:11">
      <c r="A59" t="s">
        <v>86</v>
      </c>
      <c r="B59" t="s">
        <v>27</v>
      </c>
      <c r="C59" t="s">
        <v>45</v>
      </c>
      <c r="D59" t="s">
        <v>41</v>
      </c>
      <c r="E59" t="s">
        <v>30</v>
      </c>
      <c r="F59" t="s">
        <v>62</v>
      </c>
      <c r="G59" t="s">
        <v>51</v>
      </c>
      <c r="H59">
        <v>150000</v>
      </c>
      <c r="I59">
        <v>4</v>
      </c>
      <c r="J59" t="s">
        <v>33</v>
      </c>
      <c r="K59">
        <f t="shared" si="0"/>
        <v>120000</v>
      </c>
    </row>
    <row r="60" spans="1:11">
      <c r="A60" t="s">
        <v>63</v>
      </c>
      <c r="B60" t="s">
        <v>35</v>
      </c>
      <c r="C60" t="s">
        <v>36</v>
      </c>
      <c r="D60" t="s">
        <v>41</v>
      </c>
      <c r="E60" t="s">
        <v>37</v>
      </c>
      <c r="F60" t="s">
        <v>71</v>
      </c>
      <c r="G60" t="s">
        <v>51</v>
      </c>
      <c r="H60">
        <v>250000</v>
      </c>
      <c r="I60">
        <v>1</v>
      </c>
      <c r="J60" t="s">
        <v>47</v>
      </c>
      <c r="K60">
        <f t="shared" si="0"/>
        <v>200000</v>
      </c>
    </row>
    <row r="61" spans="1:11">
      <c r="A61" t="s">
        <v>102</v>
      </c>
      <c r="B61" t="s">
        <v>44</v>
      </c>
      <c r="C61" t="s">
        <v>36</v>
      </c>
      <c r="D61" t="s">
        <v>29</v>
      </c>
      <c r="E61" t="s">
        <v>30</v>
      </c>
      <c r="F61" t="s">
        <v>38</v>
      </c>
      <c r="G61" t="s">
        <v>39</v>
      </c>
      <c r="H61">
        <v>30000</v>
      </c>
      <c r="I61">
        <v>10</v>
      </c>
      <c r="J61" t="s">
        <v>47</v>
      </c>
      <c r="K61">
        <f t="shared" si="0"/>
        <v>24000</v>
      </c>
    </row>
    <row r="62" spans="1:11">
      <c r="A62" t="s">
        <v>103</v>
      </c>
      <c r="B62" t="s">
        <v>44</v>
      </c>
      <c r="C62" t="s">
        <v>36</v>
      </c>
      <c r="D62" t="s">
        <v>41</v>
      </c>
      <c r="E62" t="s">
        <v>30</v>
      </c>
      <c r="F62" t="s">
        <v>67</v>
      </c>
      <c r="G62" t="s">
        <v>51</v>
      </c>
      <c r="H62">
        <v>420000</v>
      </c>
      <c r="I62">
        <v>4</v>
      </c>
      <c r="J62" t="s">
        <v>42</v>
      </c>
      <c r="K62">
        <f t="shared" si="0"/>
        <v>336000</v>
      </c>
    </row>
    <row r="63" spans="1:11">
      <c r="A63" t="s">
        <v>104</v>
      </c>
      <c r="B63" t="s">
        <v>35</v>
      </c>
      <c r="C63" t="s">
        <v>36</v>
      </c>
      <c r="D63" t="s">
        <v>29</v>
      </c>
      <c r="E63" t="s">
        <v>37</v>
      </c>
      <c r="F63" t="s">
        <v>31</v>
      </c>
      <c r="G63" t="s">
        <v>32</v>
      </c>
      <c r="H63">
        <v>85000</v>
      </c>
      <c r="I63">
        <v>2</v>
      </c>
      <c r="J63" t="s">
        <v>58</v>
      </c>
      <c r="K63">
        <f t="shared" si="0"/>
        <v>68000</v>
      </c>
    </row>
    <row r="64" spans="1:11">
      <c r="A64" t="s">
        <v>105</v>
      </c>
      <c r="B64" t="s">
        <v>35</v>
      </c>
      <c r="C64" t="s">
        <v>36</v>
      </c>
      <c r="D64" t="s">
        <v>29</v>
      </c>
      <c r="E64" t="s">
        <v>30</v>
      </c>
      <c r="F64" t="s">
        <v>73</v>
      </c>
      <c r="G64" t="s">
        <v>39</v>
      </c>
      <c r="H64">
        <v>220000</v>
      </c>
      <c r="I64">
        <v>1</v>
      </c>
      <c r="J64" t="s">
        <v>47</v>
      </c>
      <c r="K64">
        <f t="shared" si="0"/>
        <v>176000</v>
      </c>
    </row>
    <row r="65" spans="1:11">
      <c r="A65" t="s">
        <v>83</v>
      </c>
      <c r="B65" t="s">
        <v>27</v>
      </c>
      <c r="C65" t="s">
        <v>28</v>
      </c>
      <c r="D65" t="s">
        <v>29</v>
      </c>
      <c r="E65" t="s">
        <v>37</v>
      </c>
      <c r="F65" t="s">
        <v>54</v>
      </c>
      <c r="G65" t="s">
        <v>39</v>
      </c>
      <c r="H65">
        <v>180000</v>
      </c>
      <c r="I65">
        <v>9</v>
      </c>
      <c r="J65" t="s">
        <v>69</v>
      </c>
      <c r="K65">
        <f t="shared" si="0"/>
        <v>144000</v>
      </c>
    </row>
    <row r="66" spans="1:11">
      <c r="A66" t="s">
        <v>78</v>
      </c>
      <c r="B66" t="s">
        <v>27</v>
      </c>
      <c r="C66" t="s">
        <v>45</v>
      </c>
      <c r="D66" t="s">
        <v>29</v>
      </c>
      <c r="E66" t="s">
        <v>37</v>
      </c>
      <c r="F66" t="s">
        <v>71</v>
      </c>
      <c r="G66" t="s">
        <v>51</v>
      </c>
      <c r="H66">
        <v>250000</v>
      </c>
      <c r="I66">
        <v>6</v>
      </c>
      <c r="J66" t="s">
        <v>33</v>
      </c>
      <c r="K66">
        <f t="shared" ref="K66:K129" si="1">H66-H66*0.2</f>
        <v>200000</v>
      </c>
    </row>
    <row r="67" spans="1:11">
      <c r="A67" t="s">
        <v>106</v>
      </c>
      <c r="B67" t="s">
        <v>27</v>
      </c>
      <c r="C67" t="s">
        <v>28</v>
      </c>
      <c r="D67" t="s">
        <v>29</v>
      </c>
      <c r="E67" t="s">
        <v>37</v>
      </c>
      <c r="F67" t="s">
        <v>54</v>
      </c>
      <c r="G67" t="s">
        <v>39</v>
      </c>
      <c r="H67">
        <v>180000</v>
      </c>
      <c r="I67">
        <v>3</v>
      </c>
      <c r="J67" t="s">
        <v>69</v>
      </c>
      <c r="K67">
        <f t="shared" si="1"/>
        <v>144000</v>
      </c>
    </row>
    <row r="68" spans="1:11">
      <c r="A68" t="s">
        <v>107</v>
      </c>
      <c r="B68" t="s">
        <v>44</v>
      </c>
      <c r="C68" t="s">
        <v>28</v>
      </c>
      <c r="D68" t="s">
        <v>41</v>
      </c>
      <c r="E68" t="s">
        <v>30</v>
      </c>
      <c r="F68" t="s">
        <v>46</v>
      </c>
      <c r="G68" t="s">
        <v>39</v>
      </c>
      <c r="H68">
        <v>60000</v>
      </c>
      <c r="I68">
        <v>8</v>
      </c>
      <c r="J68" t="s">
        <v>58</v>
      </c>
      <c r="K68">
        <f t="shared" si="1"/>
        <v>48000</v>
      </c>
    </row>
    <row r="69" spans="1:11">
      <c r="A69" t="s">
        <v>108</v>
      </c>
      <c r="B69" t="s">
        <v>49</v>
      </c>
      <c r="C69" t="s">
        <v>28</v>
      </c>
      <c r="D69" t="s">
        <v>29</v>
      </c>
      <c r="E69" t="s">
        <v>30</v>
      </c>
      <c r="F69" t="s">
        <v>46</v>
      </c>
      <c r="G69" t="s">
        <v>39</v>
      </c>
      <c r="H69">
        <v>60000</v>
      </c>
      <c r="I69">
        <v>3</v>
      </c>
      <c r="J69" t="s">
        <v>33</v>
      </c>
      <c r="K69">
        <f t="shared" si="1"/>
        <v>48000</v>
      </c>
    </row>
    <row r="70" spans="1:11">
      <c r="A70" t="s">
        <v>109</v>
      </c>
      <c r="B70" t="s">
        <v>27</v>
      </c>
      <c r="C70" t="s">
        <v>45</v>
      </c>
      <c r="D70" t="s">
        <v>41</v>
      </c>
      <c r="E70" t="s">
        <v>30</v>
      </c>
      <c r="F70" t="s">
        <v>38</v>
      </c>
      <c r="G70" t="s">
        <v>39</v>
      </c>
      <c r="H70">
        <v>30000</v>
      </c>
      <c r="I70">
        <v>8</v>
      </c>
      <c r="J70" t="s">
        <v>47</v>
      </c>
      <c r="K70">
        <f t="shared" si="1"/>
        <v>24000</v>
      </c>
    </row>
    <row r="71" spans="1:11">
      <c r="A71" t="s">
        <v>110</v>
      </c>
      <c r="B71" t="s">
        <v>44</v>
      </c>
      <c r="C71" t="s">
        <v>36</v>
      </c>
      <c r="D71" t="s">
        <v>29</v>
      </c>
      <c r="E71" t="s">
        <v>37</v>
      </c>
      <c r="F71" t="s">
        <v>46</v>
      </c>
      <c r="G71" t="s">
        <v>39</v>
      </c>
      <c r="H71">
        <v>60000</v>
      </c>
      <c r="I71">
        <v>4</v>
      </c>
      <c r="J71" t="s">
        <v>69</v>
      </c>
      <c r="K71">
        <f t="shared" si="1"/>
        <v>48000</v>
      </c>
    </row>
    <row r="72" spans="1:11">
      <c r="A72" t="s">
        <v>111</v>
      </c>
      <c r="B72" t="s">
        <v>44</v>
      </c>
      <c r="C72" t="s">
        <v>28</v>
      </c>
      <c r="D72" t="s">
        <v>41</v>
      </c>
      <c r="E72" t="s">
        <v>37</v>
      </c>
      <c r="F72" t="s">
        <v>38</v>
      </c>
      <c r="G72" t="s">
        <v>39</v>
      </c>
      <c r="H72">
        <v>30000</v>
      </c>
      <c r="I72">
        <v>3</v>
      </c>
      <c r="J72" t="s">
        <v>42</v>
      </c>
      <c r="K72">
        <f t="shared" si="1"/>
        <v>24000</v>
      </c>
    </row>
    <row r="73" spans="1:11">
      <c r="A73" t="s">
        <v>112</v>
      </c>
      <c r="B73" t="s">
        <v>35</v>
      </c>
      <c r="C73" t="s">
        <v>45</v>
      </c>
      <c r="D73" t="s">
        <v>29</v>
      </c>
      <c r="E73" t="s">
        <v>30</v>
      </c>
      <c r="F73" t="s">
        <v>54</v>
      </c>
      <c r="G73" t="s">
        <v>39</v>
      </c>
      <c r="H73">
        <v>180000</v>
      </c>
      <c r="I73">
        <v>5</v>
      </c>
      <c r="J73" t="s">
        <v>47</v>
      </c>
      <c r="K73">
        <f t="shared" si="1"/>
        <v>144000</v>
      </c>
    </row>
    <row r="74" spans="1:11">
      <c r="A74" t="s">
        <v>113</v>
      </c>
      <c r="B74" t="s">
        <v>49</v>
      </c>
      <c r="C74" t="s">
        <v>28</v>
      </c>
      <c r="D74" t="s">
        <v>29</v>
      </c>
      <c r="E74" t="s">
        <v>37</v>
      </c>
      <c r="F74" t="s">
        <v>73</v>
      </c>
      <c r="G74" t="s">
        <v>39</v>
      </c>
      <c r="H74">
        <v>220000</v>
      </c>
      <c r="I74">
        <v>3</v>
      </c>
      <c r="J74" t="s">
        <v>69</v>
      </c>
      <c r="K74">
        <f t="shared" si="1"/>
        <v>176000</v>
      </c>
    </row>
    <row r="75" spans="1:11">
      <c r="A75" t="s">
        <v>113</v>
      </c>
      <c r="B75" t="s">
        <v>27</v>
      </c>
      <c r="C75" t="s">
        <v>36</v>
      </c>
      <c r="D75" t="s">
        <v>29</v>
      </c>
      <c r="E75" t="s">
        <v>30</v>
      </c>
      <c r="F75" t="s">
        <v>46</v>
      </c>
      <c r="G75" t="s">
        <v>39</v>
      </c>
      <c r="H75">
        <v>60000</v>
      </c>
      <c r="I75">
        <v>4</v>
      </c>
      <c r="J75" t="s">
        <v>65</v>
      </c>
      <c r="K75">
        <f t="shared" si="1"/>
        <v>48000</v>
      </c>
    </row>
    <row r="76" spans="1:11">
      <c r="A76" t="s">
        <v>114</v>
      </c>
      <c r="B76" t="s">
        <v>49</v>
      </c>
      <c r="C76" t="s">
        <v>28</v>
      </c>
      <c r="D76" t="s">
        <v>41</v>
      </c>
      <c r="E76" t="s">
        <v>30</v>
      </c>
      <c r="F76" t="s">
        <v>31</v>
      </c>
      <c r="G76" t="s">
        <v>32</v>
      </c>
      <c r="H76">
        <v>85000</v>
      </c>
      <c r="I76">
        <v>1</v>
      </c>
      <c r="J76" t="s">
        <v>65</v>
      </c>
      <c r="K76">
        <f t="shared" si="1"/>
        <v>68000</v>
      </c>
    </row>
    <row r="77" spans="1:11">
      <c r="A77" t="s">
        <v>111</v>
      </c>
      <c r="B77" t="s">
        <v>35</v>
      </c>
      <c r="C77" t="s">
        <v>28</v>
      </c>
      <c r="D77" t="s">
        <v>29</v>
      </c>
      <c r="E77" t="s">
        <v>30</v>
      </c>
      <c r="F77" t="s">
        <v>38</v>
      </c>
      <c r="G77" t="s">
        <v>39</v>
      </c>
      <c r="H77">
        <v>30000</v>
      </c>
      <c r="I77">
        <v>5</v>
      </c>
      <c r="J77" t="s">
        <v>42</v>
      </c>
      <c r="K77">
        <f t="shared" si="1"/>
        <v>24000</v>
      </c>
    </row>
    <row r="78" spans="1:11">
      <c r="A78" t="s">
        <v>90</v>
      </c>
      <c r="B78" t="s">
        <v>35</v>
      </c>
      <c r="C78" t="s">
        <v>53</v>
      </c>
      <c r="D78" t="s">
        <v>29</v>
      </c>
      <c r="E78" t="s">
        <v>37</v>
      </c>
      <c r="F78" t="s">
        <v>46</v>
      </c>
      <c r="G78" t="s">
        <v>39</v>
      </c>
      <c r="H78">
        <v>60000</v>
      </c>
      <c r="I78">
        <v>3</v>
      </c>
      <c r="J78" t="s">
        <v>65</v>
      </c>
      <c r="K78">
        <f t="shared" si="1"/>
        <v>48000</v>
      </c>
    </row>
    <row r="79" spans="1:11">
      <c r="A79" t="s">
        <v>88</v>
      </c>
      <c r="B79" t="s">
        <v>27</v>
      </c>
      <c r="C79" t="s">
        <v>53</v>
      </c>
      <c r="D79" t="s">
        <v>29</v>
      </c>
      <c r="E79" t="s">
        <v>30</v>
      </c>
      <c r="F79" t="s">
        <v>46</v>
      </c>
      <c r="G79" t="s">
        <v>39</v>
      </c>
      <c r="H79">
        <v>60000</v>
      </c>
      <c r="I79">
        <v>6</v>
      </c>
      <c r="J79" t="s">
        <v>33</v>
      </c>
      <c r="K79">
        <f t="shared" si="1"/>
        <v>48000</v>
      </c>
    </row>
    <row r="80" spans="1:11">
      <c r="A80" t="s">
        <v>83</v>
      </c>
      <c r="B80" t="s">
        <v>44</v>
      </c>
      <c r="C80" t="s">
        <v>45</v>
      </c>
      <c r="D80" t="s">
        <v>41</v>
      </c>
      <c r="E80" t="s">
        <v>30</v>
      </c>
      <c r="F80" t="s">
        <v>50</v>
      </c>
      <c r="G80" t="s">
        <v>51</v>
      </c>
      <c r="H80">
        <v>300000</v>
      </c>
      <c r="I80">
        <v>2</v>
      </c>
      <c r="J80" t="s">
        <v>33</v>
      </c>
      <c r="K80">
        <f t="shared" si="1"/>
        <v>240000</v>
      </c>
    </row>
    <row r="81" spans="1:11">
      <c r="A81" t="s">
        <v>115</v>
      </c>
      <c r="B81" t="s">
        <v>27</v>
      </c>
      <c r="C81" t="s">
        <v>45</v>
      </c>
      <c r="D81" t="s">
        <v>29</v>
      </c>
      <c r="E81" t="s">
        <v>30</v>
      </c>
      <c r="F81" t="s">
        <v>62</v>
      </c>
      <c r="G81" t="s">
        <v>51</v>
      </c>
      <c r="H81">
        <v>150000</v>
      </c>
      <c r="I81">
        <v>7</v>
      </c>
      <c r="J81" t="s">
        <v>42</v>
      </c>
      <c r="K81">
        <f t="shared" si="1"/>
        <v>120000</v>
      </c>
    </row>
    <row r="82" spans="1:11">
      <c r="A82" t="s">
        <v>116</v>
      </c>
      <c r="B82" t="s">
        <v>49</v>
      </c>
      <c r="C82" t="s">
        <v>45</v>
      </c>
      <c r="D82" t="s">
        <v>41</v>
      </c>
      <c r="E82" t="s">
        <v>37</v>
      </c>
      <c r="F82" t="s">
        <v>73</v>
      </c>
      <c r="G82" t="s">
        <v>39</v>
      </c>
      <c r="H82">
        <v>220000</v>
      </c>
      <c r="I82">
        <v>3</v>
      </c>
      <c r="J82" t="s">
        <v>47</v>
      </c>
      <c r="K82">
        <f t="shared" si="1"/>
        <v>176000</v>
      </c>
    </row>
    <row r="83" spans="1:11">
      <c r="A83" t="s">
        <v>100</v>
      </c>
      <c r="B83" t="s">
        <v>27</v>
      </c>
      <c r="C83" t="s">
        <v>45</v>
      </c>
      <c r="D83" t="s">
        <v>29</v>
      </c>
      <c r="E83" t="s">
        <v>37</v>
      </c>
      <c r="F83" t="s">
        <v>46</v>
      </c>
      <c r="G83" t="s">
        <v>39</v>
      </c>
      <c r="H83">
        <v>60000</v>
      </c>
      <c r="I83">
        <v>9</v>
      </c>
      <c r="J83" t="s">
        <v>58</v>
      </c>
      <c r="K83">
        <f t="shared" si="1"/>
        <v>48000</v>
      </c>
    </row>
    <row r="84" spans="1:11">
      <c r="A84" t="s">
        <v>79</v>
      </c>
      <c r="B84" t="s">
        <v>27</v>
      </c>
      <c r="C84" t="s">
        <v>36</v>
      </c>
      <c r="D84" t="s">
        <v>41</v>
      </c>
      <c r="E84" t="s">
        <v>37</v>
      </c>
      <c r="F84" t="s">
        <v>56</v>
      </c>
      <c r="G84" t="s">
        <v>32</v>
      </c>
      <c r="H84">
        <v>320000</v>
      </c>
      <c r="I84">
        <v>2</v>
      </c>
      <c r="J84" t="s">
        <v>47</v>
      </c>
      <c r="K84">
        <f t="shared" si="1"/>
        <v>256000</v>
      </c>
    </row>
    <row r="85" spans="1:11">
      <c r="A85" t="s">
        <v>80</v>
      </c>
      <c r="B85" t="s">
        <v>27</v>
      </c>
      <c r="C85" t="s">
        <v>45</v>
      </c>
      <c r="D85" t="s">
        <v>41</v>
      </c>
      <c r="E85" t="s">
        <v>30</v>
      </c>
      <c r="F85" t="s">
        <v>73</v>
      </c>
      <c r="G85" t="s">
        <v>39</v>
      </c>
      <c r="H85">
        <v>220000</v>
      </c>
      <c r="I85">
        <v>5</v>
      </c>
      <c r="J85" t="s">
        <v>33</v>
      </c>
      <c r="K85">
        <f t="shared" si="1"/>
        <v>176000</v>
      </c>
    </row>
    <row r="86" spans="1:11">
      <c r="A86" t="s">
        <v>115</v>
      </c>
      <c r="B86" t="s">
        <v>27</v>
      </c>
      <c r="C86" t="s">
        <v>28</v>
      </c>
      <c r="D86" t="s">
        <v>41</v>
      </c>
      <c r="E86" t="s">
        <v>30</v>
      </c>
      <c r="F86" t="s">
        <v>62</v>
      </c>
      <c r="G86" t="s">
        <v>51</v>
      </c>
      <c r="H86">
        <v>150000</v>
      </c>
      <c r="I86">
        <v>1</v>
      </c>
      <c r="J86" t="s">
        <v>69</v>
      </c>
      <c r="K86">
        <f t="shared" si="1"/>
        <v>120000</v>
      </c>
    </row>
    <row r="87" spans="1:11">
      <c r="A87" t="s">
        <v>86</v>
      </c>
      <c r="B87" t="s">
        <v>44</v>
      </c>
      <c r="C87" t="s">
        <v>36</v>
      </c>
      <c r="D87" t="s">
        <v>29</v>
      </c>
      <c r="E87" t="s">
        <v>37</v>
      </c>
      <c r="F87" t="s">
        <v>50</v>
      </c>
      <c r="G87" t="s">
        <v>51</v>
      </c>
      <c r="H87">
        <v>300000</v>
      </c>
      <c r="I87">
        <v>8</v>
      </c>
      <c r="J87" t="s">
        <v>33</v>
      </c>
      <c r="K87">
        <f t="shared" si="1"/>
        <v>240000</v>
      </c>
    </row>
    <row r="88" spans="1:11">
      <c r="A88" t="s">
        <v>85</v>
      </c>
      <c r="B88" t="s">
        <v>35</v>
      </c>
      <c r="C88" t="s">
        <v>53</v>
      </c>
      <c r="D88" t="s">
        <v>29</v>
      </c>
      <c r="E88" t="s">
        <v>30</v>
      </c>
      <c r="F88" t="s">
        <v>73</v>
      </c>
      <c r="G88" t="s">
        <v>39</v>
      </c>
      <c r="H88">
        <v>220000</v>
      </c>
      <c r="I88">
        <v>3</v>
      </c>
      <c r="J88" t="s">
        <v>65</v>
      </c>
      <c r="K88">
        <f t="shared" si="1"/>
        <v>176000</v>
      </c>
    </row>
    <row r="89" spans="1:11">
      <c r="A89" t="s">
        <v>117</v>
      </c>
      <c r="B89" t="s">
        <v>27</v>
      </c>
      <c r="C89" t="s">
        <v>28</v>
      </c>
      <c r="D89" t="s">
        <v>29</v>
      </c>
      <c r="E89" t="s">
        <v>30</v>
      </c>
      <c r="F89" t="s">
        <v>71</v>
      </c>
      <c r="G89" t="s">
        <v>51</v>
      </c>
      <c r="H89">
        <v>250000</v>
      </c>
      <c r="I89">
        <v>8</v>
      </c>
      <c r="J89" t="s">
        <v>33</v>
      </c>
      <c r="K89">
        <f t="shared" si="1"/>
        <v>200000</v>
      </c>
    </row>
    <row r="90" spans="1:11">
      <c r="A90" t="s">
        <v>116</v>
      </c>
      <c r="B90" t="s">
        <v>44</v>
      </c>
      <c r="C90" t="s">
        <v>36</v>
      </c>
      <c r="D90" t="s">
        <v>41</v>
      </c>
      <c r="E90" t="s">
        <v>30</v>
      </c>
      <c r="F90" t="s">
        <v>50</v>
      </c>
      <c r="G90" t="s">
        <v>51</v>
      </c>
      <c r="H90">
        <v>300000</v>
      </c>
      <c r="I90">
        <v>4</v>
      </c>
      <c r="J90" t="s">
        <v>47</v>
      </c>
      <c r="K90">
        <f t="shared" si="1"/>
        <v>240000</v>
      </c>
    </row>
    <row r="91" spans="1:11">
      <c r="A91" t="s">
        <v>76</v>
      </c>
      <c r="B91" t="s">
        <v>44</v>
      </c>
      <c r="C91" t="s">
        <v>45</v>
      </c>
      <c r="D91" t="s">
        <v>41</v>
      </c>
      <c r="E91" t="s">
        <v>37</v>
      </c>
      <c r="F91" t="s">
        <v>50</v>
      </c>
      <c r="G91" t="s">
        <v>51</v>
      </c>
      <c r="H91">
        <v>300000</v>
      </c>
      <c r="I91">
        <v>1</v>
      </c>
      <c r="J91" t="s">
        <v>47</v>
      </c>
      <c r="K91">
        <f t="shared" si="1"/>
        <v>240000</v>
      </c>
    </row>
    <row r="92" spans="1:11">
      <c r="A92" t="s">
        <v>48</v>
      </c>
      <c r="B92" t="s">
        <v>35</v>
      </c>
      <c r="C92" t="s">
        <v>53</v>
      </c>
      <c r="D92" t="s">
        <v>29</v>
      </c>
      <c r="E92" t="s">
        <v>30</v>
      </c>
      <c r="F92" t="s">
        <v>71</v>
      </c>
      <c r="G92" t="s">
        <v>51</v>
      </c>
      <c r="H92">
        <v>250000</v>
      </c>
      <c r="I92">
        <v>8</v>
      </c>
      <c r="J92" t="s">
        <v>47</v>
      </c>
      <c r="K92">
        <f t="shared" si="1"/>
        <v>200000</v>
      </c>
    </row>
    <row r="93" spans="1:11">
      <c r="A93" t="s">
        <v>118</v>
      </c>
      <c r="B93" t="s">
        <v>27</v>
      </c>
      <c r="C93" t="s">
        <v>53</v>
      </c>
      <c r="D93" t="s">
        <v>41</v>
      </c>
      <c r="E93" t="s">
        <v>37</v>
      </c>
      <c r="F93" t="s">
        <v>54</v>
      </c>
      <c r="G93" t="s">
        <v>39</v>
      </c>
      <c r="H93">
        <v>180000</v>
      </c>
      <c r="I93">
        <v>2</v>
      </c>
      <c r="J93" t="s">
        <v>65</v>
      </c>
      <c r="K93">
        <f t="shared" si="1"/>
        <v>144000</v>
      </c>
    </row>
    <row r="94" spans="1:11">
      <c r="A94" t="s">
        <v>88</v>
      </c>
      <c r="B94" t="s">
        <v>27</v>
      </c>
      <c r="C94" t="s">
        <v>53</v>
      </c>
      <c r="D94" t="s">
        <v>29</v>
      </c>
      <c r="E94" t="s">
        <v>37</v>
      </c>
      <c r="F94" t="s">
        <v>54</v>
      </c>
      <c r="G94" t="s">
        <v>39</v>
      </c>
      <c r="H94">
        <v>180000</v>
      </c>
      <c r="I94">
        <v>6</v>
      </c>
      <c r="J94" t="s">
        <v>47</v>
      </c>
      <c r="K94">
        <f t="shared" si="1"/>
        <v>144000</v>
      </c>
    </row>
    <row r="95" spans="1:11">
      <c r="A95" t="s">
        <v>119</v>
      </c>
      <c r="B95" t="s">
        <v>49</v>
      </c>
      <c r="C95" t="s">
        <v>36</v>
      </c>
      <c r="D95" t="s">
        <v>41</v>
      </c>
      <c r="E95" t="s">
        <v>30</v>
      </c>
      <c r="F95" t="s">
        <v>50</v>
      </c>
      <c r="G95" t="s">
        <v>51</v>
      </c>
      <c r="H95">
        <v>300000</v>
      </c>
      <c r="I95">
        <v>2</v>
      </c>
      <c r="J95" t="s">
        <v>47</v>
      </c>
      <c r="K95">
        <f t="shared" si="1"/>
        <v>240000</v>
      </c>
    </row>
    <row r="96" spans="1:11">
      <c r="A96" t="s">
        <v>34</v>
      </c>
      <c r="B96" t="s">
        <v>35</v>
      </c>
      <c r="C96" t="s">
        <v>28</v>
      </c>
      <c r="D96" t="s">
        <v>41</v>
      </c>
      <c r="E96" t="s">
        <v>37</v>
      </c>
      <c r="F96" t="s">
        <v>62</v>
      </c>
      <c r="G96" t="s">
        <v>51</v>
      </c>
      <c r="H96">
        <v>150000</v>
      </c>
      <c r="I96">
        <v>6</v>
      </c>
      <c r="J96" t="s">
        <v>33</v>
      </c>
      <c r="K96">
        <f t="shared" si="1"/>
        <v>120000</v>
      </c>
    </row>
    <row r="97" spans="1:11">
      <c r="A97" t="s">
        <v>120</v>
      </c>
      <c r="B97" t="s">
        <v>44</v>
      </c>
      <c r="C97" t="s">
        <v>36</v>
      </c>
      <c r="D97" t="s">
        <v>41</v>
      </c>
      <c r="E97" t="s">
        <v>37</v>
      </c>
      <c r="F97" t="s">
        <v>67</v>
      </c>
      <c r="G97" t="s">
        <v>51</v>
      </c>
      <c r="H97">
        <v>420000</v>
      </c>
      <c r="I97">
        <v>10</v>
      </c>
      <c r="J97" t="s">
        <v>33</v>
      </c>
      <c r="K97">
        <f t="shared" si="1"/>
        <v>336000</v>
      </c>
    </row>
    <row r="98" spans="1:11">
      <c r="A98" t="s">
        <v>121</v>
      </c>
      <c r="B98" t="s">
        <v>35</v>
      </c>
      <c r="C98" t="s">
        <v>45</v>
      </c>
      <c r="D98" t="s">
        <v>29</v>
      </c>
      <c r="E98" t="s">
        <v>30</v>
      </c>
      <c r="F98" t="s">
        <v>67</v>
      </c>
      <c r="G98" t="s">
        <v>51</v>
      </c>
      <c r="H98">
        <v>420000</v>
      </c>
      <c r="I98">
        <v>8</v>
      </c>
      <c r="J98" t="s">
        <v>47</v>
      </c>
      <c r="K98">
        <f t="shared" si="1"/>
        <v>336000</v>
      </c>
    </row>
    <row r="99" spans="1:11">
      <c r="A99" t="s">
        <v>63</v>
      </c>
      <c r="B99" t="s">
        <v>44</v>
      </c>
      <c r="C99" t="s">
        <v>36</v>
      </c>
      <c r="D99" t="s">
        <v>29</v>
      </c>
      <c r="E99" t="s">
        <v>37</v>
      </c>
      <c r="F99" t="s">
        <v>54</v>
      </c>
      <c r="G99" t="s">
        <v>39</v>
      </c>
      <c r="H99">
        <v>180000</v>
      </c>
      <c r="I99">
        <v>8</v>
      </c>
      <c r="J99" t="s">
        <v>33</v>
      </c>
      <c r="K99">
        <f t="shared" si="1"/>
        <v>144000</v>
      </c>
    </row>
    <row r="100" spans="1:11">
      <c r="A100" t="s">
        <v>94</v>
      </c>
      <c r="B100" t="s">
        <v>44</v>
      </c>
      <c r="C100" t="s">
        <v>45</v>
      </c>
      <c r="D100" t="s">
        <v>29</v>
      </c>
      <c r="E100" t="s">
        <v>37</v>
      </c>
      <c r="F100" t="s">
        <v>50</v>
      </c>
      <c r="G100" t="s">
        <v>51</v>
      </c>
      <c r="H100">
        <v>300000</v>
      </c>
      <c r="I100">
        <v>4</v>
      </c>
      <c r="J100" t="s">
        <v>65</v>
      </c>
      <c r="K100">
        <f t="shared" si="1"/>
        <v>240000</v>
      </c>
    </row>
    <row r="101" spans="1:11">
      <c r="A101" t="s">
        <v>117</v>
      </c>
      <c r="B101" t="s">
        <v>44</v>
      </c>
      <c r="C101" t="s">
        <v>45</v>
      </c>
      <c r="D101" t="s">
        <v>29</v>
      </c>
      <c r="E101" t="s">
        <v>37</v>
      </c>
      <c r="F101" t="s">
        <v>67</v>
      </c>
      <c r="G101" t="s">
        <v>51</v>
      </c>
      <c r="H101">
        <v>420000</v>
      </c>
      <c r="I101">
        <v>1</v>
      </c>
      <c r="J101" t="s">
        <v>58</v>
      </c>
      <c r="K101">
        <f t="shared" si="1"/>
        <v>336000</v>
      </c>
    </row>
    <row r="102" spans="1:11">
      <c r="A102" t="s">
        <v>122</v>
      </c>
      <c r="B102" t="s">
        <v>27</v>
      </c>
      <c r="C102" t="s">
        <v>45</v>
      </c>
      <c r="D102" t="s">
        <v>41</v>
      </c>
      <c r="E102" t="s">
        <v>30</v>
      </c>
      <c r="F102" t="s">
        <v>38</v>
      </c>
      <c r="G102" t="s">
        <v>39</v>
      </c>
      <c r="H102">
        <v>30000</v>
      </c>
      <c r="I102">
        <v>7</v>
      </c>
      <c r="J102" t="s">
        <v>47</v>
      </c>
      <c r="K102">
        <f t="shared" si="1"/>
        <v>24000</v>
      </c>
    </row>
    <row r="103" spans="1:11">
      <c r="A103" t="s">
        <v>79</v>
      </c>
      <c r="B103" t="s">
        <v>44</v>
      </c>
      <c r="C103" t="s">
        <v>28</v>
      </c>
      <c r="D103" t="s">
        <v>29</v>
      </c>
      <c r="E103" t="s">
        <v>30</v>
      </c>
      <c r="F103" t="s">
        <v>67</v>
      </c>
      <c r="G103" t="s">
        <v>51</v>
      </c>
      <c r="H103">
        <v>420000</v>
      </c>
      <c r="I103">
        <v>3</v>
      </c>
      <c r="J103" t="s">
        <v>47</v>
      </c>
      <c r="K103">
        <f t="shared" si="1"/>
        <v>336000</v>
      </c>
    </row>
    <row r="104" spans="1:11">
      <c r="A104" t="s">
        <v>123</v>
      </c>
      <c r="B104" t="s">
        <v>44</v>
      </c>
      <c r="C104" t="s">
        <v>28</v>
      </c>
      <c r="D104" t="s">
        <v>29</v>
      </c>
      <c r="E104" t="s">
        <v>37</v>
      </c>
      <c r="F104" t="s">
        <v>46</v>
      </c>
      <c r="G104" t="s">
        <v>39</v>
      </c>
      <c r="H104">
        <v>60000</v>
      </c>
      <c r="I104">
        <v>5</v>
      </c>
      <c r="J104" t="s">
        <v>69</v>
      </c>
      <c r="K104">
        <f t="shared" si="1"/>
        <v>48000</v>
      </c>
    </row>
    <row r="105" spans="1:11">
      <c r="A105" t="s">
        <v>113</v>
      </c>
      <c r="B105" t="s">
        <v>27</v>
      </c>
      <c r="C105" t="s">
        <v>53</v>
      </c>
      <c r="D105" t="s">
        <v>41</v>
      </c>
      <c r="E105" t="s">
        <v>30</v>
      </c>
      <c r="F105" t="s">
        <v>50</v>
      </c>
      <c r="G105" t="s">
        <v>51</v>
      </c>
      <c r="H105">
        <v>300000</v>
      </c>
      <c r="I105">
        <v>9</v>
      </c>
      <c r="J105" t="s">
        <v>69</v>
      </c>
      <c r="K105">
        <f t="shared" si="1"/>
        <v>240000</v>
      </c>
    </row>
    <row r="106" spans="1:11">
      <c r="A106" t="s">
        <v>64</v>
      </c>
      <c r="B106" t="s">
        <v>35</v>
      </c>
      <c r="C106" t="s">
        <v>45</v>
      </c>
      <c r="D106" t="s">
        <v>29</v>
      </c>
      <c r="E106" t="s">
        <v>37</v>
      </c>
      <c r="F106" t="s">
        <v>56</v>
      </c>
      <c r="G106" t="s">
        <v>32</v>
      </c>
      <c r="H106">
        <v>320000</v>
      </c>
      <c r="I106">
        <v>4</v>
      </c>
      <c r="J106" t="s">
        <v>58</v>
      </c>
      <c r="K106">
        <f t="shared" si="1"/>
        <v>256000</v>
      </c>
    </row>
    <row r="107" spans="1:11">
      <c r="A107" t="s">
        <v>92</v>
      </c>
      <c r="B107" t="s">
        <v>49</v>
      </c>
      <c r="C107" t="s">
        <v>36</v>
      </c>
      <c r="D107" t="s">
        <v>29</v>
      </c>
      <c r="E107" t="s">
        <v>37</v>
      </c>
      <c r="F107" t="s">
        <v>54</v>
      </c>
      <c r="G107" t="s">
        <v>39</v>
      </c>
      <c r="H107">
        <v>180000</v>
      </c>
      <c r="I107">
        <v>2</v>
      </c>
      <c r="J107" t="s">
        <v>69</v>
      </c>
      <c r="K107">
        <f t="shared" si="1"/>
        <v>144000</v>
      </c>
    </row>
    <row r="108" spans="1:11">
      <c r="A108" t="s">
        <v>124</v>
      </c>
      <c r="B108" t="s">
        <v>35</v>
      </c>
      <c r="C108" t="s">
        <v>36</v>
      </c>
      <c r="D108" t="s">
        <v>29</v>
      </c>
      <c r="E108" t="s">
        <v>30</v>
      </c>
      <c r="F108" t="s">
        <v>31</v>
      </c>
      <c r="G108" t="s">
        <v>32</v>
      </c>
      <c r="H108">
        <v>85000</v>
      </c>
      <c r="I108">
        <v>1</v>
      </c>
      <c r="J108" t="s">
        <v>58</v>
      </c>
      <c r="K108">
        <f t="shared" si="1"/>
        <v>68000</v>
      </c>
    </row>
    <row r="109" spans="1:11">
      <c r="A109" t="s">
        <v>125</v>
      </c>
      <c r="B109" t="s">
        <v>49</v>
      </c>
      <c r="C109" t="s">
        <v>45</v>
      </c>
      <c r="D109" t="s">
        <v>41</v>
      </c>
      <c r="E109" t="s">
        <v>37</v>
      </c>
      <c r="F109" t="s">
        <v>56</v>
      </c>
      <c r="G109" t="s">
        <v>32</v>
      </c>
      <c r="H109">
        <v>320000</v>
      </c>
      <c r="I109">
        <v>7</v>
      </c>
      <c r="J109" t="s">
        <v>58</v>
      </c>
      <c r="K109">
        <f t="shared" si="1"/>
        <v>256000</v>
      </c>
    </row>
    <row r="110" spans="1:11">
      <c r="A110" t="s">
        <v>95</v>
      </c>
      <c r="B110" t="s">
        <v>35</v>
      </c>
      <c r="C110" t="s">
        <v>53</v>
      </c>
      <c r="D110" t="s">
        <v>41</v>
      </c>
      <c r="E110" t="s">
        <v>30</v>
      </c>
      <c r="F110" t="s">
        <v>46</v>
      </c>
      <c r="G110" t="s">
        <v>39</v>
      </c>
      <c r="H110">
        <v>60000</v>
      </c>
      <c r="I110">
        <v>9</v>
      </c>
      <c r="J110" t="s">
        <v>33</v>
      </c>
      <c r="K110">
        <f t="shared" si="1"/>
        <v>48000</v>
      </c>
    </row>
    <row r="111" spans="1:11">
      <c r="A111" t="s">
        <v>94</v>
      </c>
      <c r="B111" t="s">
        <v>49</v>
      </c>
      <c r="C111" t="s">
        <v>53</v>
      </c>
      <c r="D111" t="s">
        <v>41</v>
      </c>
      <c r="E111" t="s">
        <v>37</v>
      </c>
      <c r="F111" t="s">
        <v>31</v>
      </c>
      <c r="G111" t="s">
        <v>32</v>
      </c>
      <c r="H111">
        <v>85000</v>
      </c>
      <c r="I111">
        <v>1</v>
      </c>
      <c r="J111" t="s">
        <v>42</v>
      </c>
      <c r="K111">
        <f t="shared" si="1"/>
        <v>68000</v>
      </c>
    </row>
    <row r="112" spans="1:11">
      <c r="A112" t="s">
        <v>60</v>
      </c>
      <c r="B112" t="s">
        <v>35</v>
      </c>
      <c r="C112" t="s">
        <v>36</v>
      </c>
      <c r="D112" t="s">
        <v>29</v>
      </c>
      <c r="E112" t="s">
        <v>30</v>
      </c>
      <c r="F112" t="s">
        <v>50</v>
      </c>
      <c r="G112" t="s">
        <v>51</v>
      </c>
      <c r="H112">
        <v>300000</v>
      </c>
      <c r="I112">
        <v>6</v>
      </c>
      <c r="J112" t="s">
        <v>69</v>
      </c>
      <c r="K112">
        <f t="shared" si="1"/>
        <v>240000</v>
      </c>
    </row>
    <row r="113" spans="1:11">
      <c r="A113" t="s">
        <v>98</v>
      </c>
      <c r="B113" t="s">
        <v>49</v>
      </c>
      <c r="C113" t="s">
        <v>36</v>
      </c>
      <c r="D113" t="s">
        <v>41</v>
      </c>
      <c r="E113" t="s">
        <v>30</v>
      </c>
      <c r="F113" t="s">
        <v>38</v>
      </c>
      <c r="G113" t="s">
        <v>39</v>
      </c>
      <c r="H113">
        <v>30000</v>
      </c>
      <c r="I113">
        <v>5</v>
      </c>
      <c r="J113" t="s">
        <v>33</v>
      </c>
      <c r="K113">
        <f t="shared" si="1"/>
        <v>24000</v>
      </c>
    </row>
    <row r="114" spans="1:11">
      <c r="A114" t="s">
        <v>55</v>
      </c>
      <c r="B114" t="s">
        <v>49</v>
      </c>
      <c r="C114" t="s">
        <v>28</v>
      </c>
      <c r="D114" t="s">
        <v>29</v>
      </c>
      <c r="E114" t="s">
        <v>37</v>
      </c>
      <c r="F114" t="s">
        <v>62</v>
      </c>
      <c r="G114" t="s">
        <v>51</v>
      </c>
      <c r="H114">
        <v>150000</v>
      </c>
      <c r="I114">
        <v>4</v>
      </c>
      <c r="J114" t="s">
        <v>65</v>
      </c>
      <c r="K114">
        <f t="shared" si="1"/>
        <v>120000</v>
      </c>
    </row>
    <row r="115" spans="1:11">
      <c r="A115" t="s">
        <v>60</v>
      </c>
      <c r="B115" t="s">
        <v>44</v>
      </c>
      <c r="C115" t="s">
        <v>28</v>
      </c>
      <c r="D115" t="s">
        <v>41</v>
      </c>
      <c r="E115" t="s">
        <v>37</v>
      </c>
      <c r="F115" t="s">
        <v>62</v>
      </c>
      <c r="G115" t="s">
        <v>51</v>
      </c>
      <c r="H115">
        <v>150000</v>
      </c>
      <c r="I115">
        <v>6</v>
      </c>
      <c r="J115" t="s">
        <v>65</v>
      </c>
      <c r="K115">
        <f t="shared" si="1"/>
        <v>120000</v>
      </c>
    </row>
    <row r="116" spans="1:11">
      <c r="A116" t="s">
        <v>116</v>
      </c>
      <c r="B116" t="s">
        <v>49</v>
      </c>
      <c r="C116" t="s">
        <v>36</v>
      </c>
      <c r="D116" t="s">
        <v>41</v>
      </c>
      <c r="E116" t="s">
        <v>37</v>
      </c>
      <c r="F116" t="s">
        <v>62</v>
      </c>
      <c r="G116" t="s">
        <v>51</v>
      </c>
      <c r="H116">
        <v>150000</v>
      </c>
      <c r="I116">
        <v>8</v>
      </c>
      <c r="J116" t="s">
        <v>65</v>
      </c>
      <c r="K116">
        <f t="shared" si="1"/>
        <v>120000</v>
      </c>
    </row>
    <row r="117" spans="1:11">
      <c r="A117" t="s">
        <v>126</v>
      </c>
      <c r="B117" t="s">
        <v>44</v>
      </c>
      <c r="C117" t="s">
        <v>36</v>
      </c>
      <c r="D117" t="s">
        <v>29</v>
      </c>
      <c r="E117" t="s">
        <v>37</v>
      </c>
      <c r="F117" t="s">
        <v>38</v>
      </c>
      <c r="G117" t="s">
        <v>39</v>
      </c>
      <c r="H117">
        <v>30000</v>
      </c>
      <c r="I117">
        <v>6</v>
      </c>
      <c r="J117" t="s">
        <v>33</v>
      </c>
      <c r="K117">
        <f t="shared" si="1"/>
        <v>24000</v>
      </c>
    </row>
    <row r="118" spans="1:11">
      <c r="A118" t="s">
        <v>127</v>
      </c>
      <c r="B118" t="s">
        <v>27</v>
      </c>
      <c r="C118" t="s">
        <v>36</v>
      </c>
      <c r="D118" t="s">
        <v>29</v>
      </c>
      <c r="E118" t="s">
        <v>30</v>
      </c>
      <c r="F118" t="s">
        <v>71</v>
      </c>
      <c r="G118" t="s">
        <v>51</v>
      </c>
      <c r="H118">
        <v>250000</v>
      </c>
      <c r="I118">
        <v>3</v>
      </c>
      <c r="J118" t="s">
        <v>58</v>
      </c>
      <c r="K118">
        <f t="shared" si="1"/>
        <v>200000</v>
      </c>
    </row>
    <row r="119" spans="1:11">
      <c r="A119" t="s">
        <v>128</v>
      </c>
      <c r="B119" t="s">
        <v>44</v>
      </c>
      <c r="C119" t="s">
        <v>36</v>
      </c>
      <c r="D119" t="s">
        <v>41</v>
      </c>
      <c r="E119" t="s">
        <v>30</v>
      </c>
      <c r="F119" t="s">
        <v>62</v>
      </c>
      <c r="G119" t="s">
        <v>51</v>
      </c>
      <c r="H119">
        <v>150000</v>
      </c>
      <c r="I119">
        <v>5</v>
      </c>
      <c r="J119" t="s">
        <v>33</v>
      </c>
      <c r="K119">
        <f t="shared" si="1"/>
        <v>120000</v>
      </c>
    </row>
    <row r="120" spans="1:11">
      <c r="A120" t="s">
        <v>129</v>
      </c>
      <c r="B120" t="s">
        <v>27</v>
      </c>
      <c r="C120" t="s">
        <v>36</v>
      </c>
      <c r="D120" t="s">
        <v>29</v>
      </c>
      <c r="E120" t="s">
        <v>30</v>
      </c>
      <c r="F120" t="s">
        <v>73</v>
      </c>
      <c r="G120" t="s">
        <v>39</v>
      </c>
      <c r="H120">
        <v>220000</v>
      </c>
      <c r="I120">
        <v>1</v>
      </c>
      <c r="J120" t="s">
        <v>65</v>
      </c>
      <c r="K120">
        <f t="shared" si="1"/>
        <v>176000</v>
      </c>
    </row>
    <row r="121" spans="1:11">
      <c r="A121" t="s">
        <v>130</v>
      </c>
      <c r="B121" t="s">
        <v>49</v>
      </c>
      <c r="C121" t="s">
        <v>36</v>
      </c>
      <c r="D121" t="s">
        <v>29</v>
      </c>
      <c r="E121" t="s">
        <v>37</v>
      </c>
      <c r="F121" t="s">
        <v>56</v>
      </c>
      <c r="G121" t="s">
        <v>32</v>
      </c>
      <c r="H121">
        <v>320000</v>
      </c>
      <c r="I121">
        <v>10</v>
      </c>
      <c r="J121" t="s">
        <v>58</v>
      </c>
      <c r="K121">
        <f t="shared" si="1"/>
        <v>256000</v>
      </c>
    </row>
    <row r="122" spans="1:11">
      <c r="A122" t="s">
        <v>97</v>
      </c>
      <c r="B122" t="s">
        <v>44</v>
      </c>
      <c r="C122" t="s">
        <v>28</v>
      </c>
      <c r="D122" t="s">
        <v>41</v>
      </c>
      <c r="E122" t="s">
        <v>37</v>
      </c>
      <c r="F122" t="s">
        <v>46</v>
      </c>
      <c r="G122" t="s">
        <v>39</v>
      </c>
      <c r="H122">
        <v>60000</v>
      </c>
      <c r="I122">
        <v>5</v>
      </c>
      <c r="J122" t="s">
        <v>42</v>
      </c>
      <c r="K122">
        <f t="shared" si="1"/>
        <v>48000</v>
      </c>
    </row>
    <row r="123" spans="1:11">
      <c r="A123" t="s">
        <v>108</v>
      </c>
      <c r="B123" t="s">
        <v>35</v>
      </c>
      <c r="C123" t="s">
        <v>53</v>
      </c>
      <c r="D123" t="s">
        <v>29</v>
      </c>
      <c r="E123" t="s">
        <v>37</v>
      </c>
      <c r="F123" t="s">
        <v>62</v>
      </c>
      <c r="G123" t="s">
        <v>51</v>
      </c>
      <c r="H123">
        <v>150000</v>
      </c>
      <c r="I123">
        <v>7</v>
      </c>
      <c r="J123" t="s">
        <v>69</v>
      </c>
      <c r="K123">
        <f t="shared" si="1"/>
        <v>120000</v>
      </c>
    </row>
    <row r="124" spans="1:11">
      <c r="A124" t="s">
        <v>48</v>
      </c>
      <c r="B124" t="s">
        <v>49</v>
      </c>
      <c r="C124" t="s">
        <v>45</v>
      </c>
      <c r="D124" t="s">
        <v>29</v>
      </c>
      <c r="E124" t="s">
        <v>30</v>
      </c>
      <c r="F124" t="s">
        <v>46</v>
      </c>
      <c r="G124" t="s">
        <v>39</v>
      </c>
      <c r="H124">
        <v>60000</v>
      </c>
      <c r="I124">
        <v>7</v>
      </c>
      <c r="J124" t="s">
        <v>47</v>
      </c>
      <c r="K124">
        <f t="shared" si="1"/>
        <v>48000</v>
      </c>
    </row>
    <row r="125" spans="1:11">
      <c r="A125" t="s">
        <v>74</v>
      </c>
      <c r="B125" t="s">
        <v>49</v>
      </c>
      <c r="C125" t="s">
        <v>28</v>
      </c>
      <c r="D125" t="s">
        <v>41</v>
      </c>
      <c r="E125" t="s">
        <v>37</v>
      </c>
      <c r="F125" t="s">
        <v>73</v>
      </c>
      <c r="G125" t="s">
        <v>39</v>
      </c>
      <c r="H125">
        <v>220000</v>
      </c>
      <c r="I125">
        <v>4</v>
      </c>
      <c r="J125" t="s">
        <v>58</v>
      </c>
      <c r="K125">
        <f t="shared" si="1"/>
        <v>176000</v>
      </c>
    </row>
    <row r="126" spans="1:11">
      <c r="A126" t="s">
        <v>91</v>
      </c>
      <c r="B126" t="s">
        <v>35</v>
      </c>
      <c r="C126" t="s">
        <v>45</v>
      </c>
      <c r="D126" t="s">
        <v>41</v>
      </c>
      <c r="E126" t="s">
        <v>37</v>
      </c>
      <c r="F126" t="s">
        <v>71</v>
      </c>
      <c r="G126" t="s">
        <v>51</v>
      </c>
      <c r="H126">
        <v>250000</v>
      </c>
      <c r="I126">
        <v>6</v>
      </c>
      <c r="J126" t="s">
        <v>42</v>
      </c>
      <c r="K126">
        <f t="shared" si="1"/>
        <v>200000</v>
      </c>
    </row>
    <row r="127" spans="1:11">
      <c r="A127" t="s">
        <v>104</v>
      </c>
      <c r="B127" t="s">
        <v>49</v>
      </c>
      <c r="C127" t="s">
        <v>28</v>
      </c>
      <c r="D127" t="s">
        <v>41</v>
      </c>
      <c r="E127" t="s">
        <v>30</v>
      </c>
      <c r="F127" t="s">
        <v>67</v>
      </c>
      <c r="G127" t="s">
        <v>51</v>
      </c>
      <c r="H127">
        <v>420000</v>
      </c>
      <c r="I127">
        <v>10</v>
      </c>
      <c r="J127" t="s">
        <v>33</v>
      </c>
      <c r="K127">
        <f t="shared" si="1"/>
        <v>336000</v>
      </c>
    </row>
    <row r="128" spans="1:11">
      <c r="A128" t="s">
        <v>81</v>
      </c>
      <c r="B128" t="s">
        <v>35</v>
      </c>
      <c r="C128" t="s">
        <v>28</v>
      </c>
      <c r="D128" t="s">
        <v>29</v>
      </c>
      <c r="E128" t="s">
        <v>30</v>
      </c>
      <c r="F128" t="s">
        <v>38</v>
      </c>
      <c r="G128" t="s">
        <v>39</v>
      </c>
      <c r="H128">
        <v>30000</v>
      </c>
      <c r="I128">
        <v>9</v>
      </c>
      <c r="J128" t="s">
        <v>69</v>
      </c>
      <c r="K128">
        <f t="shared" si="1"/>
        <v>24000</v>
      </c>
    </row>
    <row r="129" spans="1:11">
      <c r="A129" t="s">
        <v>131</v>
      </c>
      <c r="B129" t="s">
        <v>27</v>
      </c>
      <c r="C129" t="s">
        <v>45</v>
      </c>
      <c r="D129" t="s">
        <v>29</v>
      </c>
      <c r="E129" t="s">
        <v>37</v>
      </c>
      <c r="F129" t="s">
        <v>54</v>
      </c>
      <c r="G129" t="s">
        <v>39</v>
      </c>
      <c r="H129">
        <v>180000</v>
      </c>
      <c r="I129">
        <v>8</v>
      </c>
      <c r="J129" t="s">
        <v>47</v>
      </c>
      <c r="K129">
        <f t="shared" si="1"/>
        <v>144000</v>
      </c>
    </row>
    <row r="130" spans="1:11">
      <c r="A130" t="s">
        <v>115</v>
      </c>
      <c r="B130" t="s">
        <v>49</v>
      </c>
      <c r="C130" t="s">
        <v>36</v>
      </c>
      <c r="D130" t="s">
        <v>29</v>
      </c>
      <c r="E130" t="s">
        <v>30</v>
      </c>
      <c r="F130" t="s">
        <v>67</v>
      </c>
      <c r="G130" t="s">
        <v>51</v>
      </c>
      <c r="H130">
        <v>420000</v>
      </c>
      <c r="I130">
        <v>5</v>
      </c>
      <c r="J130" t="s">
        <v>65</v>
      </c>
      <c r="K130">
        <f t="shared" ref="K130:K193" si="2">H130-H130*0.2</f>
        <v>336000</v>
      </c>
    </row>
    <row r="131" spans="1:11">
      <c r="A131" t="s">
        <v>110</v>
      </c>
      <c r="B131" t="s">
        <v>27</v>
      </c>
      <c r="C131" t="s">
        <v>28</v>
      </c>
      <c r="D131" t="s">
        <v>41</v>
      </c>
      <c r="E131" t="s">
        <v>30</v>
      </c>
      <c r="F131" t="s">
        <v>46</v>
      </c>
      <c r="G131" t="s">
        <v>39</v>
      </c>
      <c r="H131">
        <v>60000</v>
      </c>
      <c r="I131">
        <v>9</v>
      </c>
      <c r="J131" t="s">
        <v>33</v>
      </c>
      <c r="K131">
        <f t="shared" si="2"/>
        <v>48000</v>
      </c>
    </row>
    <row r="132" spans="1:11">
      <c r="A132" t="s">
        <v>72</v>
      </c>
      <c r="B132" t="s">
        <v>44</v>
      </c>
      <c r="C132" t="s">
        <v>45</v>
      </c>
      <c r="D132" t="s">
        <v>41</v>
      </c>
      <c r="E132" t="s">
        <v>37</v>
      </c>
      <c r="F132" t="s">
        <v>31</v>
      </c>
      <c r="G132" t="s">
        <v>32</v>
      </c>
      <c r="H132">
        <v>85000</v>
      </c>
      <c r="I132">
        <v>5</v>
      </c>
      <c r="J132" t="s">
        <v>42</v>
      </c>
      <c r="K132">
        <f t="shared" si="2"/>
        <v>68000</v>
      </c>
    </row>
    <row r="133" spans="1:11">
      <c r="A133" t="s">
        <v>132</v>
      </c>
      <c r="B133" t="s">
        <v>44</v>
      </c>
      <c r="C133" t="s">
        <v>45</v>
      </c>
      <c r="D133" t="s">
        <v>41</v>
      </c>
      <c r="E133" t="s">
        <v>30</v>
      </c>
      <c r="F133" t="s">
        <v>31</v>
      </c>
      <c r="G133" t="s">
        <v>32</v>
      </c>
      <c r="H133">
        <v>85000</v>
      </c>
      <c r="I133">
        <v>1</v>
      </c>
      <c r="J133" t="s">
        <v>47</v>
      </c>
      <c r="K133">
        <f t="shared" si="2"/>
        <v>68000</v>
      </c>
    </row>
    <row r="134" spans="1:11">
      <c r="A134" t="s">
        <v>97</v>
      </c>
      <c r="B134" t="s">
        <v>35</v>
      </c>
      <c r="C134" t="s">
        <v>36</v>
      </c>
      <c r="D134" t="s">
        <v>29</v>
      </c>
      <c r="E134" t="s">
        <v>37</v>
      </c>
      <c r="F134" t="s">
        <v>46</v>
      </c>
      <c r="G134" t="s">
        <v>39</v>
      </c>
      <c r="H134">
        <v>60000</v>
      </c>
      <c r="I134">
        <v>8</v>
      </c>
      <c r="J134" t="s">
        <v>58</v>
      </c>
      <c r="K134">
        <f t="shared" si="2"/>
        <v>48000</v>
      </c>
    </row>
    <row r="135" spans="1:11">
      <c r="A135" t="s">
        <v>48</v>
      </c>
      <c r="B135" t="s">
        <v>27</v>
      </c>
      <c r="C135" t="s">
        <v>45</v>
      </c>
      <c r="D135" t="s">
        <v>41</v>
      </c>
      <c r="E135" t="s">
        <v>30</v>
      </c>
      <c r="F135" t="s">
        <v>62</v>
      </c>
      <c r="G135" t="s">
        <v>51</v>
      </c>
      <c r="H135">
        <v>150000</v>
      </c>
      <c r="I135">
        <v>5</v>
      </c>
      <c r="J135" t="s">
        <v>65</v>
      </c>
      <c r="K135">
        <f t="shared" si="2"/>
        <v>120000</v>
      </c>
    </row>
    <row r="136" spans="1:11">
      <c r="A136" t="s">
        <v>81</v>
      </c>
      <c r="B136" t="s">
        <v>27</v>
      </c>
      <c r="C136" t="s">
        <v>53</v>
      </c>
      <c r="D136" t="s">
        <v>29</v>
      </c>
      <c r="E136" t="s">
        <v>30</v>
      </c>
      <c r="F136" t="s">
        <v>56</v>
      </c>
      <c r="G136" t="s">
        <v>32</v>
      </c>
      <c r="H136">
        <v>320000</v>
      </c>
      <c r="I136">
        <v>10</v>
      </c>
      <c r="J136" t="s">
        <v>58</v>
      </c>
      <c r="K136">
        <f t="shared" si="2"/>
        <v>256000</v>
      </c>
    </row>
    <row r="137" spans="1:11">
      <c r="A137" t="s">
        <v>133</v>
      </c>
      <c r="B137" t="s">
        <v>27</v>
      </c>
      <c r="C137" t="s">
        <v>53</v>
      </c>
      <c r="D137" t="s">
        <v>41</v>
      </c>
      <c r="E137" t="s">
        <v>30</v>
      </c>
      <c r="F137" t="s">
        <v>71</v>
      </c>
      <c r="G137" t="s">
        <v>51</v>
      </c>
      <c r="H137">
        <v>250000</v>
      </c>
      <c r="I137">
        <v>6</v>
      </c>
      <c r="J137" t="s">
        <v>69</v>
      </c>
      <c r="K137">
        <f t="shared" si="2"/>
        <v>200000</v>
      </c>
    </row>
    <row r="138" spans="1:11">
      <c r="A138" t="s">
        <v>127</v>
      </c>
      <c r="B138" t="s">
        <v>44</v>
      </c>
      <c r="C138" t="s">
        <v>45</v>
      </c>
      <c r="D138" t="s">
        <v>41</v>
      </c>
      <c r="E138" t="s">
        <v>30</v>
      </c>
      <c r="F138" t="s">
        <v>62</v>
      </c>
      <c r="G138" t="s">
        <v>51</v>
      </c>
      <c r="H138">
        <v>150000</v>
      </c>
      <c r="I138">
        <v>3</v>
      </c>
      <c r="J138" t="s">
        <v>33</v>
      </c>
      <c r="K138">
        <f t="shared" si="2"/>
        <v>120000</v>
      </c>
    </row>
    <row r="139" spans="1:11">
      <c r="A139" t="s">
        <v>131</v>
      </c>
      <c r="B139" t="s">
        <v>27</v>
      </c>
      <c r="C139" t="s">
        <v>36</v>
      </c>
      <c r="D139" t="s">
        <v>41</v>
      </c>
      <c r="E139" t="s">
        <v>30</v>
      </c>
      <c r="F139" t="s">
        <v>46</v>
      </c>
      <c r="G139" t="s">
        <v>39</v>
      </c>
      <c r="H139">
        <v>60000</v>
      </c>
      <c r="I139">
        <v>10</v>
      </c>
      <c r="J139" t="s">
        <v>65</v>
      </c>
      <c r="K139">
        <f t="shared" si="2"/>
        <v>48000</v>
      </c>
    </row>
    <row r="140" spans="1:11">
      <c r="A140" t="s">
        <v>70</v>
      </c>
      <c r="B140" t="s">
        <v>49</v>
      </c>
      <c r="C140" t="s">
        <v>45</v>
      </c>
      <c r="D140" t="s">
        <v>29</v>
      </c>
      <c r="E140" t="s">
        <v>30</v>
      </c>
      <c r="F140" t="s">
        <v>62</v>
      </c>
      <c r="G140" t="s">
        <v>51</v>
      </c>
      <c r="H140">
        <v>150000</v>
      </c>
      <c r="I140">
        <v>8</v>
      </c>
      <c r="J140" t="s">
        <v>47</v>
      </c>
      <c r="K140">
        <f t="shared" si="2"/>
        <v>120000</v>
      </c>
    </row>
    <row r="141" spans="1:11">
      <c r="A141" t="s">
        <v>123</v>
      </c>
      <c r="B141" t="s">
        <v>44</v>
      </c>
      <c r="C141" t="s">
        <v>28</v>
      </c>
      <c r="D141" t="s">
        <v>29</v>
      </c>
      <c r="E141" t="s">
        <v>30</v>
      </c>
      <c r="F141" t="s">
        <v>71</v>
      </c>
      <c r="G141" t="s">
        <v>51</v>
      </c>
      <c r="H141">
        <v>250000</v>
      </c>
      <c r="I141">
        <v>7</v>
      </c>
      <c r="J141" t="s">
        <v>65</v>
      </c>
      <c r="K141">
        <f t="shared" si="2"/>
        <v>200000</v>
      </c>
    </row>
    <row r="142" spans="1:11">
      <c r="A142" t="s">
        <v>48</v>
      </c>
      <c r="B142" t="s">
        <v>44</v>
      </c>
      <c r="C142" t="s">
        <v>53</v>
      </c>
      <c r="D142" t="s">
        <v>41</v>
      </c>
      <c r="E142" t="s">
        <v>30</v>
      </c>
      <c r="F142" t="s">
        <v>31</v>
      </c>
      <c r="G142" t="s">
        <v>32</v>
      </c>
      <c r="H142">
        <v>85000</v>
      </c>
      <c r="I142">
        <v>6</v>
      </c>
      <c r="J142" t="s">
        <v>58</v>
      </c>
      <c r="K142">
        <f t="shared" si="2"/>
        <v>68000</v>
      </c>
    </row>
    <row r="143" spans="1:11">
      <c r="A143" t="s">
        <v>125</v>
      </c>
      <c r="B143" t="s">
        <v>49</v>
      </c>
      <c r="C143" t="s">
        <v>28</v>
      </c>
      <c r="D143" t="s">
        <v>41</v>
      </c>
      <c r="E143" t="s">
        <v>30</v>
      </c>
      <c r="F143" t="s">
        <v>54</v>
      </c>
      <c r="G143" t="s">
        <v>39</v>
      </c>
      <c r="H143">
        <v>180000</v>
      </c>
      <c r="I143">
        <v>9</v>
      </c>
      <c r="J143" t="s">
        <v>65</v>
      </c>
      <c r="K143">
        <f t="shared" si="2"/>
        <v>144000</v>
      </c>
    </row>
    <row r="144" spans="1:11">
      <c r="A144" t="s">
        <v>59</v>
      </c>
      <c r="B144" t="s">
        <v>27</v>
      </c>
      <c r="C144" t="s">
        <v>53</v>
      </c>
      <c r="D144" t="s">
        <v>41</v>
      </c>
      <c r="E144" t="s">
        <v>30</v>
      </c>
      <c r="F144" t="s">
        <v>38</v>
      </c>
      <c r="G144" t="s">
        <v>39</v>
      </c>
      <c r="H144">
        <v>30000</v>
      </c>
      <c r="I144">
        <v>8</v>
      </c>
      <c r="J144" t="s">
        <v>65</v>
      </c>
      <c r="K144">
        <f t="shared" si="2"/>
        <v>24000</v>
      </c>
    </row>
    <row r="145" spans="1:11">
      <c r="A145" t="s">
        <v>134</v>
      </c>
      <c r="B145" t="s">
        <v>44</v>
      </c>
      <c r="C145" t="s">
        <v>28</v>
      </c>
      <c r="D145" t="s">
        <v>41</v>
      </c>
      <c r="E145" t="s">
        <v>37</v>
      </c>
      <c r="F145" t="s">
        <v>31</v>
      </c>
      <c r="G145" t="s">
        <v>32</v>
      </c>
      <c r="H145">
        <v>85000</v>
      </c>
      <c r="I145">
        <v>1</v>
      </c>
      <c r="J145" t="s">
        <v>42</v>
      </c>
      <c r="K145">
        <f t="shared" si="2"/>
        <v>68000</v>
      </c>
    </row>
    <row r="146" spans="1:11">
      <c r="A146" t="s">
        <v>107</v>
      </c>
      <c r="B146" t="s">
        <v>27</v>
      </c>
      <c r="C146" t="s">
        <v>53</v>
      </c>
      <c r="D146" t="s">
        <v>41</v>
      </c>
      <c r="E146" t="s">
        <v>30</v>
      </c>
      <c r="F146" t="s">
        <v>38</v>
      </c>
      <c r="G146" t="s">
        <v>39</v>
      </c>
      <c r="H146">
        <v>30000</v>
      </c>
      <c r="I146">
        <v>8</v>
      </c>
      <c r="J146" t="s">
        <v>69</v>
      </c>
      <c r="K146">
        <f t="shared" si="2"/>
        <v>24000</v>
      </c>
    </row>
    <row r="147" spans="1:11">
      <c r="A147" t="s">
        <v>126</v>
      </c>
      <c r="B147" t="s">
        <v>49</v>
      </c>
      <c r="C147" t="s">
        <v>45</v>
      </c>
      <c r="D147" t="s">
        <v>29</v>
      </c>
      <c r="E147" t="s">
        <v>30</v>
      </c>
      <c r="F147" t="s">
        <v>56</v>
      </c>
      <c r="G147" t="s">
        <v>32</v>
      </c>
      <c r="H147">
        <v>320000</v>
      </c>
      <c r="I147">
        <v>2</v>
      </c>
      <c r="J147" t="s">
        <v>65</v>
      </c>
      <c r="K147">
        <f t="shared" si="2"/>
        <v>256000</v>
      </c>
    </row>
    <row r="148" spans="1:11">
      <c r="A148" t="s">
        <v>66</v>
      </c>
      <c r="B148" t="s">
        <v>35</v>
      </c>
      <c r="C148" t="s">
        <v>28</v>
      </c>
      <c r="D148" t="s">
        <v>29</v>
      </c>
      <c r="E148" t="s">
        <v>30</v>
      </c>
      <c r="F148" t="s">
        <v>62</v>
      </c>
      <c r="G148" t="s">
        <v>51</v>
      </c>
      <c r="H148">
        <v>150000</v>
      </c>
      <c r="I148">
        <v>5</v>
      </c>
      <c r="J148" t="s">
        <v>65</v>
      </c>
      <c r="K148">
        <f t="shared" si="2"/>
        <v>120000</v>
      </c>
    </row>
    <row r="149" spans="1:11">
      <c r="A149" t="s">
        <v>135</v>
      </c>
      <c r="B149" t="s">
        <v>35</v>
      </c>
      <c r="C149" t="s">
        <v>45</v>
      </c>
      <c r="D149" t="s">
        <v>41</v>
      </c>
      <c r="E149" t="s">
        <v>30</v>
      </c>
      <c r="F149" t="s">
        <v>71</v>
      </c>
      <c r="G149" t="s">
        <v>51</v>
      </c>
      <c r="H149">
        <v>250000</v>
      </c>
      <c r="I149">
        <v>5</v>
      </c>
      <c r="J149" t="s">
        <v>69</v>
      </c>
      <c r="K149">
        <f t="shared" si="2"/>
        <v>200000</v>
      </c>
    </row>
    <row r="150" spans="1:11">
      <c r="A150" t="s">
        <v>26</v>
      </c>
      <c r="B150" t="s">
        <v>49</v>
      </c>
      <c r="C150" t="s">
        <v>53</v>
      </c>
      <c r="D150" t="s">
        <v>41</v>
      </c>
      <c r="E150" t="s">
        <v>30</v>
      </c>
      <c r="F150" t="s">
        <v>73</v>
      </c>
      <c r="G150" t="s">
        <v>39</v>
      </c>
      <c r="H150">
        <v>220000</v>
      </c>
      <c r="I150">
        <v>10</v>
      </c>
      <c r="J150" t="s">
        <v>42</v>
      </c>
      <c r="K150">
        <f t="shared" si="2"/>
        <v>176000</v>
      </c>
    </row>
    <row r="151" spans="1:11">
      <c r="A151" t="s">
        <v>114</v>
      </c>
      <c r="B151" t="s">
        <v>49</v>
      </c>
      <c r="C151" t="s">
        <v>45</v>
      </c>
      <c r="D151" t="s">
        <v>41</v>
      </c>
      <c r="E151" t="s">
        <v>30</v>
      </c>
      <c r="F151" t="s">
        <v>46</v>
      </c>
      <c r="G151" t="s">
        <v>39</v>
      </c>
      <c r="H151">
        <v>60000</v>
      </c>
      <c r="I151">
        <v>2</v>
      </c>
      <c r="J151" t="s">
        <v>58</v>
      </c>
      <c r="K151">
        <f t="shared" si="2"/>
        <v>48000</v>
      </c>
    </row>
    <row r="152" spans="1:11">
      <c r="A152" t="s">
        <v>126</v>
      </c>
      <c r="B152" t="s">
        <v>49</v>
      </c>
      <c r="C152" t="s">
        <v>45</v>
      </c>
      <c r="D152" t="s">
        <v>41</v>
      </c>
      <c r="E152" t="s">
        <v>37</v>
      </c>
      <c r="F152" t="s">
        <v>71</v>
      </c>
      <c r="G152" t="s">
        <v>51</v>
      </c>
      <c r="H152">
        <v>250000</v>
      </c>
      <c r="I152">
        <v>1</v>
      </c>
      <c r="J152" t="s">
        <v>65</v>
      </c>
      <c r="K152">
        <f t="shared" si="2"/>
        <v>200000</v>
      </c>
    </row>
    <row r="153" spans="1:11">
      <c r="A153" t="s">
        <v>117</v>
      </c>
      <c r="B153" t="s">
        <v>27</v>
      </c>
      <c r="C153" t="s">
        <v>28</v>
      </c>
      <c r="D153" t="s">
        <v>29</v>
      </c>
      <c r="E153" t="s">
        <v>30</v>
      </c>
      <c r="F153" t="s">
        <v>54</v>
      </c>
      <c r="G153" t="s">
        <v>39</v>
      </c>
      <c r="H153">
        <v>180000</v>
      </c>
      <c r="I153">
        <v>8</v>
      </c>
      <c r="J153" t="s">
        <v>69</v>
      </c>
      <c r="K153">
        <f t="shared" si="2"/>
        <v>144000</v>
      </c>
    </row>
    <row r="154" spans="1:11">
      <c r="A154" t="s">
        <v>84</v>
      </c>
      <c r="B154" t="s">
        <v>49</v>
      </c>
      <c r="C154" t="s">
        <v>36</v>
      </c>
      <c r="D154" t="s">
        <v>29</v>
      </c>
      <c r="E154" t="s">
        <v>30</v>
      </c>
      <c r="F154" t="s">
        <v>62</v>
      </c>
      <c r="G154" t="s">
        <v>51</v>
      </c>
      <c r="H154">
        <v>150000</v>
      </c>
      <c r="I154">
        <v>1</v>
      </c>
      <c r="J154" t="s">
        <v>33</v>
      </c>
      <c r="K154">
        <f t="shared" si="2"/>
        <v>120000</v>
      </c>
    </row>
    <row r="155" spans="1:11">
      <c r="A155" t="s">
        <v>136</v>
      </c>
      <c r="B155" t="s">
        <v>49</v>
      </c>
      <c r="C155" t="s">
        <v>53</v>
      </c>
      <c r="D155" t="s">
        <v>29</v>
      </c>
      <c r="E155" t="s">
        <v>30</v>
      </c>
      <c r="F155" t="s">
        <v>38</v>
      </c>
      <c r="G155" t="s">
        <v>39</v>
      </c>
      <c r="H155">
        <v>30000</v>
      </c>
      <c r="I155">
        <v>6</v>
      </c>
      <c r="J155" t="s">
        <v>42</v>
      </c>
      <c r="K155">
        <f t="shared" si="2"/>
        <v>24000</v>
      </c>
    </row>
    <row r="156" spans="1:11">
      <c r="A156" t="s">
        <v>127</v>
      </c>
      <c r="B156" t="s">
        <v>27</v>
      </c>
      <c r="C156" t="s">
        <v>28</v>
      </c>
      <c r="D156" t="s">
        <v>41</v>
      </c>
      <c r="E156" t="s">
        <v>30</v>
      </c>
      <c r="F156" t="s">
        <v>73</v>
      </c>
      <c r="G156" t="s">
        <v>39</v>
      </c>
      <c r="H156">
        <v>220000</v>
      </c>
      <c r="I156">
        <v>10</v>
      </c>
      <c r="J156" t="s">
        <v>69</v>
      </c>
      <c r="K156">
        <f t="shared" si="2"/>
        <v>176000</v>
      </c>
    </row>
    <row r="157" spans="1:11">
      <c r="A157" t="s">
        <v>98</v>
      </c>
      <c r="B157" t="s">
        <v>27</v>
      </c>
      <c r="C157" t="s">
        <v>28</v>
      </c>
      <c r="D157" t="s">
        <v>29</v>
      </c>
      <c r="E157" t="s">
        <v>37</v>
      </c>
      <c r="F157" t="s">
        <v>67</v>
      </c>
      <c r="G157" t="s">
        <v>51</v>
      </c>
      <c r="H157">
        <v>420000</v>
      </c>
      <c r="I157">
        <v>1</v>
      </c>
      <c r="J157" t="s">
        <v>42</v>
      </c>
      <c r="K157">
        <f t="shared" si="2"/>
        <v>336000</v>
      </c>
    </row>
    <row r="158" spans="1:11">
      <c r="A158" t="s">
        <v>83</v>
      </c>
      <c r="B158" t="s">
        <v>27</v>
      </c>
      <c r="C158" t="s">
        <v>36</v>
      </c>
      <c r="D158" t="s">
        <v>41</v>
      </c>
      <c r="E158" t="s">
        <v>37</v>
      </c>
      <c r="F158" t="s">
        <v>50</v>
      </c>
      <c r="G158" t="s">
        <v>51</v>
      </c>
      <c r="H158">
        <v>300000</v>
      </c>
      <c r="I158">
        <v>8</v>
      </c>
      <c r="J158" t="s">
        <v>42</v>
      </c>
      <c r="K158">
        <f t="shared" si="2"/>
        <v>240000</v>
      </c>
    </row>
    <row r="159" spans="1:11">
      <c r="A159" t="s">
        <v>79</v>
      </c>
      <c r="B159" t="s">
        <v>49</v>
      </c>
      <c r="C159" t="s">
        <v>53</v>
      </c>
      <c r="D159" t="s">
        <v>41</v>
      </c>
      <c r="E159" t="s">
        <v>30</v>
      </c>
      <c r="F159" t="s">
        <v>71</v>
      </c>
      <c r="G159" t="s">
        <v>51</v>
      </c>
      <c r="H159">
        <v>250000</v>
      </c>
      <c r="I159">
        <v>3</v>
      </c>
      <c r="J159" t="s">
        <v>33</v>
      </c>
      <c r="K159">
        <f t="shared" si="2"/>
        <v>200000</v>
      </c>
    </row>
    <row r="160" spans="1:11">
      <c r="A160" t="s">
        <v>87</v>
      </c>
      <c r="B160" t="s">
        <v>27</v>
      </c>
      <c r="C160" t="s">
        <v>53</v>
      </c>
      <c r="D160" t="s">
        <v>41</v>
      </c>
      <c r="E160" t="s">
        <v>30</v>
      </c>
      <c r="F160" t="s">
        <v>50</v>
      </c>
      <c r="G160" t="s">
        <v>51</v>
      </c>
      <c r="H160">
        <v>300000</v>
      </c>
      <c r="I160">
        <v>4</v>
      </c>
      <c r="J160" t="s">
        <v>58</v>
      </c>
      <c r="K160">
        <f t="shared" si="2"/>
        <v>240000</v>
      </c>
    </row>
    <row r="161" spans="1:11">
      <c r="A161" t="s">
        <v>137</v>
      </c>
      <c r="B161" t="s">
        <v>27</v>
      </c>
      <c r="C161" t="s">
        <v>45</v>
      </c>
      <c r="D161" t="s">
        <v>29</v>
      </c>
      <c r="E161" t="s">
        <v>30</v>
      </c>
      <c r="F161" t="s">
        <v>62</v>
      </c>
      <c r="G161" t="s">
        <v>51</v>
      </c>
      <c r="H161">
        <v>150000</v>
      </c>
      <c r="I161">
        <v>6</v>
      </c>
      <c r="J161" t="s">
        <v>58</v>
      </c>
      <c r="K161">
        <f t="shared" si="2"/>
        <v>120000</v>
      </c>
    </row>
    <row r="162" spans="1:11">
      <c r="A162" t="s">
        <v>138</v>
      </c>
      <c r="B162" t="s">
        <v>27</v>
      </c>
      <c r="C162" t="s">
        <v>53</v>
      </c>
      <c r="D162" t="s">
        <v>29</v>
      </c>
      <c r="E162" t="s">
        <v>30</v>
      </c>
      <c r="F162" t="s">
        <v>67</v>
      </c>
      <c r="G162" t="s">
        <v>51</v>
      </c>
      <c r="H162">
        <v>420000</v>
      </c>
      <c r="I162">
        <v>2</v>
      </c>
      <c r="J162" t="s">
        <v>33</v>
      </c>
      <c r="K162">
        <f t="shared" si="2"/>
        <v>336000</v>
      </c>
    </row>
    <row r="163" spans="1:11">
      <c r="A163" t="s">
        <v>139</v>
      </c>
      <c r="B163" t="s">
        <v>44</v>
      </c>
      <c r="C163" t="s">
        <v>36</v>
      </c>
      <c r="D163" t="s">
        <v>29</v>
      </c>
      <c r="E163" t="s">
        <v>30</v>
      </c>
      <c r="F163" t="s">
        <v>73</v>
      </c>
      <c r="G163" t="s">
        <v>39</v>
      </c>
      <c r="H163">
        <v>220000</v>
      </c>
      <c r="I163">
        <v>1</v>
      </c>
      <c r="J163" t="s">
        <v>42</v>
      </c>
      <c r="K163">
        <f t="shared" si="2"/>
        <v>176000</v>
      </c>
    </row>
    <row r="164" spans="1:11">
      <c r="A164" t="s">
        <v>140</v>
      </c>
      <c r="B164" t="s">
        <v>44</v>
      </c>
      <c r="C164" t="s">
        <v>53</v>
      </c>
      <c r="D164" t="s">
        <v>29</v>
      </c>
      <c r="E164" t="s">
        <v>37</v>
      </c>
      <c r="F164" t="s">
        <v>73</v>
      </c>
      <c r="G164" t="s">
        <v>39</v>
      </c>
      <c r="H164">
        <v>220000</v>
      </c>
      <c r="I164">
        <v>8</v>
      </c>
      <c r="J164" t="s">
        <v>65</v>
      </c>
      <c r="K164">
        <f t="shared" si="2"/>
        <v>176000</v>
      </c>
    </row>
    <row r="165" spans="1:11">
      <c r="A165" t="s">
        <v>102</v>
      </c>
      <c r="B165" t="s">
        <v>49</v>
      </c>
      <c r="C165" t="s">
        <v>45</v>
      </c>
      <c r="D165" t="s">
        <v>29</v>
      </c>
      <c r="E165" t="s">
        <v>37</v>
      </c>
      <c r="F165" t="s">
        <v>38</v>
      </c>
      <c r="G165" t="s">
        <v>39</v>
      </c>
      <c r="H165">
        <v>30000</v>
      </c>
      <c r="I165">
        <v>10</v>
      </c>
      <c r="J165" t="s">
        <v>69</v>
      </c>
      <c r="K165">
        <f t="shared" si="2"/>
        <v>24000</v>
      </c>
    </row>
    <row r="166" spans="1:11">
      <c r="A166" t="s">
        <v>141</v>
      </c>
      <c r="B166" t="s">
        <v>49</v>
      </c>
      <c r="C166" t="s">
        <v>36</v>
      </c>
      <c r="D166" t="s">
        <v>41</v>
      </c>
      <c r="E166" t="s">
        <v>30</v>
      </c>
      <c r="F166" t="s">
        <v>38</v>
      </c>
      <c r="G166" t="s">
        <v>39</v>
      </c>
      <c r="H166">
        <v>30000</v>
      </c>
      <c r="I166">
        <v>4</v>
      </c>
      <c r="J166" t="s">
        <v>69</v>
      </c>
      <c r="K166">
        <f t="shared" si="2"/>
        <v>24000</v>
      </c>
    </row>
    <row r="167" spans="1:11">
      <c r="A167" t="s">
        <v>142</v>
      </c>
      <c r="B167" t="s">
        <v>27</v>
      </c>
      <c r="C167" t="s">
        <v>28</v>
      </c>
      <c r="D167" t="s">
        <v>41</v>
      </c>
      <c r="E167" t="s">
        <v>30</v>
      </c>
      <c r="F167" t="s">
        <v>54</v>
      </c>
      <c r="G167" t="s">
        <v>39</v>
      </c>
      <c r="H167">
        <v>180000</v>
      </c>
      <c r="I167">
        <v>6</v>
      </c>
      <c r="J167" t="s">
        <v>33</v>
      </c>
      <c r="K167">
        <f t="shared" si="2"/>
        <v>144000</v>
      </c>
    </row>
    <row r="168" spans="1:11">
      <c r="A168" t="s">
        <v>143</v>
      </c>
      <c r="B168" t="s">
        <v>27</v>
      </c>
      <c r="C168" t="s">
        <v>53</v>
      </c>
      <c r="D168" t="s">
        <v>41</v>
      </c>
      <c r="E168" t="s">
        <v>30</v>
      </c>
      <c r="F168" t="s">
        <v>50</v>
      </c>
      <c r="G168" t="s">
        <v>51</v>
      </c>
      <c r="H168">
        <v>300000</v>
      </c>
      <c r="I168">
        <v>2</v>
      </c>
      <c r="J168" t="s">
        <v>69</v>
      </c>
      <c r="K168">
        <f t="shared" si="2"/>
        <v>240000</v>
      </c>
    </row>
    <row r="169" spans="1:11">
      <c r="A169" t="s">
        <v>139</v>
      </c>
      <c r="B169" t="s">
        <v>35</v>
      </c>
      <c r="C169" t="s">
        <v>36</v>
      </c>
      <c r="D169" t="s">
        <v>29</v>
      </c>
      <c r="E169" t="s">
        <v>30</v>
      </c>
      <c r="F169" t="s">
        <v>62</v>
      </c>
      <c r="G169" t="s">
        <v>51</v>
      </c>
      <c r="H169">
        <v>150000</v>
      </c>
      <c r="I169">
        <v>9</v>
      </c>
      <c r="J169" t="s">
        <v>33</v>
      </c>
      <c r="K169">
        <f t="shared" si="2"/>
        <v>120000</v>
      </c>
    </row>
    <row r="170" spans="1:11">
      <c r="A170" t="s">
        <v>81</v>
      </c>
      <c r="B170" t="s">
        <v>49</v>
      </c>
      <c r="C170" t="s">
        <v>28</v>
      </c>
      <c r="D170" t="s">
        <v>29</v>
      </c>
      <c r="E170" t="s">
        <v>37</v>
      </c>
      <c r="F170" t="s">
        <v>62</v>
      </c>
      <c r="G170" t="s">
        <v>51</v>
      </c>
      <c r="H170">
        <v>150000</v>
      </c>
      <c r="I170">
        <v>9</v>
      </c>
      <c r="J170" t="s">
        <v>42</v>
      </c>
      <c r="K170">
        <f t="shared" si="2"/>
        <v>120000</v>
      </c>
    </row>
    <row r="171" spans="1:11">
      <c r="A171" t="s">
        <v>144</v>
      </c>
      <c r="B171" t="s">
        <v>27</v>
      </c>
      <c r="C171" t="s">
        <v>28</v>
      </c>
      <c r="D171" t="s">
        <v>29</v>
      </c>
      <c r="E171" t="s">
        <v>30</v>
      </c>
      <c r="F171" t="s">
        <v>38</v>
      </c>
      <c r="G171" t="s">
        <v>39</v>
      </c>
      <c r="H171">
        <v>30000</v>
      </c>
      <c r="I171">
        <v>4</v>
      </c>
      <c r="J171" t="s">
        <v>33</v>
      </c>
      <c r="K171">
        <f t="shared" si="2"/>
        <v>24000</v>
      </c>
    </row>
    <row r="172" spans="1:11">
      <c r="A172" t="s">
        <v>76</v>
      </c>
      <c r="B172" t="s">
        <v>35</v>
      </c>
      <c r="C172" t="s">
        <v>45</v>
      </c>
      <c r="D172" t="s">
        <v>41</v>
      </c>
      <c r="E172" t="s">
        <v>30</v>
      </c>
      <c r="F172" t="s">
        <v>46</v>
      </c>
      <c r="G172" t="s">
        <v>39</v>
      </c>
      <c r="H172">
        <v>60000</v>
      </c>
      <c r="I172">
        <v>9</v>
      </c>
      <c r="J172" t="s">
        <v>47</v>
      </c>
      <c r="K172">
        <f t="shared" si="2"/>
        <v>48000</v>
      </c>
    </row>
    <row r="173" spans="1:11">
      <c r="A173" t="s">
        <v>145</v>
      </c>
      <c r="B173" t="s">
        <v>44</v>
      </c>
      <c r="C173" t="s">
        <v>36</v>
      </c>
      <c r="D173" t="s">
        <v>29</v>
      </c>
      <c r="E173" t="s">
        <v>37</v>
      </c>
      <c r="F173" t="s">
        <v>50</v>
      </c>
      <c r="G173" t="s">
        <v>51</v>
      </c>
      <c r="H173">
        <v>300000</v>
      </c>
      <c r="I173">
        <v>9</v>
      </c>
      <c r="J173" t="s">
        <v>47</v>
      </c>
      <c r="K173">
        <f t="shared" si="2"/>
        <v>240000</v>
      </c>
    </row>
    <row r="174" spans="1:11">
      <c r="A174" t="s">
        <v>113</v>
      </c>
      <c r="B174" t="s">
        <v>49</v>
      </c>
      <c r="C174" t="s">
        <v>53</v>
      </c>
      <c r="D174" t="s">
        <v>29</v>
      </c>
      <c r="E174" t="s">
        <v>30</v>
      </c>
      <c r="F174" t="s">
        <v>56</v>
      </c>
      <c r="G174" t="s">
        <v>32</v>
      </c>
      <c r="H174">
        <v>320000</v>
      </c>
      <c r="I174">
        <v>3</v>
      </c>
      <c r="J174" t="s">
        <v>69</v>
      </c>
      <c r="K174">
        <f t="shared" si="2"/>
        <v>256000</v>
      </c>
    </row>
    <row r="175" spans="1:11">
      <c r="A175" t="s">
        <v>43</v>
      </c>
      <c r="B175" t="s">
        <v>27</v>
      </c>
      <c r="C175" t="s">
        <v>28</v>
      </c>
      <c r="D175" t="s">
        <v>29</v>
      </c>
      <c r="E175" t="s">
        <v>30</v>
      </c>
      <c r="F175" t="s">
        <v>62</v>
      </c>
      <c r="G175" t="s">
        <v>51</v>
      </c>
      <c r="H175">
        <v>150000</v>
      </c>
      <c r="I175">
        <v>1</v>
      </c>
      <c r="J175" t="s">
        <v>33</v>
      </c>
      <c r="K175">
        <f t="shared" si="2"/>
        <v>120000</v>
      </c>
    </row>
    <row r="176" spans="1:11">
      <c r="A176" t="s">
        <v>137</v>
      </c>
      <c r="B176" t="s">
        <v>49</v>
      </c>
      <c r="C176" t="s">
        <v>36</v>
      </c>
      <c r="D176" t="s">
        <v>41</v>
      </c>
      <c r="E176" t="s">
        <v>30</v>
      </c>
      <c r="F176" t="s">
        <v>50</v>
      </c>
      <c r="G176" t="s">
        <v>51</v>
      </c>
      <c r="H176">
        <v>300000</v>
      </c>
      <c r="I176">
        <v>9</v>
      </c>
      <c r="J176" t="s">
        <v>47</v>
      </c>
      <c r="K176">
        <f t="shared" si="2"/>
        <v>240000</v>
      </c>
    </row>
    <row r="177" spans="1:11">
      <c r="A177" t="s">
        <v>83</v>
      </c>
      <c r="B177" t="s">
        <v>35</v>
      </c>
      <c r="C177" t="s">
        <v>36</v>
      </c>
      <c r="D177" t="s">
        <v>29</v>
      </c>
      <c r="E177" t="s">
        <v>30</v>
      </c>
      <c r="F177" t="s">
        <v>73</v>
      </c>
      <c r="G177" t="s">
        <v>39</v>
      </c>
      <c r="H177">
        <v>220000</v>
      </c>
      <c r="I177">
        <v>3</v>
      </c>
      <c r="J177" t="s">
        <v>42</v>
      </c>
      <c r="K177">
        <f t="shared" si="2"/>
        <v>176000</v>
      </c>
    </row>
    <row r="178" spans="1:11">
      <c r="A178" t="s">
        <v>116</v>
      </c>
      <c r="B178" t="s">
        <v>27</v>
      </c>
      <c r="C178" t="s">
        <v>45</v>
      </c>
      <c r="D178" t="s">
        <v>41</v>
      </c>
      <c r="E178" t="s">
        <v>30</v>
      </c>
      <c r="F178" t="s">
        <v>73</v>
      </c>
      <c r="G178" t="s">
        <v>39</v>
      </c>
      <c r="H178">
        <v>220000</v>
      </c>
      <c r="I178">
        <v>9</v>
      </c>
      <c r="J178" t="s">
        <v>69</v>
      </c>
      <c r="K178">
        <f t="shared" si="2"/>
        <v>176000</v>
      </c>
    </row>
    <row r="179" spans="1:11">
      <c r="A179" t="s">
        <v>146</v>
      </c>
      <c r="B179" t="s">
        <v>35</v>
      </c>
      <c r="C179" t="s">
        <v>45</v>
      </c>
      <c r="D179" t="s">
        <v>41</v>
      </c>
      <c r="E179" t="s">
        <v>37</v>
      </c>
      <c r="F179" t="s">
        <v>46</v>
      </c>
      <c r="G179" t="s">
        <v>39</v>
      </c>
      <c r="H179">
        <v>60000</v>
      </c>
      <c r="I179">
        <v>6</v>
      </c>
      <c r="J179" t="s">
        <v>69</v>
      </c>
      <c r="K179">
        <f t="shared" si="2"/>
        <v>48000</v>
      </c>
    </row>
    <row r="180" spans="1:11">
      <c r="A180" t="s">
        <v>89</v>
      </c>
      <c r="B180" t="s">
        <v>49</v>
      </c>
      <c r="C180" t="s">
        <v>45</v>
      </c>
      <c r="D180" t="s">
        <v>29</v>
      </c>
      <c r="E180" t="s">
        <v>37</v>
      </c>
      <c r="F180" t="s">
        <v>38</v>
      </c>
      <c r="G180" t="s">
        <v>39</v>
      </c>
      <c r="H180">
        <v>30000</v>
      </c>
      <c r="I180">
        <v>10</v>
      </c>
      <c r="J180" t="s">
        <v>58</v>
      </c>
      <c r="K180">
        <f t="shared" si="2"/>
        <v>24000</v>
      </c>
    </row>
    <row r="181" spans="1:11">
      <c r="A181" t="s">
        <v>101</v>
      </c>
      <c r="B181" t="s">
        <v>44</v>
      </c>
      <c r="C181" t="s">
        <v>45</v>
      </c>
      <c r="D181" t="s">
        <v>41</v>
      </c>
      <c r="E181" t="s">
        <v>37</v>
      </c>
      <c r="F181" t="s">
        <v>67</v>
      </c>
      <c r="G181" t="s">
        <v>51</v>
      </c>
      <c r="H181">
        <v>420000</v>
      </c>
      <c r="I181">
        <v>8</v>
      </c>
      <c r="J181" t="s">
        <v>69</v>
      </c>
      <c r="K181">
        <f t="shared" si="2"/>
        <v>336000</v>
      </c>
    </row>
    <row r="182" spans="1:11">
      <c r="A182" t="s">
        <v>60</v>
      </c>
      <c r="B182" t="s">
        <v>44</v>
      </c>
      <c r="C182" t="s">
        <v>45</v>
      </c>
      <c r="D182" t="s">
        <v>41</v>
      </c>
      <c r="E182" t="s">
        <v>30</v>
      </c>
      <c r="F182" t="s">
        <v>46</v>
      </c>
      <c r="G182" t="s">
        <v>39</v>
      </c>
      <c r="H182">
        <v>60000</v>
      </c>
      <c r="I182">
        <v>9</v>
      </c>
      <c r="J182" t="s">
        <v>33</v>
      </c>
      <c r="K182">
        <f t="shared" si="2"/>
        <v>48000</v>
      </c>
    </row>
    <row r="183" spans="1:11">
      <c r="A183" t="s">
        <v>147</v>
      </c>
      <c r="B183" t="s">
        <v>35</v>
      </c>
      <c r="C183" t="s">
        <v>45</v>
      </c>
      <c r="D183" t="s">
        <v>41</v>
      </c>
      <c r="E183" t="s">
        <v>30</v>
      </c>
      <c r="F183" t="s">
        <v>71</v>
      </c>
      <c r="G183" t="s">
        <v>51</v>
      </c>
      <c r="H183">
        <v>250000</v>
      </c>
      <c r="I183">
        <v>1</v>
      </c>
      <c r="J183" t="s">
        <v>58</v>
      </c>
      <c r="K183">
        <f t="shared" si="2"/>
        <v>200000</v>
      </c>
    </row>
    <row r="184" spans="1:11">
      <c r="A184" t="s">
        <v>148</v>
      </c>
      <c r="B184" t="s">
        <v>44</v>
      </c>
      <c r="C184" t="s">
        <v>45</v>
      </c>
      <c r="D184" t="s">
        <v>29</v>
      </c>
      <c r="E184" t="s">
        <v>30</v>
      </c>
      <c r="F184" t="s">
        <v>46</v>
      </c>
      <c r="G184" t="s">
        <v>39</v>
      </c>
      <c r="H184">
        <v>60000</v>
      </c>
      <c r="I184">
        <v>1</v>
      </c>
      <c r="J184" t="s">
        <v>69</v>
      </c>
      <c r="K184">
        <f t="shared" si="2"/>
        <v>48000</v>
      </c>
    </row>
    <row r="185" spans="1:11">
      <c r="A185" t="s">
        <v>106</v>
      </c>
      <c r="B185" t="s">
        <v>44</v>
      </c>
      <c r="C185" t="s">
        <v>53</v>
      </c>
      <c r="D185" t="s">
        <v>29</v>
      </c>
      <c r="E185" t="s">
        <v>30</v>
      </c>
      <c r="F185" t="s">
        <v>67</v>
      </c>
      <c r="G185" t="s">
        <v>51</v>
      </c>
      <c r="H185">
        <v>420000</v>
      </c>
      <c r="I185">
        <v>8</v>
      </c>
      <c r="J185" t="s">
        <v>69</v>
      </c>
      <c r="K185">
        <f t="shared" si="2"/>
        <v>336000</v>
      </c>
    </row>
    <row r="186" spans="1:11">
      <c r="A186" t="s">
        <v>88</v>
      </c>
      <c r="B186" t="s">
        <v>44</v>
      </c>
      <c r="C186" t="s">
        <v>28</v>
      </c>
      <c r="D186" t="s">
        <v>41</v>
      </c>
      <c r="E186" t="s">
        <v>37</v>
      </c>
      <c r="F186" t="s">
        <v>54</v>
      </c>
      <c r="G186" t="s">
        <v>39</v>
      </c>
      <c r="H186">
        <v>180000</v>
      </c>
      <c r="I186">
        <v>4</v>
      </c>
      <c r="J186" t="s">
        <v>69</v>
      </c>
      <c r="K186">
        <f t="shared" si="2"/>
        <v>144000</v>
      </c>
    </row>
    <row r="187" spans="1:11">
      <c r="A187" t="s">
        <v>68</v>
      </c>
      <c r="B187" t="s">
        <v>35</v>
      </c>
      <c r="C187" t="s">
        <v>45</v>
      </c>
      <c r="D187" t="s">
        <v>29</v>
      </c>
      <c r="E187" t="s">
        <v>37</v>
      </c>
      <c r="F187" t="s">
        <v>54</v>
      </c>
      <c r="G187" t="s">
        <v>39</v>
      </c>
      <c r="H187">
        <v>180000</v>
      </c>
      <c r="I187">
        <v>7</v>
      </c>
      <c r="J187" t="s">
        <v>69</v>
      </c>
      <c r="K187">
        <f t="shared" si="2"/>
        <v>144000</v>
      </c>
    </row>
    <row r="188" spans="1:11">
      <c r="A188" t="s">
        <v>94</v>
      </c>
      <c r="B188" t="s">
        <v>49</v>
      </c>
      <c r="C188" t="s">
        <v>45</v>
      </c>
      <c r="D188" t="s">
        <v>29</v>
      </c>
      <c r="E188" t="s">
        <v>30</v>
      </c>
      <c r="F188" t="s">
        <v>38</v>
      </c>
      <c r="G188" t="s">
        <v>39</v>
      </c>
      <c r="H188">
        <v>30000</v>
      </c>
      <c r="I188">
        <v>6</v>
      </c>
      <c r="J188" t="s">
        <v>65</v>
      </c>
      <c r="K188">
        <f t="shared" si="2"/>
        <v>24000</v>
      </c>
    </row>
    <row r="189" spans="1:11">
      <c r="A189" t="s">
        <v>85</v>
      </c>
      <c r="B189" t="s">
        <v>35</v>
      </c>
      <c r="C189" t="s">
        <v>28</v>
      </c>
      <c r="D189" t="s">
        <v>29</v>
      </c>
      <c r="E189" t="s">
        <v>30</v>
      </c>
      <c r="F189" t="s">
        <v>54</v>
      </c>
      <c r="G189" t="s">
        <v>39</v>
      </c>
      <c r="H189">
        <v>180000</v>
      </c>
      <c r="I189">
        <v>4</v>
      </c>
      <c r="J189" t="s">
        <v>42</v>
      </c>
      <c r="K189">
        <f t="shared" si="2"/>
        <v>144000</v>
      </c>
    </row>
    <row r="190" spans="1:11">
      <c r="A190" t="s">
        <v>43</v>
      </c>
      <c r="B190" t="s">
        <v>35</v>
      </c>
      <c r="C190" t="s">
        <v>53</v>
      </c>
      <c r="D190" t="s">
        <v>41</v>
      </c>
      <c r="E190" t="s">
        <v>37</v>
      </c>
      <c r="F190" t="s">
        <v>50</v>
      </c>
      <c r="G190" t="s">
        <v>51</v>
      </c>
      <c r="H190">
        <v>300000</v>
      </c>
      <c r="I190">
        <v>3</v>
      </c>
      <c r="J190" t="s">
        <v>47</v>
      </c>
      <c r="K190">
        <f t="shared" si="2"/>
        <v>240000</v>
      </c>
    </row>
    <row r="191" spans="1:11">
      <c r="A191" t="s">
        <v>127</v>
      </c>
      <c r="B191" t="s">
        <v>27</v>
      </c>
      <c r="C191" t="s">
        <v>36</v>
      </c>
      <c r="D191" t="s">
        <v>29</v>
      </c>
      <c r="E191" t="s">
        <v>30</v>
      </c>
      <c r="F191" t="s">
        <v>46</v>
      </c>
      <c r="G191" t="s">
        <v>39</v>
      </c>
      <c r="H191">
        <v>60000</v>
      </c>
      <c r="I191">
        <v>3</v>
      </c>
      <c r="J191" t="s">
        <v>33</v>
      </c>
      <c r="K191">
        <f t="shared" si="2"/>
        <v>48000</v>
      </c>
    </row>
    <row r="192" spans="1:11">
      <c r="A192" t="s">
        <v>85</v>
      </c>
      <c r="B192" t="s">
        <v>35</v>
      </c>
      <c r="C192" t="s">
        <v>28</v>
      </c>
      <c r="D192" t="s">
        <v>41</v>
      </c>
      <c r="E192" t="s">
        <v>30</v>
      </c>
      <c r="F192" t="s">
        <v>73</v>
      </c>
      <c r="G192" t="s">
        <v>39</v>
      </c>
      <c r="H192">
        <v>220000</v>
      </c>
      <c r="I192">
        <v>1</v>
      </c>
      <c r="J192" t="s">
        <v>47</v>
      </c>
      <c r="K192">
        <f t="shared" si="2"/>
        <v>176000</v>
      </c>
    </row>
    <row r="193" spans="1:11">
      <c r="A193" t="s">
        <v>107</v>
      </c>
      <c r="B193" t="s">
        <v>49</v>
      </c>
      <c r="C193" t="s">
        <v>36</v>
      </c>
      <c r="D193" t="s">
        <v>29</v>
      </c>
      <c r="E193" t="s">
        <v>30</v>
      </c>
      <c r="F193" t="s">
        <v>50</v>
      </c>
      <c r="G193" t="s">
        <v>51</v>
      </c>
      <c r="H193">
        <v>300000</v>
      </c>
      <c r="I193">
        <v>2</v>
      </c>
      <c r="J193" t="s">
        <v>42</v>
      </c>
      <c r="K193">
        <f t="shared" si="2"/>
        <v>240000</v>
      </c>
    </row>
    <row r="194" spans="1:11">
      <c r="A194" t="s">
        <v>103</v>
      </c>
      <c r="B194" t="s">
        <v>44</v>
      </c>
      <c r="C194" t="s">
        <v>45</v>
      </c>
      <c r="D194" t="s">
        <v>29</v>
      </c>
      <c r="E194" t="s">
        <v>30</v>
      </c>
      <c r="F194" t="s">
        <v>62</v>
      </c>
      <c r="G194" t="s">
        <v>51</v>
      </c>
      <c r="H194">
        <v>150000</v>
      </c>
      <c r="I194">
        <v>3</v>
      </c>
      <c r="J194" t="s">
        <v>42</v>
      </c>
      <c r="K194">
        <f t="shared" ref="K194:K257" si="3">H194-H194*0.2</f>
        <v>120000</v>
      </c>
    </row>
    <row r="195" spans="1:11">
      <c r="A195" t="s">
        <v>89</v>
      </c>
      <c r="B195" t="s">
        <v>49</v>
      </c>
      <c r="C195" t="s">
        <v>36</v>
      </c>
      <c r="D195" t="s">
        <v>41</v>
      </c>
      <c r="E195" t="s">
        <v>30</v>
      </c>
      <c r="F195" t="s">
        <v>31</v>
      </c>
      <c r="G195" t="s">
        <v>32</v>
      </c>
      <c r="H195">
        <v>85000</v>
      </c>
      <c r="I195">
        <v>1</v>
      </c>
      <c r="J195" t="s">
        <v>42</v>
      </c>
      <c r="K195">
        <f t="shared" si="3"/>
        <v>68000</v>
      </c>
    </row>
    <row r="196" spans="1:11">
      <c r="A196" t="s">
        <v>101</v>
      </c>
      <c r="B196" t="s">
        <v>44</v>
      </c>
      <c r="C196" t="s">
        <v>36</v>
      </c>
      <c r="D196" t="s">
        <v>29</v>
      </c>
      <c r="E196" t="s">
        <v>37</v>
      </c>
      <c r="F196" t="s">
        <v>38</v>
      </c>
      <c r="G196" t="s">
        <v>39</v>
      </c>
      <c r="H196">
        <v>30000</v>
      </c>
      <c r="I196">
        <v>6</v>
      </c>
      <c r="J196" t="s">
        <v>33</v>
      </c>
      <c r="K196">
        <f t="shared" si="3"/>
        <v>24000</v>
      </c>
    </row>
    <row r="197" spans="1:11">
      <c r="A197" t="s">
        <v>141</v>
      </c>
      <c r="B197" t="s">
        <v>27</v>
      </c>
      <c r="C197" t="s">
        <v>45</v>
      </c>
      <c r="D197" t="s">
        <v>41</v>
      </c>
      <c r="E197" t="s">
        <v>30</v>
      </c>
      <c r="F197" t="s">
        <v>62</v>
      </c>
      <c r="G197" t="s">
        <v>51</v>
      </c>
      <c r="H197">
        <v>150000</v>
      </c>
      <c r="I197">
        <v>5</v>
      </c>
      <c r="J197" t="s">
        <v>47</v>
      </c>
      <c r="K197">
        <f t="shared" si="3"/>
        <v>120000</v>
      </c>
    </row>
    <row r="198" spans="1:11">
      <c r="A198" t="s">
        <v>116</v>
      </c>
      <c r="B198" t="s">
        <v>27</v>
      </c>
      <c r="C198" t="s">
        <v>36</v>
      </c>
      <c r="D198" t="s">
        <v>29</v>
      </c>
      <c r="E198" t="s">
        <v>37</v>
      </c>
      <c r="F198" t="s">
        <v>38</v>
      </c>
      <c r="G198" t="s">
        <v>39</v>
      </c>
      <c r="H198">
        <v>30000</v>
      </c>
      <c r="I198">
        <v>5</v>
      </c>
      <c r="J198" t="s">
        <v>65</v>
      </c>
      <c r="K198">
        <f t="shared" si="3"/>
        <v>24000</v>
      </c>
    </row>
    <row r="199" spans="1:11">
      <c r="A199" t="s">
        <v>149</v>
      </c>
      <c r="B199" t="s">
        <v>35</v>
      </c>
      <c r="C199" t="s">
        <v>36</v>
      </c>
      <c r="D199" t="s">
        <v>29</v>
      </c>
      <c r="E199" t="s">
        <v>37</v>
      </c>
      <c r="F199" t="s">
        <v>54</v>
      </c>
      <c r="G199" t="s">
        <v>39</v>
      </c>
      <c r="H199">
        <v>180000</v>
      </c>
      <c r="I199">
        <v>9</v>
      </c>
      <c r="J199" t="s">
        <v>69</v>
      </c>
      <c r="K199">
        <f t="shared" si="3"/>
        <v>144000</v>
      </c>
    </row>
    <row r="200" spans="1:11">
      <c r="A200" t="s">
        <v>107</v>
      </c>
      <c r="B200" t="s">
        <v>49</v>
      </c>
      <c r="C200" t="s">
        <v>45</v>
      </c>
      <c r="D200" t="s">
        <v>41</v>
      </c>
      <c r="E200" t="s">
        <v>37</v>
      </c>
      <c r="F200" t="s">
        <v>46</v>
      </c>
      <c r="G200" t="s">
        <v>39</v>
      </c>
      <c r="H200">
        <v>60000</v>
      </c>
      <c r="I200">
        <v>6</v>
      </c>
      <c r="J200" t="s">
        <v>47</v>
      </c>
      <c r="K200">
        <f t="shared" si="3"/>
        <v>48000</v>
      </c>
    </row>
    <row r="201" spans="1:11">
      <c r="A201" t="s">
        <v>102</v>
      </c>
      <c r="B201" t="s">
        <v>49</v>
      </c>
      <c r="C201" t="s">
        <v>36</v>
      </c>
      <c r="D201" t="s">
        <v>29</v>
      </c>
      <c r="E201" t="s">
        <v>37</v>
      </c>
      <c r="F201" t="s">
        <v>71</v>
      </c>
      <c r="G201" t="s">
        <v>51</v>
      </c>
      <c r="H201">
        <v>250000</v>
      </c>
      <c r="I201">
        <v>10</v>
      </c>
      <c r="J201" t="s">
        <v>42</v>
      </c>
      <c r="K201">
        <f t="shared" si="3"/>
        <v>200000</v>
      </c>
    </row>
    <row r="202" spans="1:11">
      <c r="A202" t="s">
        <v>89</v>
      </c>
      <c r="B202" t="s">
        <v>44</v>
      </c>
      <c r="C202" t="s">
        <v>45</v>
      </c>
      <c r="D202" t="s">
        <v>29</v>
      </c>
      <c r="E202" t="s">
        <v>37</v>
      </c>
      <c r="F202" t="s">
        <v>67</v>
      </c>
      <c r="G202" t="s">
        <v>51</v>
      </c>
      <c r="H202">
        <v>420000</v>
      </c>
      <c r="I202">
        <v>3</v>
      </c>
      <c r="J202" t="s">
        <v>42</v>
      </c>
      <c r="K202">
        <f t="shared" si="3"/>
        <v>336000</v>
      </c>
    </row>
    <row r="203" spans="1:11">
      <c r="A203" t="s">
        <v>150</v>
      </c>
      <c r="B203" t="s">
        <v>49</v>
      </c>
      <c r="C203" t="s">
        <v>28</v>
      </c>
      <c r="D203" t="s">
        <v>41</v>
      </c>
      <c r="E203" t="s">
        <v>37</v>
      </c>
      <c r="F203" t="s">
        <v>62</v>
      </c>
      <c r="G203" t="s">
        <v>51</v>
      </c>
      <c r="H203">
        <v>150000</v>
      </c>
      <c r="I203">
        <v>3</v>
      </c>
      <c r="J203" t="s">
        <v>42</v>
      </c>
      <c r="K203">
        <f t="shared" si="3"/>
        <v>120000</v>
      </c>
    </row>
    <row r="204" spans="1:11">
      <c r="A204" t="s">
        <v>109</v>
      </c>
      <c r="B204" t="s">
        <v>44</v>
      </c>
      <c r="C204" t="s">
        <v>53</v>
      </c>
      <c r="D204" t="s">
        <v>41</v>
      </c>
      <c r="E204" t="s">
        <v>37</v>
      </c>
      <c r="F204" t="s">
        <v>73</v>
      </c>
      <c r="G204" t="s">
        <v>39</v>
      </c>
      <c r="H204">
        <v>220000</v>
      </c>
      <c r="I204">
        <v>4</v>
      </c>
      <c r="J204" t="s">
        <v>42</v>
      </c>
      <c r="K204">
        <f t="shared" si="3"/>
        <v>176000</v>
      </c>
    </row>
    <row r="205" spans="1:11">
      <c r="A205" t="s">
        <v>84</v>
      </c>
      <c r="B205" t="s">
        <v>44</v>
      </c>
      <c r="C205" t="s">
        <v>36</v>
      </c>
      <c r="D205" t="s">
        <v>41</v>
      </c>
      <c r="E205" t="s">
        <v>37</v>
      </c>
      <c r="F205" t="s">
        <v>31</v>
      </c>
      <c r="G205" t="s">
        <v>32</v>
      </c>
      <c r="H205">
        <v>85000</v>
      </c>
      <c r="I205">
        <v>10</v>
      </c>
      <c r="J205" t="s">
        <v>42</v>
      </c>
      <c r="K205">
        <f t="shared" si="3"/>
        <v>68000</v>
      </c>
    </row>
    <row r="206" spans="1:11">
      <c r="A206" t="s">
        <v>122</v>
      </c>
      <c r="B206" t="s">
        <v>49</v>
      </c>
      <c r="C206" t="s">
        <v>45</v>
      </c>
      <c r="D206" t="s">
        <v>29</v>
      </c>
      <c r="E206" t="s">
        <v>37</v>
      </c>
      <c r="F206" t="s">
        <v>50</v>
      </c>
      <c r="G206" t="s">
        <v>51</v>
      </c>
      <c r="H206">
        <v>300000</v>
      </c>
      <c r="I206">
        <v>6</v>
      </c>
      <c r="J206" t="s">
        <v>69</v>
      </c>
      <c r="K206">
        <f t="shared" si="3"/>
        <v>240000</v>
      </c>
    </row>
    <row r="207" spans="1:11">
      <c r="A207" t="s">
        <v>151</v>
      </c>
      <c r="B207" t="s">
        <v>27</v>
      </c>
      <c r="C207" t="s">
        <v>28</v>
      </c>
      <c r="D207" t="s">
        <v>29</v>
      </c>
      <c r="E207" t="s">
        <v>30</v>
      </c>
      <c r="F207" t="s">
        <v>50</v>
      </c>
      <c r="G207" t="s">
        <v>51</v>
      </c>
      <c r="H207">
        <v>300000</v>
      </c>
      <c r="I207">
        <v>8</v>
      </c>
      <c r="J207" t="s">
        <v>65</v>
      </c>
      <c r="K207">
        <f t="shared" si="3"/>
        <v>240000</v>
      </c>
    </row>
    <row r="208" spans="1:11">
      <c r="A208" t="s">
        <v>88</v>
      </c>
      <c r="B208" t="s">
        <v>44</v>
      </c>
      <c r="C208" t="s">
        <v>53</v>
      </c>
      <c r="D208" t="s">
        <v>41</v>
      </c>
      <c r="E208" t="s">
        <v>37</v>
      </c>
      <c r="F208" t="s">
        <v>56</v>
      </c>
      <c r="G208" t="s">
        <v>32</v>
      </c>
      <c r="H208">
        <v>320000</v>
      </c>
      <c r="I208">
        <v>4</v>
      </c>
      <c r="J208" t="s">
        <v>47</v>
      </c>
      <c r="K208">
        <f t="shared" si="3"/>
        <v>256000</v>
      </c>
    </row>
    <row r="209" spans="1:11">
      <c r="A209" t="s">
        <v>99</v>
      </c>
      <c r="B209" t="s">
        <v>44</v>
      </c>
      <c r="C209" t="s">
        <v>36</v>
      </c>
      <c r="D209" t="s">
        <v>41</v>
      </c>
      <c r="E209" t="s">
        <v>30</v>
      </c>
      <c r="F209" t="s">
        <v>54</v>
      </c>
      <c r="G209" t="s">
        <v>39</v>
      </c>
      <c r="H209">
        <v>180000</v>
      </c>
      <c r="I209">
        <v>5</v>
      </c>
      <c r="J209" t="s">
        <v>69</v>
      </c>
      <c r="K209">
        <f t="shared" si="3"/>
        <v>144000</v>
      </c>
    </row>
    <row r="210" spans="1:11">
      <c r="A210" t="s">
        <v>84</v>
      </c>
      <c r="B210" t="s">
        <v>27</v>
      </c>
      <c r="C210" t="s">
        <v>28</v>
      </c>
      <c r="D210" t="s">
        <v>29</v>
      </c>
      <c r="E210" t="s">
        <v>37</v>
      </c>
      <c r="F210" t="s">
        <v>54</v>
      </c>
      <c r="G210" t="s">
        <v>39</v>
      </c>
      <c r="H210">
        <v>180000</v>
      </c>
      <c r="I210">
        <v>6</v>
      </c>
      <c r="J210" t="s">
        <v>58</v>
      </c>
      <c r="K210">
        <f t="shared" si="3"/>
        <v>144000</v>
      </c>
    </row>
    <row r="211" spans="1:11">
      <c r="A211" t="s">
        <v>66</v>
      </c>
      <c r="B211" t="s">
        <v>35</v>
      </c>
      <c r="C211" t="s">
        <v>45</v>
      </c>
      <c r="D211" t="s">
        <v>41</v>
      </c>
      <c r="E211" t="s">
        <v>37</v>
      </c>
      <c r="F211" t="s">
        <v>62</v>
      </c>
      <c r="G211" t="s">
        <v>51</v>
      </c>
      <c r="H211">
        <v>150000</v>
      </c>
      <c r="I211">
        <v>9</v>
      </c>
      <c r="J211" t="s">
        <v>47</v>
      </c>
      <c r="K211">
        <f t="shared" si="3"/>
        <v>120000</v>
      </c>
    </row>
    <row r="212" spans="1:11">
      <c r="A212" t="s">
        <v>152</v>
      </c>
      <c r="B212" t="s">
        <v>27</v>
      </c>
      <c r="C212" t="s">
        <v>28</v>
      </c>
      <c r="D212" t="s">
        <v>29</v>
      </c>
      <c r="E212" t="s">
        <v>30</v>
      </c>
      <c r="F212" t="s">
        <v>62</v>
      </c>
      <c r="G212" t="s">
        <v>51</v>
      </c>
      <c r="H212">
        <v>150000</v>
      </c>
      <c r="I212">
        <v>1</v>
      </c>
      <c r="J212" t="s">
        <v>58</v>
      </c>
      <c r="K212">
        <f t="shared" si="3"/>
        <v>120000</v>
      </c>
    </row>
    <row r="213" spans="1:11">
      <c r="A213" t="s">
        <v>150</v>
      </c>
      <c r="B213" t="s">
        <v>35</v>
      </c>
      <c r="C213" t="s">
        <v>45</v>
      </c>
      <c r="D213" t="s">
        <v>29</v>
      </c>
      <c r="E213" t="s">
        <v>30</v>
      </c>
      <c r="F213" t="s">
        <v>54</v>
      </c>
      <c r="G213" t="s">
        <v>39</v>
      </c>
      <c r="H213">
        <v>180000</v>
      </c>
      <c r="I213">
        <v>8</v>
      </c>
      <c r="J213" t="s">
        <v>58</v>
      </c>
      <c r="K213">
        <f t="shared" si="3"/>
        <v>144000</v>
      </c>
    </row>
    <row r="214" spans="1:11">
      <c r="A214" t="s">
        <v>153</v>
      </c>
      <c r="B214" t="s">
        <v>27</v>
      </c>
      <c r="C214" t="s">
        <v>28</v>
      </c>
      <c r="D214" t="s">
        <v>29</v>
      </c>
      <c r="E214" t="s">
        <v>37</v>
      </c>
      <c r="F214" t="s">
        <v>54</v>
      </c>
      <c r="G214" t="s">
        <v>39</v>
      </c>
      <c r="H214">
        <v>180000</v>
      </c>
      <c r="I214">
        <v>6</v>
      </c>
      <c r="J214" t="s">
        <v>47</v>
      </c>
      <c r="K214">
        <f t="shared" si="3"/>
        <v>144000</v>
      </c>
    </row>
    <row r="215" spans="1:11">
      <c r="A215" t="s">
        <v>70</v>
      </c>
      <c r="B215" t="s">
        <v>49</v>
      </c>
      <c r="C215" t="s">
        <v>53</v>
      </c>
      <c r="D215" t="s">
        <v>41</v>
      </c>
      <c r="E215" t="s">
        <v>30</v>
      </c>
      <c r="F215" t="s">
        <v>54</v>
      </c>
      <c r="G215" t="s">
        <v>39</v>
      </c>
      <c r="H215">
        <v>180000</v>
      </c>
      <c r="I215">
        <v>3</v>
      </c>
      <c r="J215" t="s">
        <v>65</v>
      </c>
      <c r="K215">
        <f t="shared" si="3"/>
        <v>144000</v>
      </c>
    </row>
    <row r="216" spans="1:11">
      <c r="A216" t="s">
        <v>128</v>
      </c>
      <c r="B216" t="s">
        <v>49</v>
      </c>
      <c r="C216" t="s">
        <v>45</v>
      </c>
      <c r="D216" t="s">
        <v>29</v>
      </c>
      <c r="E216" t="s">
        <v>30</v>
      </c>
      <c r="F216" t="s">
        <v>62</v>
      </c>
      <c r="G216" t="s">
        <v>51</v>
      </c>
      <c r="H216">
        <v>150000</v>
      </c>
      <c r="I216">
        <v>10</v>
      </c>
      <c r="J216" t="s">
        <v>33</v>
      </c>
      <c r="K216">
        <f t="shared" si="3"/>
        <v>120000</v>
      </c>
    </row>
    <row r="217" spans="1:11">
      <c r="A217" t="s">
        <v>149</v>
      </c>
      <c r="B217" t="s">
        <v>44</v>
      </c>
      <c r="C217" t="s">
        <v>45</v>
      </c>
      <c r="D217" t="s">
        <v>29</v>
      </c>
      <c r="E217" t="s">
        <v>37</v>
      </c>
      <c r="F217" t="s">
        <v>54</v>
      </c>
      <c r="G217" t="s">
        <v>39</v>
      </c>
      <c r="H217">
        <v>180000</v>
      </c>
      <c r="I217">
        <v>8</v>
      </c>
      <c r="J217" t="s">
        <v>65</v>
      </c>
      <c r="K217">
        <f t="shared" si="3"/>
        <v>144000</v>
      </c>
    </row>
    <row r="218" spans="1:11">
      <c r="A218" t="s">
        <v>85</v>
      </c>
      <c r="B218" t="s">
        <v>27</v>
      </c>
      <c r="C218" t="s">
        <v>45</v>
      </c>
      <c r="D218" t="s">
        <v>29</v>
      </c>
      <c r="E218" t="s">
        <v>37</v>
      </c>
      <c r="F218" t="s">
        <v>50</v>
      </c>
      <c r="G218" t="s">
        <v>51</v>
      </c>
      <c r="H218">
        <v>300000</v>
      </c>
      <c r="I218">
        <v>8</v>
      </c>
      <c r="J218" t="s">
        <v>47</v>
      </c>
      <c r="K218">
        <f t="shared" si="3"/>
        <v>240000</v>
      </c>
    </row>
    <row r="219" spans="1:11">
      <c r="A219" t="s">
        <v>107</v>
      </c>
      <c r="B219" t="s">
        <v>27</v>
      </c>
      <c r="C219" t="s">
        <v>45</v>
      </c>
      <c r="D219" t="s">
        <v>29</v>
      </c>
      <c r="E219" t="s">
        <v>37</v>
      </c>
      <c r="F219" t="s">
        <v>56</v>
      </c>
      <c r="G219" t="s">
        <v>32</v>
      </c>
      <c r="H219">
        <v>320000</v>
      </c>
      <c r="I219">
        <v>9</v>
      </c>
      <c r="J219" t="s">
        <v>58</v>
      </c>
      <c r="K219">
        <f t="shared" si="3"/>
        <v>256000</v>
      </c>
    </row>
    <row r="220" spans="1:11">
      <c r="A220" t="s">
        <v>147</v>
      </c>
      <c r="B220" t="s">
        <v>44</v>
      </c>
      <c r="C220" t="s">
        <v>45</v>
      </c>
      <c r="D220" t="s">
        <v>29</v>
      </c>
      <c r="E220" t="s">
        <v>30</v>
      </c>
      <c r="F220" t="s">
        <v>56</v>
      </c>
      <c r="G220" t="s">
        <v>32</v>
      </c>
      <c r="H220">
        <v>320000</v>
      </c>
      <c r="I220">
        <v>7</v>
      </c>
      <c r="J220" t="s">
        <v>69</v>
      </c>
      <c r="K220">
        <f t="shared" si="3"/>
        <v>256000</v>
      </c>
    </row>
    <row r="221" spans="1:11">
      <c r="A221" t="s">
        <v>64</v>
      </c>
      <c r="B221" t="s">
        <v>35</v>
      </c>
      <c r="C221" t="s">
        <v>53</v>
      </c>
      <c r="D221" t="s">
        <v>29</v>
      </c>
      <c r="E221" t="s">
        <v>30</v>
      </c>
      <c r="F221" t="s">
        <v>62</v>
      </c>
      <c r="G221" t="s">
        <v>51</v>
      </c>
      <c r="H221">
        <v>150000</v>
      </c>
      <c r="I221">
        <v>7</v>
      </c>
      <c r="J221" t="s">
        <v>42</v>
      </c>
      <c r="K221">
        <f t="shared" si="3"/>
        <v>120000</v>
      </c>
    </row>
    <row r="222" spans="1:11">
      <c r="A222" t="s">
        <v>127</v>
      </c>
      <c r="B222" t="s">
        <v>35</v>
      </c>
      <c r="C222" t="s">
        <v>53</v>
      </c>
      <c r="D222" t="s">
        <v>29</v>
      </c>
      <c r="E222" t="s">
        <v>37</v>
      </c>
      <c r="F222" t="s">
        <v>73</v>
      </c>
      <c r="G222" t="s">
        <v>39</v>
      </c>
      <c r="H222">
        <v>220000</v>
      </c>
      <c r="I222">
        <v>6</v>
      </c>
      <c r="J222" t="s">
        <v>69</v>
      </c>
      <c r="K222">
        <f t="shared" si="3"/>
        <v>176000</v>
      </c>
    </row>
    <row r="223" spans="1:11">
      <c r="A223" t="s">
        <v>96</v>
      </c>
      <c r="B223" t="s">
        <v>49</v>
      </c>
      <c r="C223" t="s">
        <v>36</v>
      </c>
      <c r="D223" t="s">
        <v>29</v>
      </c>
      <c r="E223" t="s">
        <v>30</v>
      </c>
      <c r="F223" t="s">
        <v>71</v>
      </c>
      <c r="G223" t="s">
        <v>51</v>
      </c>
      <c r="H223">
        <v>250000</v>
      </c>
      <c r="I223">
        <v>1</v>
      </c>
      <c r="J223" t="s">
        <v>58</v>
      </c>
      <c r="K223">
        <f t="shared" si="3"/>
        <v>200000</v>
      </c>
    </row>
    <row r="224" spans="1:11">
      <c r="A224" t="s">
        <v>129</v>
      </c>
      <c r="B224" t="s">
        <v>27</v>
      </c>
      <c r="C224" t="s">
        <v>36</v>
      </c>
      <c r="D224" t="s">
        <v>29</v>
      </c>
      <c r="E224" t="s">
        <v>30</v>
      </c>
      <c r="F224" t="s">
        <v>46</v>
      </c>
      <c r="G224" t="s">
        <v>39</v>
      </c>
      <c r="H224">
        <v>60000</v>
      </c>
      <c r="I224">
        <v>4</v>
      </c>
      <c r="J224" t="s">
        <v>42</v>
      </c>
      <c r="K224">
        <f t="shared" si="3"/>
        <v>48000</v>
      </c>
    </row>
    <row r="225" spans="1:11">
      <c r="A225" t="s">
        <v>101</v>
      </c>
      <c r="B225" t="s">
        <v>49</v>
      </c>
      <c r="C225" t="s">
        <v>36</v>
      </c>
      <c r="D225" t="s">
        <v>29</v>
      </c>
      <c r="E225" t="s">
        <v>30</v>
      </c>
      <c r="F225" t="s">
        <v>31</v>
      </c>
      <c r="G225" t="s">
        <v>32</v>
      </c>
      <c r="H225">
        <v>85000</v>
      </c>
      <c r="I225">
        <v>9</v>
      </c>
      <c r="J225" t="s">
        <v>42</v>
      </c>
      <c r="K225">
        <f t="shared" si="3"/>
        <v>68000</v>
      </c>
    </row>
    <row r="226" spans="1:11">
      <c r="A226" t="s">
        <v>141</v>
      </c>
      <c r="B226" t="s">
        <v>27</v>
      </c>
      <c r="C226" t="s">
        <v>28</v>
      </c>
      <c r="D226" t="s">
        <v>29</v>
      </c>
      <c r="E226" t="s">
        <v>30</v>
      </c>
      <c r="F226" t="s">
        <v>54</v>
      </c>
      <c r="G226" t="s">
        <v>39</v>
      </c>
      <c r="H226">
        <v>180000</v>
      </c>
      <c r="I226">
        <v>5</v>
      </c>
      <c r="J226" t="s">
        <v>33</v>
      </c>
      <c r="K226">
        <f t="shared" si="3"/>
        <v>144000</v>
      </c>
    </row>
    <row r="227" spans="1:11">
      <c r="A227" t="s">
        <v>61</v>
      </c>
      <c r="B227" t="s">
        <v>27</v>
      </c>
      <c r="C227" t="s">
        <v>36</v>
      </c>
      <c r="D227" t="s">
        <v>29</v>
      </c>
      <c r="E227" t="s">
        <v>37</v>
      </c>
      <c r="F227" t="s">
        <v>62</v>
      </c>
      <c r="G227" t="s">
        <v>51</v>
      </c>
      <c r="H227">
        <v>150000</v>
      </c>
      <c r="I227">
        <v>4</v>
      </c>
      <c r="J227" t="s">
        <v>33</v>
      </c>
      <c r="K227">
        <f t="shared" si="3"/>
        <v>120000</v>
      </c>
    </row>
    <row r="228" spans="1:11">
      <c r="A228" t="s">
        <v>154</v>
      </c>
      <c r="B228" t="s">
        <v>49</v>
      </c>
      <c r="C228" t="s">
        <v>36</v>
      </c>
      <c r="D228" t="s">
        <v>29</v>
      </c>
      <c r="E228" t="s">
        <v>30</v>
      </c>
      <c r="F228" t="s">
        <v>62</v>
      </c>
      <c r="G228" t="s">
        <v>51</v>
      </c>
      <c r="H228">
        <v>150000</v>
      </c>
      <c r="I228">
        <v>4</v>
      </c>
      <c r="J228" t="s">
        <v>47</v>
      </c>
      <c r="K228">
        <f t="shared" si="3"/>
        <v>120000</v>
      </c>
    </row>
    <row r="229" spans="1:11">
      <c r="A229" t="s">
        <v>106</v>
      </c>
      <c r="B229" t="s">
        <v>35</v>
      </c>
      <c r="C229" t="s">
        <v>36</v>
      </c>
      <c r="D229" t="s">
        <v>41</v>
      </c>
      <c r="E229" t="s">
        <v>30</v>
      </c>
      <c r="F229" t="s">
        <v>38</v>
      </c>
      <c r="G229" t="s">
        <v>39</v>
      </c>
      <c r="H229">
        <v>30000</v>
      </c>
      <c r="I229">
        <v>2</v>
      </c>
      <c r="J229" t="s">
        <v>47</v>
      </c>
      <c r="K229">
        <f t="shared" si="3"/>
        <v>24000</v>
      </c>
    </row>
    <row r="230" spans="1:11">
      <c r="A230" t="s">
        <v>155</v>
      </c>
      <c r="B230" t="s">
        <v>44</v>
      </c>
      <c r="C230" t="s">
        <v>53</v>
      </c>
      <c r="D230" t="s">
        <v>41</v>
      </c>
      <c r="E230" t="s">
        <v>30</v>
      </c>
      <c r="F230" t="s">
        <v>54</v>
      </c>
      <c r="G230" t="s">
        <v>39</v>
      </c>
      <c r="H230">
        <v>180000</v>
      </c>
      <c r="I230">
        <v>6</v>
      </c>
      <c r="J230" t="s">
        <v>65</v>
      </c>
      <c r="K230">
        <f t="shared" si="3"/>
        <v>144000</v>
      </c>
    </row>
    <row r="231" spans="1:11">
      <c r="A231" t="s">
        <v>108</v>
      </c>
      <c r="B231" t="s">
        <v>49</v>
      </c>
      <c r="C231" t="s">
        <v>45</v>
      </c>
      <c r="D231" t="s">
        <v>41</v>
      </c>
      <c r="E231" t="s">
        <v>37</v>
      </c>
      <c r="F231" t="s">
        <v>46</v>
      </c>
      <c r="G231" t="s">
        <v>39</v>
      </c>
      <c r="H231">
        <v>60000</v>
      </c>
      <c r="I231">
        <v>9</v>
      </c>
      <c r="J231" t="s">
        <v>69</v>
      </c>
      <c r="K231">
        <f t="shared" si="3"/>
        <v>48000</v>
      </c>
    </row>
    <row r="232" spans="1:11">
      <c r="A232" t="s">
        <v>75</v>
      </c>
      <c r="B232" t="s">
        <v>44</v>
      </c>
      <c r="C232" t="s">
        <v>28</v>
      </c>
      <c r="D232" t="s">
        <v>29</v>
      </c>
      <c r="E232" t="s">
        <v>30</v>
      </c>
      <c r="F232" t="s">
        <v>62</v>
      </c>
      <c r="G232" t="s">
        <v>51</v>
      </c>
      <c r="H232">
        <v>150000</v>
      </c>
      <c r="I232">
        <v>3</v>
      </c>
      <c r="J232" t="s">
        <v>42</v>
      </c>
      <c r="K232">
        <f t="shared" si="3"/>
        <v>120000</v>
      </c>
    </row>
    <row r="233" spans="1:11">
      <c r="A233" t="s">
        <v>93</v>
      </c>
      <c r="B233" t="s">
        <v>49</v>
      </c>
      <c r="C233" t="s">
        <v>36</v>
      </c>
      <c r="D233" t="s">
        <v>29</v>
      </c>
      <c r="E233" t="s">
        <v>30</v>
      </c>
      <c r="F233" t="s">
        <v>31</v>
      </c>
      <c r="G233" t="s">
        <v>32</v>
      </c>
      <c r="H233">
        <v>85000</v>
      </c>
      <c r="I233">
        <v>3</v>
      </c>
      <c r="J233" t="s">
        <v>47</v>
      </c>
      <c r="K233">
        <f t="shared" si="3"/>
        <v>68000</v>
      </c>
    </row>
    <row r="234" spans="1:11">
      <c r="A234" t="s">
        <v>143</v>
      </c>
      <c r="B234" t="s">
        <v>35</v>
      </c>
      <c r="C234" t="s">
        <v>28</v>
      </c>
      <c r="D234" t="s">
        <v>41</v>
      </c>
      <c r="E234" t="s">
        <v>37</v>
      </c>
      <c r="F234" t="s">
        <v>38</v>
      </c>
      <c r="G234" t="s">
        <v>39</v>
      </c>
      <c r="H234">
        <v>30000</v>
      </c>
      <c r="I234">
        <v>3</v>
      </c>
      <c r="J234" t="s">
        <v>58</v>
      </c>
      <c r="K234">
        <f t="shared" si="3"/>
        <v>24000</v>
      </c>
    </row>
    <row r="235" spans="1:11">
      <c r="A235" t="s">
        <v>52</v>
      </c>
      <c r="B235" t="s">
        <v>35</v>
      </c>
      <c r="C235" t="s">
        <v>45</v>
      </c>
      <c r="D235" t="s">
        <v>41</v>
      </c>
      <c r="E235" t="s">
        <v>30</v>
      </c>
      <c r="F235" t="s">
        <v>31</v>
      </c>
      <c r="G235" t="s">
        <v>32</v>
      </c>
      <c r="H235">
        <v>85000</v>
      </c>
      <c r="I235">
        <v>2</v>
      </c>
      <c r="J235" t="s">
        <v>33</v>
      </c>
      <c r="K235">
        <f t="shared" si="3"/>
        <v>68000</v>
      </c>
    </row>
    <row r="236" spans="1:11">
      <c r="A236" t="s">
        <v>145</v>
      </c>
      <c r="B236" t="s">
        <v>27</v>
      </c>
      <c r="C236" t="s">
        <v>53</v>
      </c>
      <c r="D236" t="s">
        <v>41</v>
      </c>
      <c r="E236" t="s">
        <v>30</v>
      </c>
      <c r="F236" t="s">
        <v>38</v>
      </c>
      <c r="G236" t="s">
        <v>39</v>
      </c>
      <c r="H236">
        <v>30000</v>
      </c>
      <c r="I236">
        <v>6</v>
      </c>
      <c r="J236" t="s">
        <v>33</v>
      </c>
      <c r="K236">
        <f t="shared" si="3"/>
        <v>24000</v>
      </c>
    </row>
    <row r="237" spans="1:11">
      <c r="A237" t="s">
        <v>123</v>
      </c>
      <c r="B237" t="s">
        <v>27</v>
      </c>
      <c r="C237" t="s">
        <v>53</v>
      </c>
      <c r="D237" t="s">
        <v>41</v>
      </c>
      <c r="E237" t="s">
        <v>30</v>
      </c>
      <c r="F237" t="s">
        <v>56</v>
      </c>
      <c r="G237" t="s">
        <v>32</v>
      </c>
      <c r="H237">
        <v>320000</v>
      </c>
      <c r="I237">
        <v>1</v>
      </c>
      <c r="J237" t="s">
        <v>33</v>
      </c>
      <c r="K237">
        <f t="shared" si="3"/>
        <v>256000</v>
      </c>
    </row>
    <row r="238" spans="1:11">
      <c r="A238" t="s">
        <v>116</v>
      </c>
      <c r="B238" t="s">
        <v>44</v>
      </c>
      <c r="C238" t="s">
        <v>36</v>
      </c>
      <c r="D238" t="s">
        <v>29</v>
      </c>
      <c r="E238" t="s">
        <v>37</v>
      </c>
      <c r="F238" t="s">
        <v>67</v>
      </c>
      <c r="G238" t="s">
        <v>51</v>
      </c>
      <c r="H238">
        <v>420000</v>
      </c>
      <c r="I238">
        <v>5</v>
      </c>
      <c r="J238" t="s">
        <v>65</v>
      </c>
      <c r="K238">
        <f t="shared" si="3"/>
        <v>336000</v>
      </c>
    </row>
    <row r="239" spans="1:11">
      <c r="A239" t="s">
        <v>137</v>
      </c>
      <c r="B239" t="s">
        <v>27</v>
      </c>
      <c r="C239" t="s">
        <v>53</v>
      </c>
      <c r="D239" t="s">
        <v>29</v>
      </c>
      <c r="E239" t="s">
        <v>37</v>
      </c>
      <c r="F239" t="s">
        <v>38</v>
      </c>
      <c r="G239" t="s">
        <v>39</v>
      </c>
      <c r="H239">
        <v>30000</v>
      </c>
      <c r="I239">
        <v>9</v>
      </c>
      <c r="J239" t="s">
        <v>69</v>
      </c>
      <c r="K239">
        <f t="shared" si="3"/>
        <v>24000</v>
      </c>
    </row>
    <row r="240" spans="1:11">
      <c r="A240" t="s">
        <v>147</v>
      </c>
      <c r="B240" t="s">
        <v>44</v>
      </c>
      <c r="C240" t="s">
        <v>53</v>
      </c>
      <c r="D240" t="s">
        <v>29</v>
      </c>
      <c r="E240" t="s">
        <v>30</v>
      </c>
      <c r="F240" t="s">
        <v>46</v>
      </c>
      <c r="G240" t="s">
        <v>39</v>
      </c>
      <c r="H240">
        <v>60000</v>
      </c>
      <c r="I240">
        <v>8</v>
      </c>
      <c r="J240" t="s">
        <v>65</v>
      </c>
      <c r="K240">
        <f t="shared" si="3"/>
        <v>48000</v>
      </c>
    </row>
    <row r="241" spans="1:11">
      <c r="A241" t="s">
        <v>145</v>
      </c>
      <c r="B241" t="s">
        <v>27</v>
      </c>
      <c r="C241" t="s">
        <v>45</v>
      </c>
      <c r="D241" t="s">
        <v>29</v>
      </c>
      <c r="E241" t="s">
        <v>30</v>
      </c>
      <c r="F241" t="s">
        <v>50</v>
      </c>
      <c r="G241" t="s">
        <v>51</v>
      </c>
      <c r="H241">
        <v>300000</v>
      </c>
      <c r="I241">
        <v>2</v>
      </c>
      <c r="J241" t="s">
        <v>47</v>
      </c>
      <c r="K241">
        <f t="shared" si="3"/>
        <v>240000</v>
      </c>
    </row>
    <row r="242" spans="1:11">
      <c r="A242" t="s">
        <v>96</v>
      </c>
      <c r="B242" t="s">
        <v>44</v>
      </c>
      <c r="C242" t="s">
        <v>28</v>
      </c>
      <c r="D242" t="s">
        <v>29</v>
      </c>
      <c r="E242" t="s">
        <v>30</v>
      </c>
      <c r="F242" t="s">
        <v>73</v>
      </c>
      <c r="G242" t="s">
        <v>39</v>
      </c>
      <c r="H242">
        <v>220000</v>
      </c>
      <c r="I242">
        <v>7</v>
      </c>
      <c r="J242" t="s">
        <v>47</v>
      </c>
      <c r="K242">
        <f t="shared" si="3"/>
        <v>176000</v>
      </c>
    </row>
    <row r="243" spans="1:11">
      <c r="A243" t="s">
        <v>95</v>
      </c>
      <c r="B243" t="s">
        <v>49</v>
      </c>
      <c r="C243" t="s">
        <v>36</v>
      </c>
      <c r="D243" t="s">
        <v>41</v>
      </c>
      <c r="E243" t="s">
        <v>37</v>
      </c>
      <c r="F243" t="s">
        <v>50</v>
      </c>
      <c r="G243" t="s">
        <v>51</v>
      </c>
      <c r="H243">
        <v>300000</v>
      </c>
      <c r="I243">
        <v>8</v>
      </c>
      <c r="J243" t="s">
        <v>33</v>
      </c>
      <c r="K243">
        <f t="shared" si="3"/>
        <v>240000</v>
      </c>
    </row>
    <row r="244" spans="1:11">
      <c r="A244" t="s">
        <v>72</v>
      </c>
      <c r="B244" t="s">
        <v>35</v>
      </c>
      <c r="C244" t="s">
        <v>36</v>
      </c>
      <c r="D244" t="s">
        <v>41</v>
      </c>
      <c r="E244" t="s">
        <v>37</v>
      </c>
      <c r="F244" t="s">
        <v>67</v>
      </c>
      <c r="G244" t="s">
        <v>51</v>
      </c>
      <c r="H244">
        <v>420000</v>
      </c>
      <c r="I244">
        <v>10</v>
      </c>
      <c r="J244" t="s">
        <v>58</v>
      </c>
      <c r="K244">
        <f t="shared" si="3"/>
        <v>336000</v>
      </c>
    </row>
    <row r="245" spans="1:11">
      <c r="A245" t="s">
        <v>108</v>
      </c>
      <c r="B245" t="s">
        <v>35</v>
      </c>
      <c r="C245" t="s">
        <v>53</v>
      </c>
      <c r="D245" t="s">
        <v>41</v>
      </c>
      <c r="E245" t="s">
        <v>30</v>
      </c>
      <c r="F245" t="s">
        <v>50</v>
      </c>
      <c r="G245" t="s">
        <v>51</v>
      </c>
      <c r="H245">
        <v>300000</v>
      </c>
      <c r="I245">
        <v>2</v>
      </c>
      <c r="J245" t="s">
        <v>58</v>
      </c>
      <c r="K245">
        <f t="shared" si="3"/>
        <v>240000</v>
      </c>
    </row>
    <row r="246" spans="1:11">
      <c r="A246" t="s">
        <v>144</v>
      </c>
      <c r="B246" t="s">
        <v>35</v>
      </c>
      <c r="C246" t="s">
        <v>36</v>
      </c>
      <c r="D246" t="s">
        <v>41</v>
      </c>
      <c r="E246" t="s">
        <v>30</v>
      </c>
      <c r="F246" t="s">
        <v>73</v>
      </c>
      <c r="G246" t="s">
        <v>39</v>
      </c>
      <c r="H246">
        <v>220000</v>
      </c>
      <c r="I246">
        <v>3</v>
      </c>
      <c r="J246" t="s">
        <v>47</v>
      </c>
      <c r="K246">
        <f t="shared" si="3"/>
        <v>176000</v>
      </c>
    </row>
    <row r="247" spans="1:11">
      <c r="A247" t="s">
        <v>88</v>
      </c>
      <c r="B247" t="s">
        <v>35</v>
      </c>
      <c r="C247" t="s">
        <v>45</v>
      </c>
      <c r="D247" t="s">
        <v>41</v>
      </c>
      <c r="E247" t="s">
        <v>37</v>
      </c>
      <c r="F247" t="s">
        <v>31</v>
      </c>
      <c r="G247" t="s">
        <v>32</v>
      </c>
      <c r="H247">
        <v>85000</v>
      </c>
      <c r="I247">
        <v>6</v>
      </c>
      <c r="J247" t="s">
        <v>42</v>
      </c>
      <c r="K247">
        <f t="shared" si="3"/>
        <v>68000</v>
      </c>
    </row>
    <row r="248" spans="1:11">
      <c r="A248" t="s">
        <v>124</v>
      </c>
      <c r="B248" t="s">
        <v>49</v>
      </c>
      <c r="C248" t="s">
        <v>53</v>
      </c>
      <c r="D248" t="s">
        <v>41</v>
      </c>
      <c r="E248" t="s">
        <v>30</v>
      </c>
      <c r="F248" t="s">
        <v>56</v>
      </c>
      <c r="G248" t="s">
        <v>32</v>
      </c>
      <c r="H248">
        <v>320000</v>
      </c>
      <c r="I248">
        <v>10</v>
      </c>
      <c r="J248" t="s">
        <v>69</v>
      </c>
      <c r="K248">
        <f t="shared" si="3"/>
        <v>256000</v>
      </c>
    </row>
    <row r="249" spans="1:11">
      <c r="A249" t="s">
        <v>94</v>
      </c>
      <c r="B249" t="s">
        <v>35</v>
      </c>
      <c r="C249" t="s">
        <v>28</v>
      </c>
      <c r="D249" t="s">
        <v>41</v>
      </c>
      <c r="E249" t="s">
        <v>30</v>
      </c>
      <c r="F249" t="s">
        <v>50</v>
      </c>
      <c r="G249" t="s">
        <v>51</v>
      </c>
      <c r="H249">
        <v>300000</v>
      </c>
      <c r="I249">
        <v>2</v>
      </c>
      <c r="J249" t="s">
        <v>42</v>
      </c>
      <c r="K249">
        <f t="shared" si="3"/>
        <v>240000</v>
      </c>
    </row>
    <row r="250" spans="1:11">
      <c r="A250" t="s">
        <v>102</v>
      </c>
      <c r="B250" t="s">
        <v>44</v>
      </c>
      <c r="C250" t="s">
        <v>28</v>
      </c>
      <c r="D250" t="s">
        <v>41</v>
      </c>
      <c r="E250" t="s">
        <v>37</v>
      </c>
      <c r="F250" t="s">
        <v>38</v>
      </c>
      <c r="G250" t="s">
        <v>39</v>
      </c>
      <c r="H250">
        <v>30000</v>
      </c>
      <c r="I250">
        <v>6</v>
      </c>
      <c r="J250" t="s">
        <v>69</v>
      </c>
      <c r="K250">
        <f t="shared" si="3"/>
        <v>24000</v>
      </c>
    </row>
    <row r="251" spans="1:11">
      <c r="A251" t="s">
        <v>156</v>
      </c>
      <c r="B251" t="s">
        <v>44</v>
      </c>
      <c r="C251" t="s">
        <v>28</v>
      </c>
      <c r="D251" t="s">
        <v>41</v>
      </c>
      <c r="E251" t="s">
        <v>37</v>
      </c>
      <c r="F251" t="s">
        <v>46</v>
      </c>
      <c r="G251" t="s">
        <v>39</v>
      </c>
      <c r="H251">
        <v>60000</v>
      </c>
      <c r="I251">
        <v>2</v>
      </c>
      <c r="J251" t="s">
        <v>47</v>
      </c>
      <c r="K251">
        <f t="shared" si="3"/>
        <v>48000</v>
      </c>
    </row>
    <row r="252" spans="1:11">
      <c r="A252" t="s">
        <v>94</v>
      </c>
      <c r="B252" t="s">
        <v>49</v>
      </c>
      <c r="C252" t="s">
        <v>45</v>
      </c>
      <c r="D252" t="s">
        <v>29</v>
      </c>
      <c r="E252" t="s">
        <v>30</v>
      </c>
      <c r="F252" t="s">
        <v>73</v>
      </c>
      <c r="G252" t="s">
        <v>39</v>
      </c>
      <c r="H252">
        <v>220000</v>
      </c>
      <c r="I252">
        <v>5</v>
      </c>
      <c r="J252" t="s">
        <v>33</v>
      </c>
      <c r="K252">
        <f t="shared" si="3"/>
        <v>176000</v>
      </c>
    </row>
    <row r="253" spans="1:11">
      <c r="A253" t="s">
        <v>107</v>
      </c>
      <c r="B253" t="s">
        <v>27</v>
      </c>
      <c r="C253" t="s">
        <v>53</v>
      </c>
      <c r="D253" t="s">
        <v>29</v>
      </c>
      <c r="E253" t="s">
        <v>37</v>
      </c>
      <c r="F253" t="s">
        <v>54</v>
      </c>
      <c r="G253" t="s">
        <v>39</v>
      </c>
      <c r="H253">
        <v>180000</v>
      </c>
      <c r="I253">
        <v>6</v>
      </c>
      <c r="J253" t="s">
        <v>69</v>
      </c>
      <c r="K253">
        <f t="shared" si="3"/>
        <v>144000</v>
      </c>
    </row>
    <row r="254" spans="1:11">
      <c r="A254" t="s">
        <v>78</v>
      </c>
      <c r="B254" t="s">
        <v>49</v>
      </c>
      <c r="C254" t="s">
        <v>28</v>
      </c>
      <c r="D254" t="s">
        <v>29</v>
      </c>
      <c r="E254" t="s">
        <v>30</v>
      </c>
      <c r="F254" t="s">
        <v>71</v>
      </c>
      <c r="G254" t="s">
        <v>51</v>
      </c>
      <c r="H254">
        <v>250000</v>
      </c>
      <c r="I254">
        <v>4</v>
      </c>
      <c r="J254" t="s">
        <v>58</v>
      </c>
      <c r="K254">
        <f t="shared" si="3"/>
        <v>200000</v>
      </c>
    </row>
    <row r="255" spans="1:11">
      <c r="A255" t="s">
        <v>55</v>
      </c>
      <c r="B255" t="s">
        <v>49</v>
      </c>
      <c r="C255" t="s">
        <v>45</v>
      </c>
      <c r="D255" t="s">
        <v>41</v>
      </c>
      <c r="E255" t="s">
        <v>30</v>
      </c>
      <c r="F255" t="s">
        <v>31</v>
      </c>
      <c r="G255" t="s">
        <v>32</v>
      </c>
      <c r="H255">
        <v>85000</v>
      </c>
      <c r="I255">
        <v>10</v>
      </c>
      <c r="J255" t="s">
        <v>42</v>
      </c>
      <c r="K255">
        <f t="shared" si="3"/>
        <v>68000</v>
      </c>
    </row>
    <row r="256" spans="1:11">
      <c r="A256" t="s">
        <v>129</v>
      </c>
      <c r="B256" t="s">
        <v>27</v>
      </c>
      <c r="C256" t="s">
        <v>36</v>
      </c>
      <c r="D256" t="s">
        <v>29</v>
      </c>
      <c r="E256" t="s">
        <v>30</v>
      </c>
      <c r="F256" t="s">
        <v>50</v>
      </c>
      <c r="G256" t="s">
        <v>51</v>
      </c>
      <c r="H256">
        <v>300000</v>
      </c>
      <c r="I256">
        <v>6</v>
      </c>
      <c r="J256" t="s">
        <v>42</v>
      </c>
      <c r="K256">
        <f t="shared" si="3"/>
        <v>240000</v>
      </c>
    </row>
    <row r="257" spans="1:11">
      <c r="A257" t="s">
        <v>117</v>
      </c>
      <c r="B257" t="s">
        <v>49</v>
      </c>
      <c r="C257" t="s">
        <v>36</v>
      </c>
      <c r="D257" t="s">
        <v>41</v>
      </c>
      <c r="E257" t="s">
        <v>37</v>
      </c>
      <c r="F257" t="s">
        <v>73</v>
      </c>
      <c r="G257" t="s">
        <v>39</v>
      </c>
      <c r="H257">
        <v>220000</v>
      </c>
      <c r="I257">
        <v>3</v>
      </c>
      <c r="J257" t="s">
        <v>33</v>
      </c>
      <c r="K257">
        <f t="shared" si="3"/>
        <v>176000</v>
      </c>
    </row>
    <row r="258" spans="1:11">
      <c r="A258" t="s">
        <v>100</v>
      </c>
      <c r="B258" t="s">
        <v>49</v>
      </c>
      <c r="C258" t="s">
        <v>45</v>
      </c>
      <c r="D258" t="s">
        <v>29</v>
      </c>
      <c r="E258" t="s">
        <v>37</v>
      </c>
      <c r="F258" t="s">
        <v>38</v>
      </c>
      <c r="G258" t="s">
        <v>39</v>
      </c>
      <c r="H258">
        <v>30000</v>
      </c>
      <c r="I258">
        <v>8</v>
      </c>
      <c r="J258" t="s">
        <v>69</v>
      </c>
      <c r="K258">
        <f t="shared" ref="K258:K321" si="4">H258-H258*0.2</f>
        <v>24000</v>
      </c>
    </row>
    <row r="259" spans="1:11">
      <c r="A259" t="s">
        <v>153</v>
      </c>
      <c r="B259" t="s">
        <v>49</v>
      </c>
      <c r="C259" t="s">
        <v>28</v>
      </c>
      <c r="D259" t="s">
        <v>41</v>
      </c>
      <c r="E259" t="s">
        <v>30</v>
      </c>
      <c r="F259" t="s">
        <v>31</v>
      </c>
      <c r="G259" t="s">
        <v>32</v>
      </c>
      <c r="H259">
        <v>85000</v>
      </c>
      <c r="I259">
        <v>2</v>
      </c>
      <c r="J259" t="s">
        <v>33</v>
      </c>
      <c r="K259">
        <f t="shared" si="4"/>
        <v>68000</v>
      </c>
    </row>
    <row r="260" spans="1:11">
      <c r="A260" t="s">
        <v>136</v>
      </c>
      <c r="B260" t="s">
        <v>44</v>
      </c>
      <c r="C260" t="s">
        <v>53</v>
      </c>
      <c r="D260" t="s">
        <v>29</v>
      </c>
      <c r="E260" t="s">
        <v>37</v>
      </c>
      <c r="F260" t="s">
        <v>62</v>
      </c>
      <c r="G260" t="s">
        <v>51</v>
      </c>
      <c r="H260">
        <v>150000</v>
      </c>
      <c r="I260">
        <v>3</v>
      </c>
      <c r="J260" t="s">
        <v>58</v>
      </c>
      <c r="K260">
        <f t="shared" si="4"/>
        <v>120000</v>
      </c>
    </row>
    <row r="261" spans="1:11">
      <c r="A261" t="s">
        <v>60</v>
      </c>
      <c r="B261" t="s">
        <v>35</v>
      </c>
      <c r="C261" t="s">
        <v>53</v>
      </c>
      <c r="D261" t="s">
        <v>29</v>
      </c>
      <c r="E261" t="s">
        <v>37</v>
      </c>
      <c r="F261" t="s">
        <v>31</v>
      </c>
      <c r="G261" t="s">
        <v>32</v>
      </c>
      <c r="H261">
        <v>85000</v>
      </c>
      <c r="I261">
        <v>1</v>
      </c>
      <c r="J261" t="s">
        <v>65</v>
      </c>
      <c r="K261">
        <f t="shared" si="4"/>
        <v>68000</v>
      </c>
    </row>
    <row r="262" spans="1:11">
      <c r="A262" t="s">
        <v>124</v>
      </c>
      <c r="B262" t="s">
        <v>44</v>
      </c>
      <c r="C262" t="s">
        <v>28</v>
      </c>
      <c r="D262" t="s">
        <v>41</v>
      </c>
      <c r="E262" t="s">
        <v>37</v>
      </c>
      <c r="F262" t="s">
        <v>71</v>
      </c>
      <c r="G262" t="s">
        <v>51</v>
      </c>
      <c r="H262">
        <v>250000</v>
      </c>
      <c r="I262">
        <v>3</v>
      </c>
      <c r="J262" t="s">
        <v>69</v>
      </c>
      <c r="K262">
        <f t="shared" si="4"/>
        <v>200000</v>
      </c>
    </row>
    <row r="263" spans="1:11">
      <c r="A263" t="s">
        <v>157</v>
      </c>
      <c r="B263" t="s">
        <v>35</v>
      </c>
      <c r="C263" t="s">
        <v>28</v>
      </c>
      <c r="D263" t="s">
        <v>41</v>
      </c>
      <c r="E263" t="s">
        <v>37</v>
      </c>
      <c r="F263" t="s">
        <v>67</v>
      </c>
      <c r="G263" t="s">
        <v>51</v>
      </c>
      <c r="H263">
        <v>420000</v>
      </c>
      <c r="I263">
        <v>2</v>
      </c>
      <c r="J263" t="s">
        <v>33</v>
      </c>
      <c r="K263">
        <f t="shared" si="4"/>
        <v>336000</v>
      </c>
    </row>
    <row r="264" spans="1:11">
      <c r="A264" t="s">
        <v>52</v>
      </c>
      <c r="B264" t="s">
        <v>27</v>
      </c>
      <c r="C264" t="s">
        <v>45</v>
      </c>
      <c r="D264" t="s">
        <v>29</v>
      </c>
      <c r="E264" t="s">
        <v>30</v>
      </c>
      <c r="F264" t="s">
        <v>62</v>
      </c>
      <c r="G264" t="s">
        <v>51</v>
      </c>
      <c r="H264">
        <v>150000</v>
      </c>
      <c r="I264">
        <v>9</v>
      </c>
      <c r="J264" t="s">
        <v>47</v>
      </c>
      <c r="K264">
        <f t="shared" si="4"/>
        <v>120000</v>
      </c>
    </row>
    <row r="265" spans="1:11">
      <c r="A265" t="s">
        <v>126</v>
      </c>
      <c r="B265" t="s">
        <v>49</v>
      </c>
      <c r="C265" t="s">
        <v>53</v>
      </c>
      <c r="D265" t="s">
        <v>29</v>
      </c>
      <c r="E265" t="s">
        <v>37</v>
      </c>
      <c r="F265" t="s">
        <v>38</v>
      </c>
      <c r="G265" t="s">
        <v>39</v>
      </c>
      <c r="H265">
        <v>30000</v>
      </c>
      <c r="I265">
        <v>9</v>
      </c>
      <c r="J265" t="s">
        <v>42</v>
      </c>
      <c r="K265">
        <f t="shared" si="4"/>
        <v>24000</v>
      </c>
    </row>
    <row r="266" spans="1:11">
      <c r="A266" t="s">
        <v>143</v>
      </c>
      <c r="B266" t="s">
        <v>35</v>
      </c>
      <c r="C266" t="s">
        <v>36</v>
      </c>
      <c r="D266" t="s">
        <v>41</v>
      </c>
      <c r="E266" t="s">
        <v>37</v>
      </c>
      <c r="F266" t="s">
        <v>73</v>
      </c>
      <c r="G266" t="s">
        <v>39</v>
      </c>
      <c r="H266">
        <v>220000</v>
      </c>
      <c r="I266">
        <v>6</v>
      </c>
      <c r="J266" t="s">
        <v>69</v>
      </c>
      <c r="K266">
        <f t="shared" si="4"/>
        <v>176000</v>
      </c>
    </row>
    <row r="267" spans="1:11">
      <c r="A267" t="s">
        <v>137</v>
      </c>
      <c r="B267" t="s">
        <v>49</v>
      </c>
      <c r="C267" t="s">
        <v>45</v>
      </c>
      <c r="D267" t="s">
        <v>41</v>
      </c>
      <c r="E267" t="s">
        <v>37</v>
      </c>
      <c r="F267" t="s">
        <v>38</v>
      </c>
      <c r="G267" t="s">
        <v>39</v>
      </c>
      <c r="H267">
        <v>30000</v>
      </c>
      <c r="I267">
        <v>3</v>
      </c>
      <c r="J267" t="s">
        <v>69</v>
      </c>
      <c r="K267">
        <f t="shared" si="4"/>
        <v>24000</v>
      </c>
    </row>
    <row r="268" spans="1:11">
      <c r="A268" t="s">
        <v>136</v>
      </c>
      <c r="B268" t="s">
        <v>27</v>
      </c>
      <c r="C268" t="s">
        <v>45</v>
      </c>
      <c r="D268" t="s">
        <v>29</v>
      </c>
      <c r="E268" t="s">
        <v>30</v>
      </c>
      <c r="F268" t="s">
        <v>67</v>
      </c>
      <c r="G268" t="s">
        <v>51</v>
      </c>
      <c r="H268">
        <v>420000</v>
      </c>
      <c r="I268">
        <v>10</v>
      </c>
      <c r="J268" t="s">
        <v>42</v>
      </c>
      <c r="K268">
        <f t="shared" si="4"/>
        <v>336000</v>
      </c>
    </row>
    <row r="269" spans="1:11">
      <c r="A269" t="s">
        <v>149</v>
      </c>
      <c r="B269" t="s">
        <v>49</v>
      </c>
      <c r="C269" t="s">
        <v>53</v>
      </c>
      <c r="D269" t="s">
        <v>41</v>
      </c>
      <c r="E269" t="s">
        <v>30</v>
      </c>
      <c r="F269" t="s">
        <v>38</v>
      </c>
      <c r="G269" t="s">
        <v>39</v>
      </c>
      <c r="H269">
        <v>30000</v>
      </c>
      <c r="I269">
        <v>2</v>
      </c>
      <c r="J269" t="s">
        <v>65</v>
      </c>
      <c r="K269">
        <f t="shared" si="4"/>
        <v>24000</v>
      </c>
    </row>
    <row r="270" spans="1:11">
      <c r="A270" t="s">
        <v>88</v>
      </c>
      <c r="B270" t="s">
        <v>35</v>
      </c>
      <c r="C270" t="s">
        <v>28</v>
      </c>
      <c r="D270" t="s">
        <v>41</v>
      </c>
      <c r="E270" t="s">
        <v>37</v>
      </c>
      <c r="F270" t="s">
        <v>62</v>
      </c>
      <c r="G270" t="s">
        <v>51</v>
      </c>
      <c r="H270">
        <v>150000</v>
      </c>
      <c r="I270">
        <v>5</v>
      </c>
      <c r="J270" t="s">
        <v>42</v>
      </c>
      <c r="K270">
        <f t="shared" si="4"/>
        <v>120000</v>
      </c>
    </row>
    <row r="271" spans="1:11">
      <c r="A271" t="s">
        <v>106</v>
      </c>
      <c r="B271" t="s">
        <v>44</v>
      </c>
      <c r="C271" t="s">
        <v>53</v>
      </c>
      <c r="D271" t="s">
        <v>29</v>
      </c>
      <c r="E271" t="s">
        <v>37</v>
      </c>
      <c r="F271" t="s">
        <v>62</v>
      </c>
      <c r="G271" t="s">
        <v>51</v>
      </c>
      <c r="H271">
        <v>150000</v>
      </c>
      <c r="I271">
        <v>10</v>
      </c>
      <c r="J271" t="s">
        <v>65</v>
      </c>
      <c r="K271">
        <f t="shared" si="4"/>
        <v>120000</v>
      </c>
    </row>
    <row r="272" spans="1:11">
      <c r="A272" t="s">
        <v>158</v>
      </c>
      <c r="B272" t="s">
        <v>27</v>
      </c>
      <c r="C272" t="s">
        <v>53</v>
      </c>
      <c r="D272" t="s">
        <v>41</v>
      </c>
      <c r="E272" t="s">
        <v>30</v>
      </c>
      <c r="F272" t="s">
        <v>54</v>
      </c>
      <c r="G272" t="s">
        <v>39</v>
      </c>
      <c r="H272">
        <v>180000</v>
      </c>
      <c r="I272">
        <v>3</v>
      </c>
      <c r="J272" t="s">
        <v>42</v>
      </c>
      <c r="K272">
        <f t="shared" si="4"/>
        <v>144000</v>
      </c>
    </row>
    <row r="273" spans="1:11">
      <c r="A273" t="s">
        <v>159</v>
      </c>
      <c r="B273" t="s">
        <v>35</v>
      </c>
      <c r="C273" t="s">
        <v>45</v>
      </c>
      <c r="D273" t="s">
        <v>41</v>
      </c>
      <c r="E273" t="s">
        <v>30</v>
      </c>
      <c r="F273" t="s">
        <v>38</v>
      </c>
      <c r="G273" t="s">
        <v>39</v>
      </c>
      <c r="H273">
        <v>30000</v>
      </c>
      <c r="I273">
        <v>10</v>
      </c>
      <c r="J273" t="s">
        <v>47</v>
      </c>
      <c r="K273">
        <f t="shared" si="4"/>
        <v>24000</v>
      </c>
    </row>
    <row r="274" spans="1:11">
      <c r="A274" t="s">
        <v>160</v>
      </c>
      <c r="B274" t="s">
        <v>35</v>
      </c>
      <c r="C274" t="s">
        <v>28</v>
      </c>
      <c r="D274" t="s">
        <v>29</v>
      </c>
      <c r="E274" t="s">
        <v>30</v>
      </c>
      <c r="F274" t="s">
        <v>67</v>
      </c>
      <c r="G274" t="s">
        <v>51</v>
      </c>
      <c r="H274">
        <v>420000</v>
      </c>
      <c r="I274">
        <v>2</v>
      </c>
      <c r="J274" t="s">
        <v>47</v>
      </c>
      <c r="K274">
        <f t="shared" si="4"/>
        <v>336000</v>
      </c>
    </row>
    <row r="275" spans="1:11">
      <c r="A275" t="s">
        <v>128</v>
      </c>
      <c r="B275" t="s">
        <v>44</v>
      </c>
      <c r="C275" t="s">
        <v>28</v>
      </c>
      <c r="D275" t="s">
        <v>41</v>
      </c>
      <c r="E275" t="s">
        <v>30</v>
      </c>
      <c r="F275" t="s">
        <v>56</v>
      </c>
      <c r="G275" t="s">
        <v>32</v>
      </c>
      <c r="H275">
        <v>320000</v>
      </c>
      <c r="I275">
        <v>1</v>
      </c>
      <c r="J275" t="s">
        <v>58</v>
      </c>
      <c r="K275">
        <f t="shared" si="4"/>
        <v>256000</v>
      </c>
    </row>
    <row r="276" spans="1:11">
      <c r="A276" t="s">
        <v>161</v>
      </c>
      <c r="B276" t="s">
        <v>49</v>
      </c>
      <c r="C276" t="s">
        <v>36</v>
      </c>
      <c r="D276" t="s">
        <v>29</v>
      </c>
      <c r="E276" t="s">
        <v>30</v>
      </c>
      <c r="F276" t="s">
        <v>62</v>
      </c>
      <c r="G276" t="s">
        <v>51</v>
      </c>
      <c r="H276">
        <v>150000</v>
      </c>
      <c r="I276">
        <v>2</v>
      </c>
      <c r="J276" t="s">
        <v>47</v>
      </c>
      <c r="K276">
        <f t="shared" si="4"/>
        <v>120000</v>
      </c>
    </row>
    <row r="277" spans="1:11">
      <c r="A277" t="s">
        <v>43</v>
      </c>
      <c r="B277" t="s">
        <v>35</v>
      </c>
      <c r="C277" t="s">
        <v>36</v>
      </c>
      <c r="D277" t="s">
        <v>41</v>
      </c>
      <c r="E277" t="s">
        <v>37</v>
      </c>
      <c r="F277" t="s">
        <v>38</v>
      </c>
      <c r="G277" t="s">
        <v>39</v>
      </c>
      <c r="H277">
        <v>30000</v>
      </c>
      <c r="I277">
        <v>9</v>
      </c>
      <c r="J277" t="s">
        <v>69</v>
      </c>
      <c r="K277">
        <f t="shared" si="4"/>
        <v>24000</v>
      </c>
    </row>
    <row r="278" spans="1:11">
      <c r="A278" t="s">
        <v>79</v>
      </c>
      <c r="B278" t="s">
        <v>27</v>
      </c>
      <c r="C278" t="s">
        <v>36</v>
      </c>
      <c r="D278" t="s">
        <v>29</v>
      </c>
      <c r="E278" t="s">
        <v>30</v>
      </c>
      <c r="F278" t="s">
        <v>31</v>
      </c>
      <c r="G278" t="s">
        <v>32</v>
      </c>
      <c r="H278">
        <v>85000</v>
      </c>
      <c r="I278">
        <v>7</v>
      </c>
      <c r="J278" t="s">
        <v>58</v>
      </c>
      <c r="K278">
        <f t="shared" si="4"/>
        <v>68000</v>
      </c>
    </row>
    <row r="279" spans="1:11">
      <c r="A279" t="s">
        <v>159</v>
      </c>
      <c r="B279" t="s">
        <v>49</v>
      </c>
      <c r="C279" t="s">
        <v>28</v>
      </c>
      <c r="D279" t="s">
        <v>41</v>
      </c>
      <c r="E279" t="s">
        <v>30</v>
      </c>
      <c r="F279" t="s">
        <v>62</v>
      </c>
      <c r="G279" t="s">
        <v>51</v>
      </c>
      <c r="H279">
        <v>150000</v>
      </c>
      <c r="I279">
        <v>5</v>
      </c>
      <c r="J279" t="s">
        <v>42</v>
      </c>
      <c r="K279">
        <f t="shared" si="4"/>
        <v>120000</v>
      </c>
    </row>
    <row r="280" spans="1:11">
      <c r="A280" t="s">
        <v>84</v>
      </c>
      <c r="B280" t="s">
        <v>27</v>
      </c>
      <c r="C280" t="s">
        <v>45</v>
      </c>
      <c r="D280" t="s">
        <v>29</v>
      </c>
      <c r="E280" t="s">
        <v>37</v>
      </c>
      <c r="F280" t="s">
        <v>56</v>
      </c>
      <c r="G280" t="s">
        <v>32</v>
      </c>
      <c r="H280">
        <v>320000</v>
      </c>
      <c r="I280">
        <v>9</v>
      </c>
      <c r="J280" t="s">
        <v>33</v>
      </c>
      <c r="K280">
        <f t="shared" si="4"/>
        <v>256000</v>
      </c>
    </row>
    <row r="281" spans="1:11">
      <c r="A281" t="s">
        <v>120</v>
      </c>
      <c r="B281" t="s">
        <v>49</v>
      </c>
      <c r="C281" t="s">
        <v>36</v>
      </c>
      <c r="D281" t="s">
        <v>29</v>
      </c>
      <c r="E281" t="s">
        <v>30</v>
      </c>
      <c r="F281" t="s">
        <v>56</v>
      </c>
      <c r="G281" t="s">
        <v>32</v>
      </c>
      <c r="H281">
        <v>320000</v>
      </c>
      <c r="I281">
        <v>10</v>
      </c>
      <c r="J281" t="s">
        <v>58</v>
      </c>
      <c r="K281">
        <f t="shared" si="4"/>
        <v>256000</v>
      </c>
    </row>
    <row r="282" spans="1:11">
      <c r="A282" t="s">
        <v>94</v>
      </c>
      <c r="B282" t="s">
        <v>49</v>
      </c>
      <c r="C282" t="s">
        <v>45</v>
      </c>
      <c r="D282" t="s">
        <v>41</v>
      </c>
      <c r="E282" t="s">
        <v>30</v>
      </c>
      <c r="F282" t="s">
        <v>31</v>
      </c>
      <c r="G282" t="s">
        <v>32</v>
      </c>
      <c r="H282">
        <v>85000</v>
      </c>
      <c r="I282">
        <v>7</v>
      </c>
      <c r="J282" t="s">
        <v>58</v>
      </c>
      <c r="K282">
        <f t="shared" si="4"/>
        <v>68000</v>
      </c>
    </row>
    <row r="283" spans="1:11">
      <c r="A283" t="s">
        <v>113</v>
      </c>
      <c r="B283" t="s">
        <v>44</v>
      </c>
      <c r="C283" t="s">
        <v>45</v>
      </c>
      <c r="D283" t="s">
        <v>29</v>
      </c>
      <c r="E283" t="s">
        <v>30</v>
      </c>
      <c r="F283" t="s">
        <v>46</v>
      </c>
      <c r="G283" t="s">
        <v>39</v>
      </c>
      <c r="H283">
        <v>60000</v>
      </c>
      <c r="I283">
        <v>4</v>
      </c>
      <c r="J283" t="s">
        <v>58</v>
      </c>
      <c r="K283">
        <f t="shared" si="4"/>
        <v>48000</v>
      </c>
    </row>
    <row r="284" spans="1:11">
      <c r="A284" t="s">
        <v>77</v>
      </c>
      <c r="B284" t="s">
        <v>35</v>
      </c>
      <c r="C284" t="s">
        <v>45</v>
      </c>
      <c r="D284" t="s">
        <v>29</v>
      </c>
      <c r="E284" t="s">
        <v>37</v>
      </c>
      <c r="F284" t="s">
        <v>46</v>
      </c>
      <c r="G284" t="s">
        <v>39</v>
      </c>
      <c r="H284">
        <v>60000</v>
      </c>
      <c r="I284">
        <v>7</v>
      </c>
      <c r="J284" t="s">
        <v>42</v>
      </c>
      <c r="K284">
        <f t="shared" si="4"/>
        <v>48000</v>
      </c>
    </row>
    <row r="285" spans="1:11">
      <c r="A285" t="s">
        <v>162</v>
      </c>
      <c r="B285" t="s">
        <v>44</v>
      </c>
      <c r="C285" t="s">
        <v>36</v>
      </c>
      <c r="D285" t="s">
        <v>41</v>
      </c>
      <c r="E285" t="s">
        <v>30</v>
      </c>
      <c r="F285" t="s">
        <v>62</v>
      </c>
      <c r="G285" t="s">
        <v>51</v>
      </c>
      <c r="H285">
        <v>150000</v>
      </c>
      <c r="I285">
        <v>7</v>
      </c>
      <c r="J285" t="s">
        <v>69</v>
      </c>
      <c r="K285">
        <f t="shared" si="4"/>
        <v>120000</v>
      </c>
    </row>
    <row r="286" spans="1:11">
      <c r="A286" t="s">
        <v>163</v>
      </c>
      <c r="B286" t="s">
        <v>27</v>
      </c>
      <c r="C286" t="s">
        <v>36</v>
      </c>
      <c r="D286" t="s">
        <v>29</v>
      </c>
      <c r="E286" t="s">
        <v>30</v>
      </c>
      <c r="F286" t="s">
        <v>31</v>
      </c>
      <c r="G286" t="s">
        <v>32</v>
      </c>
      <c r="H286">
        <v>85000</v>
      </c>
      <c r="I286">
        <v>3</v>
      </c>
      <c r="J286" t="s">
        <v>42</v>
      </c>
      <c r="K286">
        <f t="shared" si="4"/>
        <v>68000</v>
      </c>
    </row>
    <row r="287" spans="1:11">
      <c r="A287" t="s">
        <v>102</v>
      </c>
      <c r="B287" t="s">
        <v>44</v>
      </c>
      <c r="C287" t="s">
        <v>53</v>
      </c>
      <c r="D287" t="s">
        <v>29</v>
      </c>
      <c r="E287" t="s">
        <v>30</v>
      </c>
      <c r="F287" t="s">
        <v>31</v>
      </c>
      <c r="G287" t="s">
        <v>32</v>
      </c>
      <c r="H287">
        <v>85000</v>
      </c>
      <c r="I287">
        <v>10</v>
      </c>
      <c r="J287" t="s">
        <v>47</v>
      </c>
      <c r="K287">
        <f t="shared" si="4"/>
        <v>68000</v>
      </c>
    </row>
    <row r="288" spans="1:11">
      <c r="A288" t="s">
        <v>163</v>
      </c>
      <c r="B288" t="s">
        <v>35</v>
      </c>
      <c r="C288" t="s">
        <v>36</v>
      </c>
      <c r="D288" t="s">
        <v>41</v>
      </c>
      <c r="E288" t="s">
        <v>37</v>
      </c>
      <c r="F288" t="s">
        <v>50</v>
      </c>
      <c r="G288" t="s">
        <v>51</v>
      </c>
      <c r="H288">
        <v>300000</v>
      </c>
      <c r="I288">
        <v>10</v>
      </c>
      <c r="J288" t="s">
        <v>42</v>
      </c>
      <c r="K288">
        <f t="shared" si="4"/>
        <v>240000</v>
      </c>
    </row>
    <row r="289" spans="1:11">
      <c r="A289" t="s">
        <v>122</v>
      </c>
      <c r="B289" t="s">
        <v>44</v>
      </c>
      <c r="C289" t="s">
        <v>53</v>
      </c>
      <c r="D289" t="s">
        <v>29</v>
      </c>
      <c r="E289" t="s">
        <v>37</v>
      </c>
      <c r="F289" t="s">
        <v>46</v>
      </c>
      <c r="G289" t="s">
        <v>39</v>
      </c>
      <c r="H289">
        <v>60000</v>
      </c>
      <c r="I289">
        <v>3</v>
      </c>
      <c r="J289" t="s">
        <v>33</v>
      </c>
      <c r="K289">
        <f t="shared" si="4"/>
        <v>48000</v>
      </c>
    </row>
    <row r="290" spans="1:11">
      <c r="A290" t="s">
        <v>40</v>
      </c>
      <c r="B290" t="s">
        <v>35</v>
      </c>
      <c r="C290" t="s">
        <v>28</v>
      </c>
      <c r="D290" t="s">
        <v>41</v>
      </c>
      <c r="E290" t="s">
        <v>30</v>
      </c>
      <c r="F290" t="s">
        <v>46</v>
      </c>
      <c r="G290" t="s">
        <v>39</v>
      </c>
      <c r="H290">
        <v>60000</v>
      </c>
      <c r="I290">
        <v>3</v>
      </c>
      <c r="J290" t="s">
        <v>42</v>
      </c>
      <c r="K290">
        <f t="shared" si="4"/>
        <v>48000</v>
      </c>
    </row>
    <row r="291" spans="1:11">
      <c r="A291" t="s">
        <v>63</v>
      </c>
      <c r="B291" t="s">
        <v>27</v>
      </c>
      <c r="C291" t="s">
        <v>36</v>
      </c>
      <c r="D291" t="s">
        <v>29</v>
      </c>
      <c r="E291" t="s">
        <v>30</v>
      </c>
      <c r="F291" t="s">
        <v>31</v>
      </c>
      <c r="G291" t="s">
        <v>32</v>
      </c>
      <c r="H291">
        <v>85000</v>
      </c>
      <c r="I291">
        <v>6</v>
      </c>
      <c r="J291" t="s">
        <v>42</v>
      </c>
      <c r="K291">
        <f t="shared" si="4"/>
        <v>68000</v>
      </c>
    </row>
    <row r="292" spans="1:11">
      <c r="A292" t="s">
        <v>155</v>
      </c>
      <c r="B292" t="s">
        <v>35</v>
      </c>
      <c r="C292" t="s">
        <v>45</v>
      </c>
      <c r="D292" t="s">
        <v>41</v>
      </c>
      <c r="E292" t="s">
        <v>37</v>
      </c>
      <c r="F292" t="s">
        <v>67</v>
      </c>
      <c r="G292" t="s">
        <v>51</v>
      </c>
      <c r="H292">
        <v>420000</v>
      </c>
      <c r="I292">
        <v>2</v>
      </c>
      <c r="J292" t="s">
        <v>65</v>
      </c>
      <c r="K292">
        <f t="shared" si="4"/>
        <v>336000</v>
      </c>
    </row>
    <row r="293" spans="1:11">
      <c r="A293" t="s">
        <v>154</v>
      </c>
      <c r="B293" t="s">
        <v>49</v>
      </c>
      <c r="C293" t="s">
        <v>53</v>
      </c>
      <c r="D293" t="s">
        <v>29</v>
      </c>
      <c r="E293" t="s">
        <v>37</v>
      </c>
      <c r="F293" t="s">
        <v>71</v>
      </c>
      <c r="G293" t="s">
        <v>51</v>
      </c>
      <c r="H293">
        <v>250000</v>
      </c>
      <c r="I293">
        <v>6</v>
      </c>
      <c r="J293" t="s">
        <v>69</v>
      </c>
      <c r="K293">
        <f t="shared" si="4"/>
        <v>200000</v>
      </c>
    </row>
    <row r="294" spans="1:11">
      <c r="A294" t="s">
        <v>153</v>
      </c>
      <c r="B294" t="s">
        <v>49</v>
      </c>
      <c r="C294" t="s">
        <v>28</v>
      </c>
      <c r="D294" t="s">
        <v>29</v>
      </c>
      <c r="E294" t="s">
        <v>30</v>
      </c>
      <c r="F294" t="s">
        <v>62</v>
      </c>
      <c r="G294" t="s">
        <v>51</v>
      </c>
      <c r="H294">
        <v>150000</v>
      </c>
      <c r="I294">
        <v>8</v>
      </c>
      <c r="J294" t="s">
        <v>42</v>
      </c>
      <c r="K294">
        <f t="shared" si="4"/>
        <v>120000</v>
      </c>
    </row>
    <row r="295" spans="1:11">
      <c r="A295" t="s">
        <v>123</v>
      </c>
      <c r="B295" t="s">
        <v>35</v>
      </c>
      <c r="C295" t="s">
        <v>45</v>
      </c>
      <c r="D295" t="s">
        <v>41</v>
      </c>
      <c r="E295" t="s">
        <v>30</v>
      </c>
      <c r="F295" t="s">
        <v>62</v>
      </c>
      <c r="G295" t="s">
        <v>51</v>
      </c>
      <c r="H295">
        <v>150000</v>
      </c>
      <c r="I295">
        <v>10</v>
      </c>
      <c r="J295" t="s">
        <v>42</v>
      </c>
      <c r="K295">
        <f t="shared" si="4"/>
        <v>120000</v>
      </c>
    </row>
    <row r="296" spans="1:11">
      <c r="A296" t="s">
        <v>163</v>
      </c>
      <c r="B296" t="s">
        <v>35</v>
      </c>
      <c r="C296" t="s">
        <v>45</v>
      </c>
      <c r="D296" t="s">
        <v>29</v>
      </c>
      <c r="E296" t="s">
        <v>30</v>
      </c>
      <c r="F296" t="s">
        <v>71</v>
      </c>
      <c r="G296" t="s">
        <v>51</v>
      </c>
      <c r="H296">
        <v>250000</v>
      </c>
      <c r="I296">
        <v>5</v>
      </c>
      <c r="J296" t="s">
        <v>69</v>
      </c>
      <c r="K296">
        <f t="shared" si="4"/>
        <v>200000</v>
      </c>
    </row>
    <row r="297" spans="1:11">
      <c r="A297" t="s">
        <v>119</v>
      </c>
      <c r="B297" t="s">
        <v>27</v>
      </c>
      <c r="C297" t="s">
        <v>45</v>
      </c>
      <c r="D297" t="s">
        <v>29</v>
      </c>
      <c r="E297" t="s">
        <v>37</v>
      </c>
      <c r="F297" t="s">
        <v>56</v>
      </c>
      <c r="G297" t="s">
        <v>32</v>
      </c>
      <c r="H297">
        <v>320000</v>
      </c>
      <c r="I297">
        <v>9</v>
      </c>
      <c r="J297" t="s">
        <v>33</v>
      </c>
      <c r="K297">
        <f t="shared" si="4"/>
        <v>256000</v>
      </c>
    </row>
    <row r="298" spans="1:11">
      <c r="A298" t="s">
        <v>102</v>
      </c>
      <c r="B298" t="s">
        <v>27</v>
      </c>
      <c r="C298" t="s">
        <v>28</v>
      </c>
      <c r="D298" t="s">
        <v>41</v>
      </c>
      <c r="E298" t="s">
        <v>37</v>
      </c>
      <c r="F298" t="s">
        <v>54</v>
      </c>
      <c r="G298" t="s">
        <v>39</v>
      </c>
      <c r="H298">
        <v>180000</v>
      </c>
      <c r="I298">
        <v>10</v>
      </c>
      <c r="J298" t="s">
        <v>69</v>
      </c>
      <c r="K298">
        <f t="shared" si="4"/>
        <v>144000</v>
      </c>
    </row>
    <row r="299" spans="1:11">
      <c r="A299" t="s">
        <v>144</v>
      </c>
      <c r="B299" t="s">
        <v>27</v>
      </c>
      <c r="C299" t="s">
        <v>45</v>
      </c>
      <c r="D299" t="s">
        <v>41</v>
      </c>
      <c r="E299" t="s">
        <v>37</v>
      </c>
      <c r="F299" t="s">
        <v>46</v>
      </c>
      <c r="G299" t="s">
        <v>39</v>
      </c>
      <c r="H299">
        <v>60000</v>
      </c>
      <c r="I299">
        <v>6</v>
      </c>
      <c r="J299" t="s">
        <v>65</v>
      </c>
      <c r="K299">
        <f t="shared" si="4"/>
        <v>48000</v>
      </c>
    </row>
    <row r="300" spans="1:11">
      <c r="A300" t="s">
        <v>126</v>
      </c>
      <c r="B300" t="s">
        <v>27</v>
      </c>
      <c r="C300" t="s">
        <v>45</v>
      </c>
      <c r="D300" t="s">
        <v>41</v>
      </c>
      <c r="E300" t="s">
        <v>30</v>
      </c>
      <c r="F300" t="s">
        <v>62</v>
      </c>
      <c r="G300" t="s">
        <v>51</v>
      </c>
      <c r="H300">
        <v>150000</v>
      </c>
      <c r="I300">
        <v>10</v>
      </c>
      <c r="J300" t="s">
        <v>47</v>
      </c>
      <c r="K300">
        <f t="shared" si="4"/>
        <v>120000</v>
      </c>
    </row>
    <row r="301" spans="1:11">
      <c r="A301" t="s">
        <v>79</v>
      </c>
      <c r="B301" t="s">
        <v>35</v>
      </c>
      <c r="C301" t="s">
        <v>28</v>
      </c>
      <c r="D301" t="s">
        <v>29</v>
      </c>
      <c r="E301" t="s">
        <v>30</v>
      </c>
      <c r="F301" t="s">
        <v>71</v>
      </c>
      <c r="G301" t="s">
        <v>51</v>
      </c>
      <c r="H301">
        <v>250000</v>
      </c>
      <c r="I301">
        <v>5</v>
      </c>
      <c r="J301" t="s">
        <v>65</v>
      </c>
      <c r="K301">
        <f t="shared" si="4"/>
        <v>200000</v>
      </c>
    </row>
    <row r="302" spans="1:11">
      <c r="A302" t="s">
        <v>134</v>
      </c>
      <c r="B302" t="s">
        <v>27</v>
      </c>
      <c r="C302" t="s">
        <v>45</v>
      </c>
      <c r="D302" t="s">
        <v>29</v>
      </c>
      <c r="E302" t="s">
        <v>30</v>
      </c>
      <c r="F302" t="s">
        <v>54</v>
      </c>
      <c r="G302" t="s">
        <v>39</v>
      </c>
      <c r="H302">
        <v>180000</v>
      </c>
      <c r="I302">
        <v>3</v>
      </c>
      <c r="J302" t="s">
        <v>33</v>
      </c>
      <c r="K302">
        <f t="shared" si="4"/>
        <v>144000</v>
      </c>
    </row>
    <row r="303" spans="1:11">
      <c r="A303" t="s">
        <v>156</v>
      </c>
      <c r="B303" t="s">
        <v>27</v>
      </c>
      <c r="C303" t="s">
        <v>45</v>
      </c>
      <c r="D303" t="s">
        <v>41</v>
      </c>
      <c r="E303" t="s">
        <v>37</v>
      </c>
      <c r="F303" t="s">
        <v>56</v>
      </c>
      <c r="G303" t="s">
        <v>32</v>
      </c>
      <c r="H303">
        <v>320000</v>
      </c>
      <c r="I303">
        <v>5</v>
      </c>
      <c r="J303" t="s">
        <v>65</v>
      </c>
      <c r="K303">
        <f t="shared" si="4"/>
        <v>256000</v>
      </c>
    </row>
    <row r="304" spans="1:11">
      <c r="A304" t="s">
        <v>107</v>
      </c>
      <c r="B304" t="s">
        <v>44</v>
      </c>
      <c r="C304" t="s">
        <v>28</v>
      </c>
      <c r="D304" t="s">
        <v>29</v>
      </c>
      <c r="E304" t="s">
        <v>37</v>
      </c>
      <c r="F304" t="s">
        <v>56</v>
      </c>
      <c r="G304" t="s">
        <v>32</v>
      </c>
      <c r="H304">
        <v>320000</v>
      </c>
      <c r="I304">
        <v>10</v>
      </c>
      <c r="J304" t="s">
        <v>42</v>
      </c>
      <c r="K304">
        <f t="shared" si="4"/>
        <v>256000</v>
      </c>
    </row>
    <row r="305" spans="1:11">
      <c r="A305" t="s">
        <v>79</v>
      </c>
      <c r="B305" t="s">
        <v>35</v>
      </c>
      <c r="C305" t="s">
        <v>28</v>
      </c>
      <c r="D305" t="s">
        <v>41</v>
      </c>
      <c r="E305" t="s">
        <v>30</v>
      </c>
      <c r="F305" t="s">
        <v>38</v>
      </c>
      <c r="G305" t="s">
        <v>39</v>
      </c>
      <c r="H305">
        <v>30000</v>
      </c>
      <c r="I305">
        <v>5</v>
      </c>
      <c r="J305" t="s">
        <v>33</v>
      </c>
      <c r="K305">
        <f t="shared" si="4"/>
        <v>24000</v>
      </c>
    </row>
    <row r="306" spans="1:11">
      <c r="A306" t="s">
        <v>111</v>
      </c>
      <c r="B306" t="s">
        <v>49</v>
      </c>
      <c r="C306" t="s">
        <v>28</v>
      </c>
      <c r="D306" t="s">
        <v>41</v>
      </c>
      <c r="E306" t="s">
        <v>37</v>
      </c>
      <c r="F306" t="s">
        <v>67</v>
      </c>
      <c r="G306" t="s">
        <v>51</v>
      </c>
      <c r="H306">
        <v>420000</v>
      </c>
      <c r="I306">
        <v>3</v>
      </c>
      <c r="J306" t="s">
        <v>33</v>
      </c>
      <c r="K306">
        <f t="shared" si="4"/>
        <v>336000</v>
      </c>
    </row>
    <row r="307" spans="1:11">
      <c r="A307" t="s">
        <v>52</v>
      </c>
      <c r="B307" t="s">
        <v>35</v>
      </c>
      <c r="C307" t="s">
        <v>45</v>
      </c>
      <c r="D307" t="s">
        <v>29</v>
      </c>
      <c r="E307" t="s">
        <v>30</v>
      </c>
      <c r="F307" t="s">
        <v>38</v>
      </c>
      <c r="G307" t="s">
        <v>39</v>
      </c>
      <c r="H307">
        <v>30000</v>
      </c>
      <c r="I307">
        <v>4</v>
      </c>
      <c r="J307" t="s">
        <v>58</v>
      </c>
      <c r="K307">
        <f t="shared" si="4"/>
        <v>24000</v>
      </c>
    </row>
    <row r="308" spans="1:11">
      <c r="A308" t="s">
        <v>162</v>
      </c>
      <c r="B308" t="s">
        <v>35</v>
      </c>
      <c r="C308" t="s">
        <v>28</v>
      </c>
      <c r="D308" t="s">
        <v>29</v>
      </c>
      <c r="E308" t="s">
        <v>30</v>
      </c>
      <c r="F308" t="s">
        <v>54</v>
      </c>
      <c r="G308" t="s">
        <v>39</v>
      </c>
      <c r="H308">
        <v>180000</v>
      </c>
      <c r="I308">
        <v>4</v>
      </c>
      <c r="J308" t="s">
        <v>33</v>
      </c>
      <c r="K308">
        <f t="shared" si="4"/>
        <v>144000</v>
      </c>
    </row>
    <row r="309" spans="1:11">
      <c r="A309" t="s">
        <v>148</v>
      </c>
      <c r="B309" t="s">
        <v>35</v>
      </c>
      <c r="C309" t="s">
        <v>36</v>
      </c>
      <c r="D309" t="s">
        <v>29</v>
      </c>
      <c r="E309" t="s">
        <v>30</v>
      </c>
      <c r="F309" t="s">
        <v>71</v>
      </c>
      <c r="G309" t="s">
        <v>51</v>
      </c>
      <c r="H309">
        <v>250000</v>
      </c>
      <c r="I309">
        <v>5</v>
      </c>
      <c r="J309" t="s">
        <v>69</v>
      </c>
      <c r="K309">
        <f t="shared" si="4"/>
        <v>200000</v>
      </c>
    </row>
    <row r="310" spans="1:11">
      <c r="A310" t="s">
        <v>164</v>
      </c>
      <c r="B310" t="s">
        <v>27</v>
      </c>
      <c r="C310" t="s">
        <v>53</v>
      </c>
      <c r="D310" t="s">
        <v>41</v>
      </c>
      <c r="E310" t="s">
        <v>37</v>
      </c>
      <c r="F310" t="s">
        <v>54</v>
      </c>
      <c r="G310" t="s">
        <v>39</v>
      </c>
      <c r="H310">
        <v>180000</v>
      </c>
      <c r="I310">
        <v>3</v>
      </c>
      <c r="J310" t="s">
        <v>58</v>
      </c>
      <c r="K310">
        <f t="shared" si="4"/>
        <v>144000</v>
      </c>
    </row>
    <row r="311" spans="1:11">
      <c r="A311" t="s">
        <v>122</v>
      </c>
      <c r="B311" t="s">
        <v>35</v>
      </c>
      <c r="C311" t="s">
        <v>28</v>
      </c>
      <c r="D311" t="s">
        <v>29</v>
      </c>
      <c r="E311" t="s">
        <v>30</v>
      </c>
      <c r="F311" t="s">
        <v>50</v>
      </c>
      <c r="G311" t="s">
        <v>51</v>
      </c>
      <c r="H311">
        <v>300000</v>
      </c>
      <c r="I311">
        <v>5</v>
      </c>
      <c r="J311" t="s">
        <v>69</v>
      </c>
      <c r="K311">
        <f t="shared" si="4"/>
        <v>240000</v>
      </c>
    </row>
    <row r="312" spans="1:11">
      <c r="A312" t="s">
        <v>26</v>
      </c>
      <c r="B312" t="s">
        <v>27</v>
      </c>
      <c r="C312" t="s">
        <v>45</v>
      </c>
      <c r="D312" t="s">
        <v>29</v>
      </c>
      <c r="E312" t="s">
        <v>37</v>
      </c>
      <c r="F312" t="s">
        <v>31</v>
      </c>
      <c r="G312" t="s">
        <v>32</v>
      </c>
      <c r="H312">
        <v>85000</v>
      </c>
      <c r="I312">
        <v>8</v>
      </c>
      <c r="J312" t="s">
        <v>58</v>
      </c>
      <c r="K312">
        <f t="shared" si="4"/>
        <v>68000</v>
      </c>
    </row>
    <row r="313" spans="1:11">
      <c r="A313" t="s">
        <v>165</v>
      </c>
      <c r="B313" t="s">
        <v>35</v>
      </c>
      <c r="C313" t="s">
        <v>36</v>
      </c>
      <c r="D313" t="s">
        <v>41</v>
      </c>
      <c r="E313" t="s">
        <v>30</v>
      </c>
      <c r="F313" t="s">
        <v>54</v>
      </c>
      <c r="G313" t="s">
        <v>39</v>
      </c>
      <c r="H313">
        <v>180000</v>
      </c>
      <c r="I313">
        <v>6</v>
      </c>
      <c r="J313" t="s">
        <v>69</v>
      </c>
      <c r="K313">
        <f t="shared" si="4"/>
        <v>144000</v>
      </c>
    </row>
    <row r="314" spans="1:11">
      <c r="A314" t="s">
        <v>115</v>
      </c>
      <c r="B314" t="s">
        <v>35</v>
      </c>
      <c r="C314" t="s">
        <v>36</v>
      </c>
      <c r="D314" t="s">
        <v>41</v>
      </c>
      <c r="E314" t="s">
        <v>30</v>
      </c>
      <c r="F314" t="s">
        <v>67</v>
      </c>
      <c r="G314" t="s">
        <v>51</v>
      </c>
      <c r="H314">
        <v>420000</v>
      </c>
      <c r="I314">
        <v>7</v>
      </c>
      <c r="J314" t="s">
        <v>65</v>
      </c>
      <c r="K314">
        <f t="shared" si="4"/>
        <v>336000</v>
      </c>
    </row>
    <row r="315" spans="1:11">
      <c r="A315" t="s">
        <v>120</v>
      </c>
      <c r="B315" t="s">
        <v>44</v>
      </c>
      <c r="C315" t="s">
        <v>45</v>
      </c>
      <c r="D315" t="s">
        <v>41</v>
      </c>
      <c r="E315" t="s">
        <v>30</v>
      </c>
      <c r="F315" t="s">
        <v>62</v>
      </c>
      <c r="G315" t="s">
        <v>51</v>
      </c>
      <c r="H315">
        <v>150000</v>
      </c>
      <c r="I315">
        <v>8</v>
      </c>
      <c r="J315" t="s">
        <v>33</v>
      </c>
      <c r="K315">
        <f t="shared" si="4"/>
        <v>120000</v>
      </c>
    </row>
    <row r="316" spans="1:11">
      <c r="A316" t="s">
        <v>149</v>
      </c>
      <c r="B316" t="s">
        <v>35</v>
      </c>
      <c r="C316" t="s">
        <v>45</v>
      </c>
      <c r="D316" t="s">
        <v>29</v>
      </c>
      <c r="E316" t="s">
        <v>30</v>
      </c>
      <c r="F316" t="s">
        <v>31</v>
      </c>
      <c r="G316" t="s">
        <v>32</v>
      </c>
      <c r="H316">
        <v>85000</v>
      </c>
      <c r="I316">
        <v>6</v>
      </c>
      <c r="J316" t="s">
        <v>65</v>
      </c>
      <c r="K316">
        <f t="shared" si="4"/>
        <v>68000</v>
      </c>
    </row>
    <row r="317" spans="1:11">
      <c r="A317" t="s">
        <v>113</v>
      </c>
      <c r="B317" t="s">
        <v>44</v>
      </c>
      <c r="C317" t="s">
        <v>28</v>
      </c>
      <c r="D317" t="s">
        <v>29</v>
      </c>
      <c r="E317" t="s">
        <v>37</v>
      </c>
      <c r="F317" t="s">
        <v>54</v>
      </c>
      <c r="G317" t="s">
        <v>39</v>
      </c>
      <c r="H317">
        <v>180000</v>
      </c>
      <c r="I317">
        <v>9</v>
      </c>
      <c r="J317" t="s">
        <v>47</v>
      </c>
      <c r="K317">
        <f t="shared" si="4"/>
        <v>144000</v>
      </c>
    </row>
    <row r="318" spans="1:11">
      <c r="A318" t="s">
        <v>153</v>
      </c>
      <c r="B318" t="s">
        <v>27</v>
      </c>
      <c r="C318" t="s">
        <v>45</v>
      </c>
      <c r="D318" t="s">
        <v>41</v>
      </c>
      <c r="E318" t="s">
        <v>30</v>
      </c>
      <c r="F318" t="s">
        <v>71</v>
      </c>
      <c r="G318" t="s">
        <v>51</v>
      </c>
      <c r="H318">
        <v>250000</v>
      </c>
      <c r="I318">
        <v>5</v>
      </c>
      <c r="J318" t="s">
        <v>65</v>
      </c>
      <c r="K318">
        <f t="shared" si="4"/>
        <v>200000</v>
      </c>
    </row>
    <row r="319" spans="1:11">
      <c r="A319" t="s">
        <v>160</v>
      </c>
      <c r="B319" t="s">
        <v>49</v>
      </c>
      <c r="C319" t="s">
        <v>45</v>
      </c>
      <c r="D319" t="s">
        <v>29</v>
      </c>
      <c r="E319" t="s">
        <v>37</v>
      </c>
      <c r="F319" t="s">
        <v>56</v>
      </c>
      <c r="G319" t="s">
        <v>32</v>
      </c>
      <c r="H319">
        <v>320000</v>
      </c>
      <c r="I319">
        <v>9</v>
      </c>
      <c r="J319" t="s">
        <v>47</v>
      </c>
      <c r="K319">
        <f t="shared" si="4"/>
        <v>256000</v>
      </c>
    </row>
    <row r="320" spans="1:11">
      <c r="A320" t="s">
        <v>26</v>
      </c>
      <c r="B320" t="s">
        <v>49</v>
      </c>
      <c r="C320" t="s">
        <v>36</v>
      </c>
      <c r="D320" t="s">
        <v>41</v>
      </c>
      <c r="E320" t="s">
        <v>37</v>
      </c>
      <c r="F320" t="s">
        <v>62</v>
      </c>
      <c r="G320" t="s">
        <v>51</v>
      </c>
      <c r="H320">
        <v>150000</v>
      </c>
      <c r="I320">
        <v>7</v>
      </c>
      <c r="J320" t="s">
        <v>42</v>
      </c>
      <c r="K320">
        <f t="shared" si="4"/>
        <v>120000</v>
      </c>
    </row>
    <row r="321" spans="1:11">
      <c r="A321" t="s">
        <v>102</v>
      </c>
      <c r="B321" t="s">
        <v>35</v>
      </c>
      <c r="C321" t="s">
        <v>28</v>
      </c>
      <c r="D321" t="s">
        <v>29</v>
      </c>
      <c r="E321" t="s">
        <v>30</v>
      </c>
      <c r="F321" t="s">
        <v>67</v>
      </c>
      <c r="G321" t="s">
        <v>51</v>
      </c>
      <c r="H321">
        <v>420000</v>
      </c>
      <c r="I321">
        <v>9</v>
      </c>
      <c r="J321" t="s">
        <v>65</v>
      </c>
      <c r="K321">
        <f t="shared" si="4"/>
        <v>336000</v>
      </c>
    </row>
    <row r="322" spans="1:11">
      <c r="A322" t="s">
        <v>145</v>
      </c>
      <c r="B322" t="s">
        <v>44</v>
      </c>
      <c r="C322" t="s">
        <v>36</v>
      </c>
      <c r="D322" t="s">
        <v>41</v>
      </c>
      <c r="E322" t="s">
        <v>37</v>
      </c>
      <c r="F322" t="s">
        <v>46</v>
      </c>
      <c r="G322" t="s">
        <v>39</v>
      </c>
      <c r="H322">
        <v>60000</v>
      </c>
      <c r="I322">
        <v>4</v>
      </c>
      <c r="J322" t="s">
        <v>42</v>
      </c>
      <c r="K322">
        <f t="shared" ref="K322:K385" si="5">H322-H322*0.2</f>
        <v>48000</v>
      </c>
    </row>
    <row r="323" spans="1:11">
      <c r="A323" t="s">
        <v>123</v>
      </c>
      <c r="B323" t="s">
        <v>27</v>
      </c>
      <c r="C323" t="s">
        <v>45</v>
      </c>
      <c r="D323" t="s">
        <v>29</v>
      </c>
      <c r="E323" t="s">
        <v>37</v>
      </c>
      <c r="F323" t="s">
        <v>71</v>
      </c>
      <c r="G323" t="s">
        <v>51</v>
      </c>
      <c r="H323">
        <v>250000</v>
      </c>
      <c r="I323">
        <v>5</v>
      </c>
      <c r="J323" t="s">
        <v>42</v>
      </c>
      <c r="K323">
        <f t="shared" si="5"/>
        <v>200000</v>
      </c>
    </row>
    <row r="324" spans="1:11">
      <c r="A324" t="s">
        <v>110</v>
      </c>
      <c r="B324" t="s">
        <v>27</v>
      </c>
      <c r="C324" t="s">
        <v>45</v>
      </c>
      <c r="D324" t="s">
        <v>41</v>
      </c>
      <c r="E324" t="s">
        <v>30</v>
      </c>
      <c r="F324" t="s">
        <v>50</v>
      </c>
      <c r="G324" t="s">
        <v>51</v>
      </c>
      <c r="H324">
        <v>300000</v>
      </c>
      <c r="I324">
        <v>8</v>
      </c>
      <c r="J324" t="s">
        <v>58</v>
      </c>
      <c r="K324">
        <f t="shared" si="5"/>
        <v>240000</v>
      </c>
    </row>
    <row r="325" spans="1:11">
      <c r="A325" t="s">
        <v>166</v>
      </c>
      <c r="B325" t="s">
        <v>27</v>
      </c>
      <c r="C325" t="s">
        <v>45</v>
      </c>
      <c r="D325" t="s">
        <v>41</v>
      </c>
      <c r="E325" t="s">
        <v>30</v>
      </c>
      <c r="F325" t="s">
        <v>67</v>
      </c>
      <c r="G325" t="s">
        <v>51</v>
      </c>
      <c r="H325">
        <v>420000</v>
      </c>
      <c r="I325">
        <v>4</v>
      </c>
      <c r="J325" t="s">
        <v>69</v>
      </c>
      <c r="K325">
        <f t="shared" si="5"/>
        <v>336000</v>
      </c>
    </row>
    <row r="326" spans="1:11">
      <c r="A326" t="s">
        <v>68</v>
      </c>
      <c r="B326" t="s">
        <v>27</v>
      </c>
      <c r="C326" t="s">
        <v>45</v>
      </c>
      <c r="D326" t="s">
        <v>41</v>
      </c>
      <c r="E326" t="s">
        <v>37</v>
      </c>
      <c r="F326" t="s">
        <v>38</v>
      </c>
      <c r="G326" t="s">
        <v>39</v>
      </c>
      <c r="H326">
        <v>30000</v>
      </c>
      <c r="I326">
        <v>4</v>
      </c>
      <c r="J326" t="s">
        <v>42</v>
      </c>
      <c r="K326">
        <f t="shared" si="5"/>
        <v>24000</v>
      </c>
    </row>
    <row r="327" spans="1:11">
      <c r="A327" t="s">
        <v>145</v>
      </c>
      <c r="B327" t="s">
        <v>35</v>
      </c>
      <c r="C327" t="s">
        <v>53</v>
      </c>
      <c r="D327" t="s">
        <v>29</v>
      </c>
      <c r="E327" t="s">
        <v>30</v>
      </c>
      <c r="F327" t="s">
        <v>56</v>
      </c>
      <c r="G327" t="s">
        <v>32</v>
      </c>
      <c r="H327">
        <v>320000</v>
      </c>
      <c r="I327">
        <v>7</v>
      </c>
      <c r="J327" t="s">
        <v>42</v>
      </c>
      <c r="K327">
        <f t="shared" si="5"/>
        <v>256000</v>
      </c>
    </row>
    <row r="328" spans="1:11">
      <c r="A328" t="s">
        <v>101</v>
      </c>
      <c r="B328" t="s">
        <v>44</v>
      </c>
      <c r="C328" t="s">
        <v>36</v>
      </c>
      <c r="D328" t="s">
        <v>29</v>
      </c>
      <c r="E328" t="s">
        <v>30</v>
      </c>
      <c r="F328" t="s">
        <v>62</v>
      </c>
      <c r="G328" t="s">
        <v>51</v>
      </c>
      <c r="H328">
        <v>150000</v>
      </c>
      <c r="I328">
        <v>8</v>
      </c>
      <c r="J328" t="s">
        <v>65</v>
      </c>
      <c r="K328">
        <f t="shared" si="5"/>
        <v>120000</v>
      </c>
    </row>
    <row r="329" spans="1:11">
      <c r="A329" t="s">
        <v>128</v>
      </c>
      <c r="B329" t="s">
        <v>27</v>
      </c>
      <c r="C329" t="s">
        <v>36</v>
      </c>
      <c r="D329" t="s">
        <v>29</v>
      </c>
      <c r="E329" t="s">
        <v>37</v>
      </c>
      <c r="F329" t="s">
        <v>46</v>
      </c>
      <c r="G329" t="s">
        <v>39</v>
      </c>
      <c r="H329">
        <v>60000</v>
      </c>
      <c r="I329">
        <v>7</v>
      </c>
      <c r="J329" t="s">
        <v>47</v>
      </c>
      <c r="K329">
        <f t="shared" si="5"/>
        <v>48000</v>
      </c>
    </row>
    <row r="330" spans="1:11">
      <c r="A330" t="s">
        <v>116</v>
      </c>
      <c r="B330" t="s">
        <v>44</v>
      </c>
      <c r="C330" t="s">
        <v>45</v>
      </c>
      <c r="D330" t="s">
        <v>29</v>
      </c>
      <c r="E330" t="s">
        <v>30</v>
      </c>
      <c r="F330" t="s">
        <v>54</v>
      </c>
      <c r="G330" t="s">
        <v>39</v>
      </c>
      <c r="H330">
        <v>180000</v>
      </c>
      <c r="I330">
        <v>4</v>
      </c>
      <c r="J330" t="s">
        <v>42</v>
      </c>
      <c r="K330">
        <f t="shared" si="5"/>
        <v>144000</v>
      </c>
    </row>
    <row r="331" spans="1:11">
      <c r="A331" t="s">
        <v>64</v>
      </c>
      <c r="B331" t="s">
        <v>27</v>
      </c>
      <c r="C331" t="s">
        <v>45</v>
      </c>
      <c r="D331" t="s">
        <v>41</v>
      </c>
      <c r="E331" t="s">
        <v>37</v>
      </c>
      <c r="F331" t="s">
        <v>67</v>
      </c>
      <c r="G331" t="s">
        <v>51</v>
      </c>
      <c r="H331">
        <v>420000</v>
      </c>
      <c r="I331">
        <v>8</v>
      </c>
      <c r="J331" t="s">
        <v>65</v>
      </c>
      <c r="K331">
        <f t="shared" si="5"/>
        <v>336000</v>
      </c>
    </row>
    <row r="332" spans="1:11">
      <c r="A332" t="s">
        <v>112</v>
      </c>
      <c r="B332" t="s">
        <v>27</v>
      </c>
      <c r="C332" t="s">
        <v>45</v>
      </c>
      <c r="D332" t="s">
        <v>29</v>
      </c>
      <c r="E332" t="s">
        <v>37</v>
      </c>
      <c r="F332" t="s">
        <v>50</v>
      </c>
      <c r="G332" t="s">
        <v>51</v>
      </c>
      <c r="H332">
        <v>300000</v>
      </c>
      <c r="I332">
        <v>2</v>
      </c>
      <c r="J332" t="s">
        <v>69</v>
      </c>
      <c r="K332">
        <f t="shared" si="5"/>
        <v>240000</v>
      </c>
    </row>
    <row r="333" spans="1:11">
      <c r="A333" t="s">
        <v>161</v>
      </c>
      <c r="B333" t="s">
        <v>44</v>
      </c>
      <c r="C333" t="s">
        <v>36</v>
      </c>
      <c r="D333" t="s">
        <v>41</v>
      </c>
      <c r="E333" t="s">
        <v>30</v>
      </c>
      <c r="F333" t="s">
        <v>67</v>
      </c>
      <c r="G333" t="s">
        <v>51</v>
      </c>
      <c r="H333">
        <v>420000</v>
      </c>
      <c r="I333">
        <v>3</v>
      </c>
      <c r="J333" t="s">
        <v>65</v>
      </c>
      <c r="K333">
        <f t="shared" si="5"/>
        <v>336000</v>
      </c>
    </row>
    <row r="334" spans="1:11">
      <c r="A334" t="s">
        <v>120</v>
      </c>
      <c r="B334" t="s">
        <v>49</v>
      </c>
      <c r="C334" t="s">
        <v>45</v>
      </c>
      <c r="D334" t="s">
        <v>29</v>
      </c>
      <c r="E334" t="s">
        <v>30</v>
      </c>
      <c r="F334" t="s">
        <v>31</v>
      </c>
      <c r="G334" t="s">
        <v>32</v>
      </c>
      <c r="H334">
        <v>85000</v>
      </c>
      <c r="I334">
        <v>3</v>
      </c>
      <c r="J334" t="s">
        <v>47</v>
      </c>
      <c r="K334">
        <f t="shared" si="5"/>
        <v>68000</v>
      </c>
    </row>
    <row r="335" spans="1:11">
      <c r="A335" t="s">
        <v>98</v>
      </c>
      <c r="B335" t="s">
        <v>27</v>
      </c>
      <c r="C335" t="s">
        <v>53</v>
      </c>
      <c r="D335" t="s">
        <v>41</v>
      </c>
      <c r="E335" t="s">
        <v>37</v>
      </c>
      <c r="F335" t="s">
        <v>46</v>
      </c>
      <c r="G335" t="s">
        <v>39</v>
      </c>
      <c r="H335">
        <v>60000</v>
      </c>
      <c r="I335">
        <v>8</v>
      </c>
      <c r="J335" t="s">
        <v>42</v>
      </c>
      <c r="K335">
        <f t="shared" si="5"/>
        <v>48000</v>
      </c>
    </row>
    <row r="336" spans="1:11">
      <c r="A336" t="s">
        <v>146</v>
      </c>
      <c r="B336" t="s">
        <v>27</v>
      </c>
      <c r="C336" t="s">
        <v>36</v>
      </c>
      <c r="D336" t="s">
        <v>41</v>
      </c>
      <c r="E336" t="s">
        <v>37</v>
      </c>
      <c r="F336" t="s">
        <v>54</v>
      </c>
      <c r="G336" t="s">
        <v>39</v>
      </c>
      <c r="H336">
        <v>180000</v>
      </c>
      <c r="I336">
        <v>10</v>
      </c>
      <c r="J336" t="s">
        <v>58</v>
      </c>
      <c r="K336">
        <f t="shared" si="5"/>
        <v>144000</v>
      </c>
    </row>
    <row r="337" spans="1:11">
      <c r="A337" t="s">
        <v>102</v>
      </c>
      <c r="B337" t="s">
        <v>35</v>
      </c>
      <c r="C337" t="s">
        <v>53</v>
      </c>
      <c r="D337" t="s">
        <v>41</v>
      </c>
      <c r="E337" t="s">
        <v>30</v>
      </c>
      <c r="F337" t="s">
        <v>54</v>
      </c>
      <c r="G337" t="s">
        <v>39</v>
      </c>
      <c r="H337">
        <v>180000</v>
      </c>
      <c r="I337">
        <v>7</v>
      </c>
      <c r="J337" t="s">
        <v>33</v>
      </c>
      <c r="K337">
        <f t="shared" si="5"/>
        <v>144000</v>
      </c>
    </row>
    <row r="338" spans="1:11">
      <c r="A338" t="s">
        <v>158</v>
      </c>
      <c r="B338" t="s">
        <v>35</v>
      </c>
      <c r="C338" t="s">
        <v>53</v>
      </c>
      <c r="D338" t="s">
        <v>29</v>
      </c>
      <c r="E338" t="s">
        <v>37</v>
      </c>
      <c r="F338" t="s">
        <v>38</v>
      </c>
      <c r="G338" t="s">
        <v>39</v>
      </c>
      <c r="H338">
        <v>30000</v>
      </c>
      <c r="I338">
        <v>3</v>
      </c>
      <c r="J338" t="s">
        <v>47</v>
      </c>
      <c r="K338">
        <f t="shared" si="5"/>
        <v>24000</v>
      </c>
    </row>
    <row r="339" spans="1:11">
      <c r="A339" t="s">
        <v>165</v>
      </c>
      <c r="B339" t="s">
        <v>49</v>
      </c>
      <c r="C339" t="s">
        <v>28</v>
      </c>
      <c r="D339" t="s">
        <v>41</v>
      </c>
      <c r="E339" t="s">
        <v>37</v>
      </c>
      <c r="F339" t="s">
        <v>38</v>
      </c>
      <c r="G339" t="s">
        <v>39</v>
      </c>
      <c r="H339">
        <v>30000</v>
      </c>
      <c r="I339">
        <v>6</v>
      </c>
      <c r="J339" t="s">
        <v>42</v>
      </c>
      <c r="K339">
        <f t="shared" si="5"/>
        <v>24000</v>
      </c>
    </row>
    <row r="340" spans="1:11">
      <c r="A340" t="s">
        <v>149</v>
      </c>
      <c r="B340" t="s">
        <v>49</v>
      </c>
      <c r="C340" t="s">
        <v>36</v>
      </c>
      <c r="D340" t="s">
        <v>41</v>
      </c>
      <c r="E340" t="s">
        <v>30</v>
      </c>
      <c r="F340" t="s">
        <v>67</v>
      </c>
      <c r="G340" t="s">
        <v>51</v>
      </c>
      <c r="H340">
        <v>420000</v>
      </c>
      <c r="I340">
        <v>4</v>
      </c>
      <c r="J340" t="s">
        <v>65</v>
      </c>
      <c r="K340">
        <f t="shared" si="5"/>
        <v>336000</v>
      </c>
    </row>
    <row r="341" spans="1:11">
      <c r="A341" t="s">
        <v>104</v>
      </c>
      <c r="B341" t="s">
        <v>35</v>
      </c>
      <c r="C341" t="s">
        <v>45</v>
      </c>
      <c r="D341" t="s">
        <v>29</v>
      </c>
      <c r="E341" t="s">
        <v>30</v>
      </c>
      <c r="F341" t="s">
        <v>73</v>
      </c>
      <c r="G341" t="s">
        <v>39</v>
      </c>
      <c r="H341">
        <v>220000</v>
      </c>
      <c r="I341">
        <v>8</v>
      </c>
      <c r="J341" t="s">
        <v>69</v>
      </c>
      <c r="K341">
        <f t="shared" si="5"/>
        <v>176000</v>
      </c>
    </row>
    <row r="342" spans="1:11">
      <c r="A342" t="s">
        <v>40</v>
      </c>
      <c r="B342" t="s">
        <v>49</v>
      </c>
      <c r="C342" t="s">
        <v>36</v>
      </c>
      <c r="D342" t="s">
        <v>41</v>
      </c>
      <c r="E342" t="s">
        <v>37</v>
      </c>
      <c r="F342" t="s">
        <v>31</v>
      </c>
      <c r="G342" t="s">
        <v>32</v>
      </c>
      <c r="H342">
        <v>85000</v>
      </c>
      <c r="I342">
        <v>5</v>
      </c>
      <c r="J342" t="s">
        <v>33</v>
      </c>
      <c r="K342">
        <f t="shared" si="5"/>
        <v>68000</v>
      </c>
    </row>
    <row r="343" spans="1:11">
      <c r="A343" t="s">
        <v>149</v>
      </c>
      <c r="B343" t="s">
        <v>27</v>
      </c>
      <c r="C343" t="s">
        <v>36</v>
      </c>
      <c r="D343" t="s">
        <v>29</v>
      </c>
      <c r="E343" t="s">
        <v>30</v>
      </c>
      <c r="F343" t="s">
        <v>56</v>
      </c>
      <c r="G343" t="s">
        <v>32</v>
      </c>
      <c r="H343">
        <v>320000</v>
      </c>
      <c r="I343">
        <v>7</v>
      </c>
      <c r="J343" t="s">
        <v>47</v>
      </c>
      <c r="K343">
        <f t="shared" si="5"/>
        <v>256000</v>
      </c>
    </row>
    <row r="344" spans="1:11">
      <c r="A344" t="s">
        <v>143</v>
      </c>
      <c r="B344" t="s">
        <v>44</v>
      </c>
      <c r="C344" t="s">
        <v>36</v>
      </c>
      <c r="D344" t="s">
        <v>41</v>
      </c>
      <c r="E344" t="s">
        <v>37</v>
      </c>
      <c r="F344" t="s">
        <v>54</v>
      </c>
      <c r="G344" t="s">
        <v>39</v>
      </c>
      <c r="H344">
        <v>180000</v>
      </c>
      <c r="I344">
        <v>6</v>
      </c>
      <c r="J344" t="s">
        <v>33</v>
      </c>
      <c r="K344">
        <f t="shared" si="5"/>
        <v>144000</v>
      </c>
    </row>
    <row r="345" spans="1:11">
      <c r="A345" t="s">
        <v>26</v>
      </c>
      <c r="B345" t="s">
        <v>35</v>
      </c>
      <c r="C345" t="s">
        <v>53</v>
      </c>
      <c r="D345" t="s">
        <v>41</v>
      </c>
      <c r="E345" t="s">
        <v>30</v>
      </c>
      <c r="F345" t="s">
        <v>46</v>
      </c>
      <c r="G345" t="s">
        <v>39</v>
      </c>
      <c r="H345">
        <v>60000</v>
      </c>
      <c r="I345">
        <v>2</v>
      </c>
      <c r="J345" t="s">
        <v>65</v>
      </c>
      <c r="K345">
        <f t="shared" si="5"/>
        <v>48000</v>
      </c>
    </row>
    <row r="346" spans="1:11">
      <c r="A346" t="s">
        <v>124</v>
      </c>
      <c r="B346" t="s">
        <v>27</v>
      </c>
      <c r="C346" t="s">
        <v>53</v>
      </c>
      <c r="D346" t="s">
        <v>41</v>
      </c>
      <c r="E346" t="s">
        <v>37</v>
      </c>
      <c r="F346" t="s">
        <v>54</v>
      </c>
      <c r="G346" t="s">
        <v>39</v>
      </c>
      <c r="H346">
        <v>180000</v>
      </c>
      <c r="I346">
        <v>5</v>
      </c>
      <c r="J346" t="s">
        <v>42</v>
      </c>
      <c r="K346">
        <f t="shared" si="5"/>
        <v>144000</v>
      </c>
    </row>
    <row r="347" spans="1:11">
      <c r="A347" t="s">
        <v>123</v>
      </c>
      <c r="B347" t="s">
        <v>35</v>
      </c>
      <c r="C347" t="s">
        <v>53</v>
      </c>
      <c r="D347" t="s">
        <v>41</v>
      </c>
      <c r="E347" t="s">
        <v>37</v>
      </c>
      <c r="F347" t="s">
        <v>62</v>
      </c>
      <c r="G347" t="s">
        <v>51</v>
      </c>
      <c r="H347">
        <v>150000</v>
      </c>
      <c r="I347">
        <v>6</v>
      </c>
      <c r="J347" t="s">
        <v>65</v>
      </c>
      <c r="K347">
        <f t="shared" si="5"/>
        <v>120000</v>
      </c>
    </row>
    <row r="348" spans="1:11">
      <c r="A348" t="s">
        <v>139</v>
      </c>
      <c r="B348" t="s">
        <v>35</v>
      </c>
      <c r="C348" t="s">
        <v>28</v>
      </c>
      <c r="D348" t="s">
        <v>41</v>
      </c>
      <c r="E348" t="s">
        <v>37</v>
      </c>
      <c r="F348" t="s">
        <v>38</v>
      </c>
      <c r="G348" t="s">
        <v>39</v>
      </c>
      <c r="H348">
        <v>30000</v>
      </c>
      <c r="I348">
        <v>2</v>
      </c>
      <c r="J348" t="s">
        <v>65</v>
      </c>
      <c r="K348">
        <f t="shared" si="5"/>
        <v>24000</v>
      </c>
    </row>
    <row r="349" spans="1:11">
      <c r="A349" t="s">
        <v>167</v>
      </c>
      <c r="B349" t="s">
        <v>49</v>
      </c>
      <c r="C349" t="s">
        <v>28</v>
      </c>
      <c r="D349" t="s">
        <v>29</v>
      </c>
      <c r="E349" t="s">
        <v>30</v>
      </c>
      <c r="F349" t="s">
        <v>71</v>
      </c>
      <c r="G349" t="s">
        <v>51</v>
      </c>
      <c r="H349">
        <v>250000</v>
      </c>
      <c r="I349">
        <v>9</v>
      </c>
      <c r="J349" t="s">
        <v>65</v>
      </c>
      <c r="K349">
        <f t="shared" si="5"/>
        <v>200000</v>
      </c>
    </row>
    <row r="350" spans="1:11">
      <c r="A350" t="s">
        <v>127</v>
      </c>
      <c r="B350" t="s">
        <v>27</v>
      </c>
      <c r="C350" t="s">
        <v>45</v>
      </c>
      <c r="D350" t="s">
        <v>29</v>
      </c>
      <c r="E350" t="s">
        <v>37</v>
      </c>
      <c r="F350" t="s">
        <v>46</v>
      </c>
      <c r="G350" t="s">
        <v>39</v>
      </c>
      <c r="H350">
        <v>60000</v>
      </c>
      <c r="I350">
        <v>4</v>
      </c>
      <c r="J350" t="s">
        <v>42</v>
      </c>
      <c r="K350">
        <f t="shared" si="5"/>
        <v>48000</v>
      </c>
    </row>
    <row r="351" spans="1:11">
      <c r="A351" t="s">
        <v>161</v>
      </c>
      <c r="B351" t="s">
        <v>35</v>
      </c>
      <c r="C351" t="s">
        <v>28</v>
      </c>
      <c r="D351" t="s">
        <v>29</v>
      </c>
      <c r="E351" t="s">
        <v>30</v>
      </c>
      <c r="F351" t="s">
        <v>62</v>
      </c>
      <c r="G351" t="s">
        <v>51</v>
      </c>
      <c r="H351">
        <v>150000</v>
      </c>
      <c r="I351">
        <v>9</v>
      </c>
      <c r="J351" t="s">
        <v>65</v>
      </c>
      <c r="K351">
        <f t="shared" si="5"/>
        <v>120000</v>
      </c>
    </row>
    <row r="352" spans="1:11">
      <c r="A352" t="s">
        <v>147</v>
      </c>
      <c r="B352" t="s">
        <v>49</v>
      </c>
      <c r="C352" t="s">
        <v>36</v>
      </c>
      <c r="D352" t="s">
        <v>41</v>
      </c>
      <c r="E352" t="s">
        <v>37</v>
      </c>
      <c r="F352" t="s">
        <v>54</v>
      </c>
      <c r="G352" t="s">
        <v>39</v>
      </c>
      <c r="H352">
        <v>180000</v>
      </c>
      <c r="I352">
        <v>3</v>
      </c>
      <c r="J352" t="s">
        <v>33</v>
      </c>
      <c r="K352">
        <f t="shared" si="5"/>
        <v>144000</v>
      </c>
    </row>
    <row r="353" spans="1:11">
      <c r="A353" t="s">
        <v>60</v>
      </c>
      <c r="B353" t="s">
        <v>27</v>
      </c>
      <c r="C353" t="s">
        <v>28</v>
      </c>
      <c r="D353" t="s">
        <v>29</v>
      </c>
      <c r="E353" t="s">
        <v>30</v>
      </c>
      <c r="F353" t="s">
        <v>54</v>
      </c>
      <c r="G353" t="s">
        <v>39</v>
      </c>
      <c r="H353">
        <v>180000</v>
      </c>
      <c r="I353">
        <v>10</v>
      </c>
      <c r="J353" t="s">
        <v>33</v>
      </c>
      <c r="K353">
        <f t="shared" si="5"/>
        <v>144000</v>
      </c>
    </row>
    <row r="354" spans="1:11">
      <c r="A354" t="s">
        <v>26</v>
      </c>
      <c r="B354" t="s">
        <v>35</v>
      </c>
      <c r="C354" t="s">
        <v>36</v>
      </c>
      <c r="D354" t="s">
        <v>29</v>
      </c>
      <c r="E354" t="s">
        <v>30</v>
      </c>
      <c r="F354" t="s">
        <v>73</v>
      </c>
      <c r="G354" t="s">
        <v>39</v>
      </c>
      <c r="H354">
        <v>220000</v>
      </c>
      <c r="I354">
        <v>2</v>
      </c>
      <c r="J354" t="s">
        <v>33</v>
      </c>
      <c r="K354">
        <f t="shared" si="5"/>
        <v>176000</v>
      </c>
    </row>
    <row r="355" spans="1:11">
      <c r="A355" t="s">
        <v>137</v>
      </c>
      <c r="B355" t="s">
        <v>49</v>
      </c>
      <c r="C355" t="s">
        <v>28</v>
      </c>
      <c r="D355" t="s">
        <v>41</v>
      </c>
      <c r="E355" t="s">
        <v>30</v>
      </c>
      <c r="F355" t="s">
        <v>67</v>
      </c>
      <c r="G355" t="s">
        <v>51</v>
      </c>
      <c r="H355">
        <v>420000</v>
      </c>
      <c r="I355">
        <v>10</v>
      </c>
      <c r="J355" t="s">
        <v>47</v>
      </c>
      <c r="K355">
        <f t="shared" si="5"/>
        <v>336000</v>
      </c>
    </row>
    <row r="356" spans="1:11">
      <c r="A356" t="s">
        <v>122</v>
      </c>
      <c r="B356" t="s">
        <v>27</v>
      </c>
      <c r="C356" t="s">
        <v>28</v>
      </c>
      <c r="D356" t="s">
        <v>29</v>
      </c>
      <c r="E356" t="s">
        <v>37</v>
      </c>
      <c r="F356" t="s">
        <v>38</v>
      </c>
      <c r="G356" t="s">
        <v>39</v>
      </c>
      <c r="H356">
        <v>30000</v>
      </c>
      <c r="I356">
        <v>9</v>
      </c>
      <c r="J356" t="s">
        <v>69</v>
      </c>
      <c r="K356">
        <f t="shared" si="5"/>
        <v>24000</v>
      </c>
    </row>
    <row r="357" spans="1:11">
      <c r="A357" t="s">
        <v>26</v>
      </c>
      <c r="B357" t="s">
        <v>27</v>
      </c>
      <c r="C357" t="s">
        <v>53</v>
      </c>
      <c r="D357" t="s">
        <v>41</v>
      </c>
      <c r="E357" t="s">
        <v>30</v>
      </c>
      <c r="F357" t="s">
        <v>56</v>
      </c>
      <c r="G357" t="s">
        <v>32</v>
      </c>
      <c r="H357">
        <v>320000</v>
      </c>
      <c r="I357">
        <v>6</v>
      </c>
      <c r="J357" t="s">
        <v>58</v>
      </c>
      <c r="K357">
        <f t="shared" si="5"/>
        <v>256000</v>
      </c>
    </row>
    <row r="358" spans="1:11">
      <c r="A358" t="s">
        <v>61</v>
      </c>
      <c r="B358" t="s">
        <v>27</v>
      </c>
      <c r="C358" t="s">
        <v>53</v>
      </c>
      <c r="D358" t="s">
        <v>29</v>
      </c>
      <c r="E358" t="s">
        <v>37</v>
      </c>
      <c r="F358" t="s">
        <v>67</v>
      </c>
      <c r="G358" t="s">
        <v>51</v>
      </c>
      <c r="H358">
        <v>420000</v>
      </c>
      <c r="I358">
        <v>2</v>
      </c>
      <c r="J358" t="s">
        <v>69</v>
      </c>
      <c r="K358">
        <f t="shared" si="5"/>
        <v>336000</v>
      </c>
    </row>
    <row r="359" spans="1:11">
      <c r="A359" t="s">
        <v>167</v>
      </c>
      <c r="B359" t="s">
        <v>44</v>
      </c>
      <c r="C359" t="s">
        <v>45</v>
      </c>
      <c r="D359" t="s">
        <v>41</v>
      </c>
      <c r="E359" t="s">
        <v>30</v>
      </c>
      <c r="F359" t="s">
        <v>56</v>
      </c>
      <c r="G359" t="s">
        <v>32</v>
      </c>
      <c r="H359">
        <v>320000</v>
      </c>
      <c r="I359">
        <v>10</v>
      </c>
      <c r="J359" t="s">
        <v>58</v>
      </c>
      <c r="K359">
        <f t="shared" si="5"/>
        <v>256000</v>
      </c>
    </row>
    <row r="360" spans="1:11">
      <c r="A360" t="s">
        <v>57</v>
      </c>
      <c r="B360" t="s">
        <v>35</v>
      </c>
      <c r="C360" t="s">
        <v>45</v>
      </c>
      <c r="D360" t="s">
        <v>41</v>
      </c>
      <c r="E360" t="s">
        <v>37</v>
      </c>
      <c r="F360" t="s">
        <v>50</v>
      </c>
      <c r="G360" t="s">
        <v>51</v>
      </c>
      <c r="H360">
        <v>300000</v>
      </c>
      <c r="I360">
        <v>8</v>
      </c>
      <c r="J360" t="s">
        <v>69</v>
      </c>
      <c r="K360">
        <f t="shared" si="5"/>
        <v>240000</v>
      </c>
    </row>
    <row r="361" spans="1:11">
      <c r="A361" t="s">
        <v>144</v>
      </c>
      <c r="B361" t="s">
        <v>35</v>
      </c>
      <c r="C361" t="s">
        <v>28</v>
      </c>
      <c r="D361" t="s">
        <v>41</v>
      </c>
      <c r="E361" t="s">
        <v>30</v>
      </c>
      <c r="F361" t="s">
        <v>46</v>
      </c>
      <c r="G361" t="s">
        <v>39</v>
      </c>
      <c r="H361">
        <v>60000</v>
      </c>
      <c r="I361">
        <v>1</v>
      </c>
      <c r="J361" t="s">
        <v>42</v>
      </c>
      <c r="K361">
        <f t="shared" si="5"/>
        <v>48000</v>
      </c>
    </row>
    <row r="362" spans="1:11">
      <c r="A362" t="s">
        <v>131</v>
      </c>
      <c r="B362" t="s">
        <v>44</v>
      </c>
      <c r="C362" t="s">
        <v>36</v>
      </c>
      <c r="D362" t="s">
        <v>41</v>
      </c>
      <c r="E362" t="s">
        <v>30</v>
      </c>
      <c r="F362" t="s">
        <v>31</v>
      </c>
      <c r="G362" t="s">
        <v>32</v>
      </c>
      <c r="H362">
        <v>85000</v>
      </c>
      <c r="I362">
        <v>3</v>
      </c>
      <c r="J362" t="s">
        <v>42</v>
      </c>
      <c r="K362">
        <f t="shared" si="5"/>
        <v>68000</v>
      </c>
    </row>
    <row r="363" spans="1:11">
      <c r="A363" t="s">
        <v>164</v>
      </c>
      <c r="B363" t="s">
        <v>35</v>
      </c>
      <c r="C363" t="s">
        <v>45</v>
      </c>
      <c r="D363" t="s">
        <v>41</v>
      </c>
      <c r="E363" t="s">
        <v>37</v>
      </c>
      <c r="F363" t="s">
        <v>38</v>
      </c>
      <c r="G363" t="s">
        <v>39</v>
      </c>
      <c r="H363">
        <v>30000</v>
      </c>
      <c r="I363">
        <v>10</v>
      </c>
      <c r="J363" t="s">
        <v>33</v>
      </c>
      <c r="K363">
        <f t="shared" si="5"/>
        <v>24000</v>
      </c>
    </row>
    <row r="364" spans="1:11">
      <c r="A364" t="s">
        <v>134</v>
      </c>
      <c r="B364" t="s">
        <v>35</v>
      </c>
      <c r="C364" t="s">
        <v>45</v>
      </c>
      <c r="D364" t="s">
        <v>41</v>
      </c>
      <c r="E364" t="s">
        <v>30</v>
      </c>
      <c r="F364" t="s">
        <v>38</v>
      </c>
      <c r="G364" t="s">
        <v>39</v>
      </c>
      <c r="H364">
        <v>30000</v>
      </c>
      <c r="I364">
        <v>4</v>
      </c>
      <c r="J364" t="s">
        <v>58</v>
      </c>
      <c r="K364">
        <f t="shared" si="5"/>
        <v>24000</v>
      </c>
    </row>
    <row r="365" spans="1:11">
      <c r="A365" t="s">
        <v>139</v>
      </c>
      <c r="B365" t="s">
        <v>44</v>
      </c>
      <c r="C365" t="s">
        <v>53</v>
      </c>
      <c r="D365" t="s">
        <v>41</v>
      </c>
      <c r="E365" t="s">
        <v>37</v>
      </c>
      <c r="F365" t="s">
        <v>62</v>
      </c>
      <c r="G365" t="s">
        <v>51</v>
      </c>
      <c r="H365">
        <v>150000</v>
      </c>
      <c r="I365">
        <v>3</v>
      </c>
      <c r="J365" t="s">
        <v>42</v>
      </c>
      <c r="K365">
        <f t="shared" si="5"/>
        <v>120000</v>
      </c>
    </row>
    <row r="366" spans="1:11">
      <c r="A366" t="s">
        <v>138</v>
      </c>
      <c r="B366" t="s">
        <v>27</v>
      </c>
      <c r="C366" t="s">
        <v>28</v>
      </c>
      <c r="D366" t="s">
        <v>41</v>
      </c>
      <c r="E366" t="s">
        <v>30</v>
      </c>
      <c r="F366" t="s">
        <v>62</v>
      </c>
      <c r="G366" t="s">
        <v>51</v>
      </c>
      <c r="H366">
        <v>150000</v>
      </c>
      <c r="I366">
        <v>3</v>
      </c>
      <c r="J366" t="s">
        <v>33</v>
      </c>
      <c r="K366">
        <f t="shared" si="5"/>
        <v>120000</v>
      </c>
    </row>
    <row r="367" spans="1:11">
      <c r="A367" t="s">
        <v>121</v>
      </c>
      <c r="B367" t="s">
        <v>35</v>
      </c>
      <c r="C367" t="s">
        <v>45</v>
      </c>
      <c r="D367" t="s">
        <v>41</v>
      </c>
      <c r="E367" t="s">
        <v>37</v>
      </c>
      <c r="F367" t="s">
        <v>31</v>
      </c>
      <c r="G367" t="s">
        <v>32</v>
      </c>
      <c r="H367">
        <v>85000</v>
      </c>
      <c r="I367">
        <v>8</v>
      </c>
      <c r="J367" t="s">
        <v>33</v>
      </c>
      <c r="K367">
        <f t="shared" si="5"/>
        <v>68000</v>
      </c>
    </row>
    <row r="368" spans="1:11">
      <c r="A368" t="s">
        <v>142</v>
      </c>
      <c r="B368" t="s">
        <v>44</v>
      </c>
      <c r="C368" t="s">
        <v>45</v>
      </c>
      <c r="D368" t="s">
        <v>41</v>
      </c>
      <c r="E368" t="s">
        <v>30</v>
      </c>
      <c r="F368" t="s">
        <v>67</v>
      </c>
      <c r="G368" t="s">
        <v>51</v>
      </c>
      <c r="H368">
        <v>420000</v>
      </c>
      <c r="I368">
        <v>7</v>
      </c>
      <c r="J368" t="s">
        <v>33</v>
      </c>
      <c r="K368">
        <f t="shared" si="5"/>
        <v>336000</v>
      </c>
    </row>
    <row r="369" spans="1:11">
      <c r="A369" t="s">
        <v>134</v>
      </c>
      <c r="B369" t="s">
        <v>35</v>
      </c>
      <c r="C369" t="s">
        <v>53</v>
      </c>
      <c r="D369" t="s">
        <v>41</v>
      </c>
      <c r="E369" t="s">
        <v>37</v>
      </c>
      <c r="F369" t="s">
        <v>62</v>
      </c>
      <c r="G369" t="s">
        <v>51</v>
      </c>
      <c r="H369">
        <v>150000</v>
      </c>
      <c r="I369">
        <v>3</v>
      </c>
      <c r="J369" t="s">
        <v>42</v>
      </c>
      <c r="K369">
        <f t="shared" si="5"/>
        <v>120000</v>
      </c>
    </row>
    <row r="370" spans="1:11">
      <c r="A370" t="s">
        <v>43</v>
      </c>
      <c r="B370" t="s">
        <v>27</v>
      </c>
      <c r="C370" t="s">
        <v>53</v>
      </c>
      <c r="D370" t="s">
        <v>41</v>
      </c>
      <c r="E370" t="s">
        <v>37</v>
      </c>
      <c r="F370" t="s">
        <v>56</v>
      </c>
      <c r="G370" t="s">
        <v>32</v>
      </c>
      <c r="H370">
        <v>320000</v>
      </c>
      <c r="I370">
        <v>1</v>
      </c>
      <c r="J370" t="s">
        <v>47</v>
      </c>
      <c r="K370">
        <f t="shared" si="5"/>
        <v>256000</v>
      </c>
    </row>
    <row r="371" spans="1:11">
      <c r="A371" t="s">
        <v>80</v>
      </c>
      <c r="B371" t="s">
        <v>35</v>
      </c>
      <c r="C371" t="s">
        <v>53</v>
      </c>
      <c r="D371" t="s">
        <v>41</v>
      </c>
      <c r="E371" t="s">
        <v>30</v>
      </c>
      <c r="F371" t="s">
        <v>54</v>
      </c>
      <c r="G371" t="s">
        <v>39</v>
      </c>
      <c r="H371">
        <v>180000</v>
      </c>
      <c r="I371">
        <v>5</v>
      </c>
      <c r="J371" t="s">
        <v>33</v>
      </c>
      <c r="K371">
        <f t="shared" si="5"/>
        <v>144000</v>
      </c>
    </row>
    <row r="372" spans="1:11">
      <c r="A372" t="s">
        <v>105</v>
      </c>
      <c r="B372" t="s">
        <v>49</v>
      </c>
      <c r="C372" t="s">
        <v>45</v>
      </c>
      <c r="D372" t="s">
        <v>41</v>
      </c>
      <c r="E372" t="s">
        <v>37</v>
      </c>
      <c r="F372" t="s">
        <v>50</v>
      </c>
      <c r="G372" t="s">
        <v>51</v>
      </c>
      <c r="H372">
        <v>300000</v>
      </c>
      <c r="I372">
        <v>1</v>
      </c>
      <c r="J372" t="s">
        <v>47</v>
      </c>
      <c r="K372">
        <f t="shared" si="5"/>
        <v>240000</v>
      </c>
    </row>
    <row r="373" spans="1:11">
      <c r="A373" t="s">
        <v>168</v>
      </c>
      <c r="B373" t="s">
        <v>35</v>
      </c>
      <c r="C373" t="s">
        <v>28</v>
      </c>
      <c r="D373" t="s">
        <v>41</v>
      </c>
      <c r="E373" t="s">
        <v>30</v>
      </c>
      <c r="F373" t="s">
        <v>54</v>
      </c>
      <c r="G373" t="s">
        <v>39</v>
      </c>
      <c r="H373">
        <v>180000</v>
      </c>
      <c r="I373">
        <v>8</v>
      </c>
      <c r="J373" t="s">
        <v>65</v>
      </c>
      <c r="K373">
        <f t="shared" si="5"/>
        <v>144000</v>
      </c>
    </row>
    <row r="374" spans="1:11">
      <c r="A374" t="s">
        <v>132</v>
      </c>
      <c r="B374" t="s">
        <v>44</v>
      </c>
      <c r="C374" t="s">
        <v>45</v>
      </c>
      <c r="D374" t="s">
        <v>41</v>
      </c>
      <c r="E374" t="s">
        <v>30</v>
      </c>
      <c r="F374" t="s">
        <v>54</v>
      </c>
      <c r="G374" t="s">
        <v>39</v>
      </c>
      <c r="H374">
        <v>180000</v>
      </c>
      <c r="I374">
        <v>3</v>
      </c>
      <c r="J374" t="s">
        <v>58</v>
      </c>
      <c r="K374">
        <f t="shared" si="5"/>
        <v>144000</v>
      </c>
    </row>
    <row r="375" spans="1:11">
      <c r="A375" t="s">
        <v>158</v>
      </c>
      <c r="B375" t="s">
        <v>27</v>
      </c>
      <c r="C375" t="s">
        <v>53</v>
      </c>
      <c r="D375" t="s">
        <v>41</v>
      </c>
      <c r="E375" t="s">
        <v>37</v>
      </c>
      <c r="F375" t="s">
        <v>56</v>
      </c>
      <c r="G375" t="s">
        <v>32</v>
      </c>
      <c r="H375">
        <v>320000</v>
      </c>
      <c r="I375">
        <v>6</v>
      </c>
      <c r="J375" t="s">
        <v>69</v>
      </c>
      <c r="K375">
        <f t="shared" si="5"/>
        <v>256000</v>
      </c>
    </row>
    <row r="376" spans="1:11">
      <c r="A376" t="s">
        <v>147</v>
      </c>
      <c r="B376" t="s">
        <v>27</v>
      </c>
      <c r="C376" t="s">
        <v>53</v>
      </c>
      <c r="D376" t="s">
        <v>41</v>
      </c>
      <c r="E376" t="s">
        <v>37</v>
      </c>
      <c r="F376" t="s">
        <v>46</v>
      </c>
      <c r="G376" t="s">
        <v>39</v>
      </c>
      <c r="H376">
        <v>60000</v>
      </c>
      <c r="I376">
        <v>10</v>
      </c>
      <c r="J376" t="s">
        <v>33</v>
      </c>
      <c r="K376">
        <f t="shared" si="5"/>
        <v>48000</v>
      </c>
    </row>
    <row r="377" spans="1:11">
      <c r="A377" t="s">
        <v>124</v>
      </c>
      <c r="B377" t="s">
        <v>44</v>
      </c>
      <c r="C377" t="s">
        <v>36</v>
      </c>
      <c r="D377" t="s">
        <v>41</v>
      </c>
      <c r="E377" t="s">
        <v>37</v>
      </c>
      <c r="F377" t="s">
        <v>50</v>
      </c>
      <c r="G377" t="s">
        <v>51</v>
      </c>
      <c r="H377">
        <v>300000</v>
      </c>
      <c r="I377">
        <v>1</v>
      </c>
      <c r="J377" t="s">
        <v>65</v>
      </c>
      <c r="K377">
        <f t="shared" si="5"/>
        <v>240000</v>
      </c>
    </row>
    <row r="378" spans="1:11">
      <c r="A378" t="s">
        <v>153</v>
      </c>
      <c r="B378" t="s">
        <v>27</v>
      </c>
      <c r="C378" t="s">
        <v>36</v>
      </c>
      <c r="D378" t="s">
        <v>41</v>
      </c>
      <c r="E378" t="s">
        <v>30</v>
      </c>
      <c r="F378" t="s">
        <v>54</v>
      </c>
      <c r="G378" t="s">
        <v>39</v>
      </c>
      <c r="H378">
        <v>180000</v>
      </c>
      <c r="I378">
        <v>1</v>
      </c>
      <c r="J378" t="s">
        <v>42</v>
      </c>
      <c r="K378">
        <f t="shared" si="5"/>
        <v>144000</v>
      </c>
    </row>
    <row r="379" spans="1:11">
      <c r="A379" t="s">
        <v>134</v>
      </c>
      <c r="B379" t="s">
        <v>35</v>
      </c>
      <c r="C379" t="s">
        <v>36</v>
      </c>
      <c r="D379" t="s">
        <v>29</v>
      </c>
      <c r="E379" t="s">
        <v>37</v>
      </c>
      <c r="F379" t="s">
        <v>73</v>
      </c>
      <c r="G379" t="s">
        <v>39</v>
      </c>
      <c r="H379">
        <v>220000</v>
      </c>
      <c r="I379">
        <v>8</v>
      </c>
      <c r="J379" t="s">
        <v>65</v>
      </c>
      <c r="K379">
        <f t="shared" si="5"/>
        <v>176000</v>
      </c>
    </row>
    <row r="380" spans="1:11">
      <c r="A380" t="s">
        <v>136</v>
      </c>
      <c r="B380" t="s">
        <v>49</v>
      </c>
      <c r="C380" t="s">
        <v>36</v>
      </c>
      <c r="D380" t="s">
        <v>41</v>
      </c>
      <c r="E380" t="s">
        <v>37</v>
      </c>
      <c r="F380" t="s">
        <v>31</v>
      </c>
      <c r="G380" t="s">
        <v>32</v>
      </c>
      <c r="H380">
        <v>85000</v>
      </c>
      <c r="I380">
        <v>7</v>
      </c>
      <c r="J380" t="s">
        <v>47</v>
      </c>
      <c r="K380">
        <f t="shared" si="5"/>
        <v>68000</v>
      </c>
    </row>
    <row r="381" spans="1:11">
      <c r="A381" t="s">
        <v>80</v>
      </c>
      <c r="B381" t="s">
        <v>27</v>
      </c>
      <c r="C381" t="s">
        <v>28</v>
      </c>
      <c r="D381" t="s">
        <v>29</v>
      </c>
      <c r="E381" t="s">
        <v>37</v>
      </c>
      <c r="F381" t="s">
        <v>54</v>
      </c>
      <c r="G381" t="s">
        <v>39</v>
      </c>
      <c r="H381">
        <v>180000</v>
      </c>
      <c r="I381">
        <v>9</v>
      </c>
      <c r="J381" t="s">
        <v>69</v>
      </c>
      <c r="K381">
        <f t="shared" si="5"/>
        <v>144000</v>
      </c>
    </row>
    <row r="382" spans="1:11">
      <c r="A382" t="s">
        <v>88</v>
      </c>
      <c r="B382" t="s">
        <v>49</v>
      </c>
      <c r="C382" t="s">
        <v>28</v>
      </c>
      <c r="D382" t="s">
        <v>41</v>
      </c>
      <c r="E382" t="s">
        <v>30</v>
      </c>
      <c r="F382" t="s">
        <v>56</v>
      </c>
      <c r="G382" t="s">
        <v>32</v>
      </c>
      <c r="H382">
        <v>320000</v>
      </c>
      <c r="I382">
        <v>3</v>
      </c>
      <c r="J382" t="s">
        <v>58</v>
      </c>
      <c r="K382">
        <f t="shared" si="5"/>
        <v>256000</v>
      </c>
    </row>
    <row r="383" spans="1:11">
      <c r="A383" t="s">
        <v>157</v>
      </c>
      <c r="B383" t="s">
        <v>49</v>
      </c>
      <c r="C383" t="s">
        <v>28</v>
      </c>
      <c r="D383" t="s">
        <v>41</v>
      </c>
      <c r="E383" t="s">
        <v>30</v>
      </c>
      <c r="F383" t="s">
        <v>62</v>
      </c>
      <c r="G383" t="s">
        <v>51</v>
      </c>
      <c r="H383">
        <v>150000</v>
      </c>
      <c r="I383">
        <v>4</v>
      </c>
      <c r="J383" t="s">
        <v>33</v>
      </c>
      <c r="K383">
        <f t="shared" si="5"/>
        <v>120000</v>
      </c>
    </row>
    <row r="384" spans="1:11">
      <c r="A384" t="s">
        <v>137</v>
      </c>
      <c r="B384" t="s">
        <v>35</v>
      </c>
      <c r="C384" t="s">
        <v>36</v>
      </c>
      <c r="D384" t="s">
        <v>29</v>
      </c>
      <c r="E384" t="s">
        <v>30</v>
      </c>
      <c r="F384" t="s">
        <v>73</v>
      </c>
      <c r="G384" t="s">
        <v>39</v>
      </c>
      <c r="H384">
        <v>220000</v>
      </c>
      <c r="I384">
        <v>10</v>
      </c>
      <c r="J384" t="s">
        <v>69</v>
      </c>
      <c r="K384">
        <f t="shared" si="5"/>
        <v>176000</v>
      </c>
    </row>
    <row r="385" spans="1:11">
      <c r="A385" t="s">
        <v>154</v>
      </c>
      <c r="B385" t="s">
        <v>44</v>
      </c>
      <c r="C385" t="s">
        <v>28</v>
      </c>
      <c r="D385" t="s">
        <v>41</v>
      </c>
      <c r="E385" t="s">
        <v>30</v>
      </c>
      <c r="F385" t="s">
        <v>62</v>
      </c>
      <c r="G385" t="s">
        <v>51</v>
      </c>
      <c r="H385">
        <v>150000</v>
      </c>
      <c r="I385">
        <v>6</v>
      </c>
      <c r="J385" t="s">
        <v>33</v>
      </c>
      <c r="K385">
        <f t="shared" si="5"/>
        <v>120000</v>
      </c>
    </row>
    <row r="386" spans="1:11">
      <c r="A386" t="s">
        <v>117</v>
      </c>
      <c r="B386" t="s">
        <v>27</v>
      </c>
      <c r="C386" t="s">
        <v>36</v>
      </c>
      <c r="D386" t="s">
        <v>41</v>
      </c>
      <c r="E386" t="s">
        <v>37</v>
      </c>
      <c r="F386" t="s">
        <v>54</v>
      </c>
      <c r="G386" t="s">
        <v>39</v>
      </c>
      <c r="H386">
        <v>180000</v>
      </c>
      <c r="I386">
        <v>1</v>
      </c>
      <c r="J386" t="s">
        <v>47</v>
      </c>
      <c r="K386">
        <f t="shared" ref="K386:K449" si="6">H386-H386*0.2</f>
        <v>144000</v>
      </c>
    </row>
    <row r="387" spans="1:11">
      <c r="A387" t="s">
        <v>113</v>
      </c>
      <c r="B387" t="s">
        <v>35</v>
      </c>
      <c r="C387" t="s">
        <v>45</v>
      </c>
      <c r="D387" t="s">
        <v>29</v>
      </c>
      <c r="E387" t="s">
        <v>30</v>
      </c>
      <c r="F387" t="s">
        <v>38</v>
      </c>
      <c r="G387" t="s">
        <v>39</v>
      </c>
      <c r="H387">
        <v>30000</v>
      </c>
      <c r="I387">
        <v>2</v>
      </c>
      <c r="J387" t="s">
        <v>58</v>
      </c>
      <c r="K387">
        <f t="shared" si="6"/>
        <v>24000</v>
      </c>
    </row>
    <row r="388" spans="1:11">
      <c r="A388" t="s">
        <v>82</v>
      </c>
      <c r="B388" t="s">
        <v>49</v>
      </c>
      <c r="C388" t="s">
        <v>53</v>
      </c>
      <c r="D388" t="s">
        <v>41</v>
      </c>
      <c r="E388" t="s">
        <v>30</v>
      </c>
      <c r="F388" t="s">
        <v>56</v>
      </c>
      <c r="G388" t="s">
        <v>32</v>
      </c>
      <c r="H388">
        <v>320000</v>
      </c>
      <c r="I388">
        <v>7</v>
      </c>
      <c r="J388" t="s">
        <v>33</v>
      </c>
      <c r="K388">
        <f t="shared" si="6"/>
        <v>256000</v>
      </c>
    </row>
    <row r="389" spans="1:11">
      <c r="A389" t="s">
        <v>144</v>
      </c>
      <c r="B389" t="s">
        <v>49</v>
      </c>
      <c r="C389" t="s">
        <v>45</v>
      </c>
      <c r="D389" t="s">
        <v>29</v>
      </c>
      <c r="E389" t="s">
        <v>37</v>
      </c>
      <c r="F389" t="s">
        <v>31</v>
      </c>
      <c r="G389" t="s">
        <v>32</v>
      </c>
      <c r="H389">
        <v>85000</v>
      </c>
      <c r="I389">
        <v>10</v>
      </c>
      <c r="J389" t="s">
        <v>42</v>
      </c>
      <c r="K389">
        <f t="shared" si="6"/>
        <v>68000</v>
      </c>
    </row>
    <row r="390" spans="1:11">
      <c r="A390" t="s">
        <v>132</v>
      </c>
      <c r="B390" t="s">
        <v>35</v>
      </c>
      <c r="C390" t="s">
        <v>28</v>
      </c>
      <c r="D390" t="s">
        <v>41</v>
      </c>
      <c r="E390" t="s">
        <v>30</v>
      </c>
      <c r="F390" t="s">
        <v>54</v>
      </c>
      <c r="G390" t="s">
        <v>39</v>
      </c>
      <c r="H390">
        <v>180000</v>
      </c>
      <c r="I390">
        <v>7</v>
      </c>
      <c r="J390" t="s">
        <v>47</v>
      </c>
      <c r="K390">
        <f t="shared" si="6"/>
        <v>144000</v>
      </c>
    </row>
    <row r="391" spans="1:11">
      <c r="A391" t="s">
        <v>59</v>
      </c>
      <c r="B391" t="s">
        <v>44</v>
      </c>
      <c r="C391" t="s">
        <v>36</v>
      </c>
      <c r="D391" t="s">
        <v>29</v>
      </c>
      <c r="E391" t="s">
        <v>30</v>
      </c>
      <c r="F391" t="s">
        <v>67</v>
      </c>
      <c r="G391" t="s">
        <v>51</v>
      </c>
      <c r="H391">
        <v>420000</v>
      </c>
      <c r="I391">
        <v>5</v>
      </c>
      <c r="J391" t="s">
        <v>58</v>
      </c>
      <c r="K391">
        <f t="shared" si="6"/>
        <v>336000</v>
      </c>
    </row>
    <row r="392" spans="1:11">
      <c r="A392" t="s">
        <v>77</v>
      </c>
      <c r="B392" t="s">
        <v>44</v>
      </c>
      <c r="C392" t="s">
        <v>53</v>
      </c>
      <c r="D392" t="s">
        <v>41</v>
      </c>
      <c r="E392" t="s">
        <v>37</v>
      </c>
      <c r="F392" t="s">
        <v>56</v>
      </c>
      <c r="G392" t="s">
        <v>32</v>
      </c>
      <c r="H392">
        <v>320000</v>
      </c>
      <c r="I392">
        <v>8</v>
      </c>
      <c r="J392" t="s">
        <v>42</v>
      </c>
      <c r="K392">
        <f t="shared" si="6"/>
        <v>256000</v>
      </c>
    </row>
    <row r="393" spans="1:11">
      <c r="A393" t="s">
        <v>151</v>
      </c>
      <c r="B393" t="s">
        <v>35</v>
      </c>
      <c r="C393" t="s">
        <v>45</v>
      </c>
      <c r="D393" t="s">
        <v>41</v>
      </c>
      <c r="E393" t="s">
        <v>37</v>
      </c>
      <c r="F393" t="s">
        <v>54</v>
      </c>
      <c r="G393" t="s">
        <v>39</v>
      </c>
      <c r="H393">
        <v>180000</v>
      </c>
      <c r="I393">
        <v>5</v>
      </c>
      <c r="J393" t="s">
        <v>47</v>
      </c>
      <c r="K393">
        <f t="shared" si="6"/>
        <v>144000</v>
      </c>
    </row>
    <row r="394" spans="1:11">
      <c r="A394" t="s">
        <v>135</v>
      </c>
      <c r="B394" t="s">
        <v>49</v>
      </c>
      <c r="C394" t="s">
        <v>28</v>
      </c>
      <c r="D394" t="s">
        <v>41</v>
      </c>
      <c r="E394" t="s">
        <v>37</v>
      </c>
      <c r="F394" t="s">
        <v>67</v>
      </c>
      <c r="G394" t="s">
        <v>51</v>
      </c>
      <c r="H394">
        <v>420000</v>
      </c>
      <c r="I394">
        <v>2</v>
      </c>
      <c r="J394" t="s">
        <v>33</v>
      </c>
      <c r="K394">
        <f t="shared" si="6"/>
        <v>336000</v>
      </c>
    </row>
    <row r="395" spans="1:11">
      <c r="A395" t="s">
        <v>105</v>
      </c>
      <c r="B395" t="s">
        <v>49</v>
      </c>
      <c r="C395" t="s">
        <v>45</v>
      </c>
      <c r="D395" t="s">
        <v>29</v>
      </c>
      <c r="E395" t="s">
        <v>30</v>
      </c>
      <c r="F395" t="s">
        <v>50</v>
      </c>
      <c r="G395" t="s">
        <v>51</v>
      </c>
      <c r="H395">
        <v>300000</v>
      </c>
      <c r="I395">
        <v>8</v>
      </c>
      <c r="J395" t="s">
        <v>42</v>
      </c>
      <c r="K395">
        <f t="shared" si="6"/>
        <v>240000</v>
      </c>
    </row>
    <row r="396" spans="1:11">
      <c r="A396" t="s">
        <v>101</v>
      </c>
      <c r="B396" t="s">
        <v>35</v>
      </c>
      <c r="C396" t="s">
        <v>45</v>
      </c>
      <c r="D396" t="s">
        <v>29</v>
      </c>
      <c r="E396" t="s">
        <v>30</v>
      </c>
      <c r="F396" t="s">
        <v>56</v>
      </c>
      <c r="G396" t="s">
        <v>32</v>
      </c>
      <c r="H396">
        <v>320000</v>
      </c>
      <c r="I396">
        <v>1</v>
      </c>
      <c r="J396" t="s">
        <v>42</v>
      </c>
      <c r="K396">
        <f t="shared" si="6"/>
        <v>256000</v>
      </c>
    </row>
    <row r="397" spans="1:11">
      <c r="A397" t="s">
        <v>98</v>
      </c>
      <c r="B397" t="s">
        <v>35</v>
      </c>
      <c r="C397" t="s">
        <v>45</v>
      </c>
      <c r="D397" t="s">
        <v>29</v>
      </c>
      <c r="E397" t="s">
        <v>30</v>
      </c>
      <c r="F397" t="s">
        <v>67</v>
      </c>
      <c r="G397" t="s">
        <v>51</v>
      </c>
      <c r="H397">
        <v>420000</v>
      </c>
      <c r="I397">
        <v>9</v>
      </c>
      <c r="J397" t="s">
        <v>33</v>
      </c>
      <c r="K397">
        <f t="shared" si="6"/>
        <v>336000</v>
      </c>
    </row>
    <row r="398" spans="1:11">
      <c r="A398" t="s">
        <v>112</v>
      </c>
      <c r="B398" t="s">
        <v>35</v>
      </c>
      <c r="C398" t="s">
        <v>53</v>
      </c>
      <c r="D398" t="s">
        <v>41</v>
      </c>
      <c r="E398" t="s">
        <v>37</v>
      </c>
      <c r="F398" t="s">
        <v>31</v>
      </c>
      <c r="G398" t="s">
        <v>32</v>
      </c>
      <c r="H398">
        <v>85000</v>
      </c>
      <c r="I398">
        <v>8</v>
      </c>
      <c r="J398" t="s">
        <v>69</v>
      </c>
      <c r="K398">
        <f t="shared" si="6"/>
        <v>68000</v>
      </c>
    </row>
    <row r="399" spans="1:11">
      <c r="A399" t="s">
        <v>88</v>
      </c>
      <c r="B399" t="s">
        <v>49</v>
      </c>
      <c r="C399" t="s">
        <v>28</v>
      </c>
      <c r="D399" t="s">
        <v>41</v>
      </c>
      <c r="E399" t="s">
        <v>37</v>
      </c>
      <c r="F399" t="s">
        <v>67</v>
      </c>
      <c r="G399" t="s">
        <v>51</v>
      </c>
      <c r="H399">
        <v>420000</v>
      </c>
      <c r="I399">
        <v>10</v>
      </c>
      <c r="J399" t="s">
        <v>58</v>
      </c>
      <c r="K399">
        <f t="shared" si="6"/>
        <v>336000</v>
      </c>
    </row>
    <row r="400" spans="1:11">
      <c r="A400" t="s">
        <v>125</v>
      </c>
      <c r="B400" t="s">
        <v>35</v>
      </c>
      <c r="C400" t="s">
        <v>28</v>
      </c>
      <c r="D400" t="s">
        <v>29</v>
      </c>
      <c r="E400" t="s">
        <v>37</v>
      </c>
      <c r="F400" t="s">
        <v>71</v>
      </c>
      <c r="G400" t="s">
        <v>51</v>
      </c>
      <c r="H400">
        <v>250000</v>
      </c>
      <c r="I400">
        <v>1</v>
      </c>
      <c r="J400" t="s">
        <v>58</v>
      </c>
      <c r="K400">
        <f t="shared" si="6"/>
        <v>200000</v>
      </c>
    </row>
    <row r="401" spans="1:11">
      <c r="A401" t="s">
        <v>169</v>
      </c>
      <c r="B401" t="s">
        <v>35</v>
      </c>
      <c r="C401" t="s">
        <v>53</v>
      </c>
      <c r="D401" t="s">
        <v>41</v>
      </c>
      <c r="E401" t="s">
        <v>30</v>
      </c>
      <c r="F401" t="s">
        <v>73</v>
      </c>
      <c r="G401" t="s">
        <v>39</v>
      </c>
      <c r="H401">
        <v>220000</v>
      </c>
      <c r="I401">
        <v>5</v>
      </c>
      <c r="J401" t="s">
        <v>69</v>
      </c>
      <c r="K401">
        <f t="shared" si="6"/>
        <v>176000</v>
      </c>
    </row>
    <row r="402" spans="1:11">
      <c r="A402" t="s">
        <v>102</v>
      </c>
      <c r="B402" t="s">
        <v>49</v>
      </c>
      <c r="C402" t="s">
        <v>36</v>
      </c>
      <c r="D402" t="s">
        <v>29</v>
      </c>
      <c r="E402" t="s">
        <v>30</v>
      </c>
      <c r="F402" t="s">
        <v>50</v>
      </c>
      <c r="G402" t="s">
        <v>51</v>
      </c>
      <c r="H402">
        <v>300000</v>
      </c>
      <c r="I402">
        <v>1</v>
      </c>
      <c r="J402" t="s">
        <v>33</v>
      </c>
      <c r="K402">
        <f t="shared" si="6"/>
        <v>240000</v>
      </c>
    </row>
    <row r="403" spans="1:11">
      <c r="A403" t="s">
        <v>79</v>
      </c>
      <c r="B403" t="s">
        <v>49</v>
      </c>
      <c r="C403" t="s">
        <v>45</v>
      </c>
      <c r="D403" t="s">
        <v>41</v>
      </c>
      <c r="E403" t="s">
        <v>37</v>
      </c>
      <c r="F403" t="s">
        <v>46</v>
      </c>
      <c r="G403" t="s">
        <v>39</v>
      </c>
      <c r="H403">
        <v>60000</v>
      </c>
      <c r="I403">
        <v>6</v>
      </c>
      <c r="J403" t="s">
        <v>65</v>
      </c>
      <c r="K403">
        <f t="shared" si="6"/>
        <v>48000</v>
      </c>
    </row>
    <row r="404" spans="1:11">
      <c r="A404" t="s">
        <v>118</v>
      </c>
      <c r="B404" t="s">
        <v>44</v>
      </c>
      <c r="C404" t="s">
        <v>53</v>
      </c>
      <c r="D404" t="s">
        <v>29</v>
      </c>
      <c r="E404" t="s">
        <v>30</v>
      </c>
      <c r="F404" t="s">
        <v>46</v>
      </c>
      <c r="G404" t="s">
        <v>39</v>
      </c>
      <c r="H404">
        <v>60000</v>
      </c>
      <c r="I404">
        <v>8</v>
      </c>
      <c r="J404" t="s">
        <v>42</v>
      </c>
      <c r="K404">
        <f t="shared" si="6"/>
        <v>48000</v>
      </c>
    </row>
    <row r="405" spans="1:11">
      <c r="A405" t="s">
        <v>143</v>
      </c>
      <c r="B405" t="s">
        <v>44</v>
      </c>
      <c r="C405" t="s">
        <v>45</v>
      </c>
      <c r="D405" t="s">
        <v>29</v>
      </c>
      <c r="E405" t="s">
        <v>37</v>
      </c>
      <c r="F405" t="s">
        <v>73</v>
      </c>
      <c r="G405" t="s">
        <v>39</v>
      </c>
      <c r="H405">
        <v>220000</v>
      </c>
      <c r="I405">
        <v>3</v>
      </c>
      <c r="J405" t="s">
        <v>65</v>
      </c>
      <c r="K405">
        <f t="shared" si="6"/>
        <v>176000</v>
      </c>
    </row>
    <row r="406" spans="1:11">
      <c r="A406" t="s">
        <v>135</v>
      </c>
      <c r="B406" t="s">
        <v>49</v>
      </c>
      <c r="C406" t="s">
        <v>53</v>
      </c>
      <c r="D406" t="s">
        <v>29</v>
      </c>
      <c r="E406" t="s">
        <v>30</v>
      </c>
      <c r="F406" t="s">
        <v>46</v>
      </c>
      <c r="G406" t="s">
        <v>39</v>
      </c>
      <c r="H406">
        <v>60000</v>
      </c>
      <c r="I406">
        <v>1</v>
      </c>
      <c r="J406" t="s">
        <v>58</v>
      </c>
      <c r="K406">
        <f t="shared" si="6"/>
        <v>48000</v>
      </c>
    </row>
    <row r="407" spans="1:11">
      <c r="A407" t="s">
        <v>96</v>
      </c>
      <c r="B407" t="s">
        <v>35</v>
      </c>
      <c r="C407" t="s">
        <v>36</v>
      </c>
      <c r="D407" t="s">
        <v>41</v>
      </c>
      <c r="E407" t="s">
        <v>30</v>
      </c>
      <c r="F407" t="s">
        <v>62</v>
      </c>
      <c r="G407" t="s">
        <v>51</v>
      </c>
      <c r="H407">
        <v>150000</v>
      </c>
      <c r="I407">
        <v>1</v>
      </c>
      <c r="J407" t="s">
        <v>47</v>
      </c>
      <c r="K407">
        <f t="shared" si="6"/>
        <v>120000</v>
      </c>
    </row>
    <row r="408" spans="1:11">
      <c r="A408" t="s">
        <v>96</v>
      </c>
      <c r="B408" t="s">
        <v>27</v>
      </c>
      <c r="C408" t="s">
        <v>45</v>
      </c>
      <c r="D408" t="s">
        <v>41</v>
      </c>
      <c r="E408" t="s">
        <v>30</v>
      </c>
      <c r="F408" t="s">
        <v>56</v>
      </c>
      <c r="G408" t="s">
        <v>32</v>
      </c>
      <c r="H408">
        <v>320000</v>
      </c>
      <c r="I408">
        <v>7</v>
      </c>
      <c r="J408" t="s">
        <v>69</v>
      </c>
      <c r="K408">
        <f t="shared" si="6"/>
        <v>256000</v>
      </c>
    </row>
    <row r="409" spans="1:11">
      <c r="A409" t="s">
        <v>91</v>
      </c>
      <c r="B409" t="s">
        <v>44</v>
      </c>
      <c r="C409" t="s">
        <v>45</v>
      </c>
      <c r="D409" t="s">
        <v>29</v>
      </c>
      <c r="E409" t="s">
        <v>37</v>
      </c>
      <c r="F409" t="s">
        <v>31</v>
      </c>
      <c r="G409" t="s">
        <v>32</v>
      </c>
      <c r="H409">
        <v>85000</v>
      </c>
      <c r="I409">
        <v>10</v>
      </c>
      <c r="J409" t="s">
        <v>47</v>
      </c>
      <c r="K409">
        <f t="shared" si="6"/>
        <v>68000</v>
      </c>
    </row>
    <row r="410" spans="1:11">
      <c r="A410" t="s">
        <v>165</v>
      </c>
      <c r="B410" t="s">
        <v>27</v>
      </c>
      <c r="C410" t="s">
        <v>28</v>
      </c>
      <c r="D410" t="s">
        <v>41</v>
      </c>
      <c r="E410" t="s">
        <v>30</v>
      </c>
      <c r="F410" t="s">
        <v>62</v>
      </c>
      <c r="G410" t="s">
        <v>51</v>
      </c>
      <c r="H410">
        <v>150000</v>
      </c>
      <c r="I410">
        <v>10</v>
      </c>
      <c r="J410" t="s">
        <v>33</v>
      </c>
      <c r="K410">
        <f t="shared" si="6"/>
        <v>120000</v>
      </c>
    </row>
    <row r="411" spans="1:11">
      <c r="A411" t="s">
        <v>61</v>
      </c>
      <c r="B411" t="s">
        <v>44</v>
      </c>
      <c r="C411" t="s">
        <v>36</v>
      </c>
      <c r="D411" t="s">
        <v>41</v>
      </c>
      <c r="E411" t="s">
        <v>30</v>
      </c>
      <c r="F411" t="s">
        <v>46</v>
      </c>
      <c r="G411" t="s">
        <v>39</v>
      </c>
      <c r="H411">
        <v>60000</v>
      </c>
      <c r="I411">
        <v>2</v>
      </c>
      <c r="J411" t="s">
        <v>47</v>
      </c>
      <c r="K411">
        <f t="shared" si="6"/>
        <v>48000</v>
      </c>
    </row>
    <row r="412" spans="1:11">
      <c r="A412" t="s">
        <v>52</v>
      </c>
      <c r="B412" t="s">
        <v>49</v>
      </c>
      <c r="C412" t="s">
        <v>53</v>
      </c>
      <c r="D412" t="s">
        <v>41</v>
      </c>
      <c r="E412" t="s">
        <v>30</v>
      </c>
      <c r="F412" t="s">
        <v>50</v>
      </c>
      <c r="G412" t="s">
        <v>51</v>
      </c>
      <c r="H412">
        <v>300000</v>
      </c>
      <c r="I412">
        <v>6</v>
      </c>
      <c r="J412" t="s">
        <v>33</v>
      </c>
      <c r="K412">
        <f t="shared" si="6"/>
        <v>240000</v>
      </c>
    </row>
    <row r="413" spans="1:11">
      <c r="A413" t="s">
        <v>118</v>
      </c>
      <c r="B413" t="s">
        <v>35</v>
      </c>
      <c r="C413" t="s">
        <v>45</v>
      </c>
      <c r="D413" t="s">
        <v>29</v>
      </c>
      <c r="E413" t="s">
        <v>30</v>
      </c>
      <c r="F413" t="s">
        <v>62</v>
      </c>
      <c r="G413" t="s">
        <v>51</v>
      </c>
      <c r="H413">
        <v>150000</v>
      </c>
      <c r="I413">
        <v>3</v>
      </c>
      <c r="J413" t="s">
        <v>65</v>
      </c>
      <c r="K413">
        <f t="shared" si="6"/>
        <v>120000</v>
      </c>
    </row>
    <row r="414" spans="1:11">
      <c r="A414" t="s">
        <v>81</v>
      </c>
      <c r="B414" t="s">
        <v>27</v>
      </c>
      <c r="C414" t="s">
        <v>28</v>
      </c>
      <c r="D414" t="s">
        <v>41</v>
      </c>
      <c r="E414" t="s">
        <v>30</v>
      </c>
      <c r="F414" t="s">
        <v>38</v>
      </c>
      <c r="G414" t="s">
        <v>39</v>
      </c>
      <c r="H414">
        <v>30000</v>
      </c>
      <c r="I414">
        <v>2</v>
      </c>
      <c r="J414" t="s">
        <v>42</v>
      </c>
      <c r="K414">
        <f t="shared" si="6"/>
        <v>24000</v>
      </c>
    </row>
    <row r="415" spans="1:11">
      <c r="A415" t="s">
        <v>158</v>
      </c>
      <c r="B415" t="s">
        <v>35</v>
      </c>
      <c r="C415" t="s">
        <v>36</v>
      </c>
      <c r="D415" t="s">
        <v>29</v>
      </c>
      <c r="E415" t="s">
        <v>30</v>
      </c>
      <c r="F415" t="s">
        <v>54</v>
      </c>
      <c r="G415" t="s">
        <v>39</v>
      </c>
      <c r="H415">
        <v>180000</v>
      </c>
      <c r="I415">
        <v>2</v>
      </c>
      <c r="J415" t="s">
        <v>65</v>
      </c>
      <c r="K415">
        <f t="shared" si="6"/>
        <v>144000</v>
      </c>
    </row>
    <row r="416" spans="1:11">
      <c r="A416" t="s">
        <v>115</v>
      </c>
      <c r="B416" t="s">
        <v>27</v>
      </c>
      <c r="C416" t="s">
        <v>45</v>
      </c>
      <c r="D416" t="s">
        <v>41</v>
      </c>
      <c r="E416" t="s">
        <v>30</v>
      </c>
      <c r="F416" t="s">
        <v>56</v>
      </c>
      <c r="G416" t="s">
        <v>32</v>
      </c>
      <c r="H416">
        <v>320000</v>
      </c>
      <c r="I416">
        <v>3</v>
      </c>
      <c r="J416" t="s">
        <v>47</v>
      </c>
      <c r="K416">
        <f t="shared" si="6"/>
        <v>256000</v>
      </c>
    </row>
    <row r="417" spans="1:11">
      <c r="A417" t="s">
        <v>170</v>
      </c>
      <c r="B417" t="s">
        <v>44</v>
      </c>
      <c r="C417" t="s">
        <v>45</v>
      </c>
      <c r="D417" t="s">
        <v>41</v>
      </c>
      <c r="E417" t="s">
        <v>37</v>
      </c>
      <c r="F417" t="s">
        <v>38</v>
      </c>
      <c r="G417" t="s">
        <v>39</v>
      </c>
      <c r="H417">
        <v>30000</v>
      </c>
      <c r="I417">
        <v>3</v>
      </c>
      <c r="J417" t="s">
        <v>65</v>
      </c>
      <c r="K417">
        <f t="shared" si="6"/>
        <v>24000</v>
      </c>
    </row>
    <row r="418" spans="1:11">
      <c r="A418" t="s">
        <v>140</v>
      </c>
      <c r="B418" t="s">
        <v>27</v>
      </c>
      <c r="C418" t="s">
        <v>53</v>
      </c>
      <c r="D418" t="s">
        <v>29</v>
      </c>
      <c r="E418" t="s">
        <v>37</v>
      </c>
      <c r="F418" t="s">
        <v>31</v>
      </c>
      <c r="G418" t="s">
        <v>32</v>
      </c>
      <c r="H418">
        <v>85000</v>
      </c>
      <c r="I418">
        <v>3</v>
      </c>
      <c r="J418" t="s">
        <v>58</v>
      </c>
      <c r="K418">
        <f t="shared" si="6"/>
        <v>68000</v>
      </c>
    </row>
    <row r="419" spans="1:11">
      <c r="A419" t="s">
        <v>79</v>
      </c>
      <c r="B419" t="s">
        <v>49</v>
      </c>
      <c r="C419" t="s">
        <v>45</v>
      </c>
      <c r="D419" t="s">
        <v>29</v>
      </c>
      <c r="E419" t="s">
        <v>37</v>
      </c>
      <c r="F419" t="s">
        <v>31</v>
      </c>
      <c r="G419" t="s">
        <v>32</v>
      </c>
      <c r="H419">
        <v>85000</v>
      </c>
      <c r="I419">
        <v>10</v>
      </c>
      <c r="J419" t="s">
        <v>65</v>
      </c>
      <c r="K419">
        <f t="shared" si="6"/>
        <v>68000</v>
      </c>
    </row>
    <row r="420" spans="1:11">
      <c r="A420" t="s">
        <v>120</v>
      </c>
      <c r="B420" t="s">
        <v>35</v>
      </c>
      <c r="C420" t="s">
        <v>28</v>
      </c>
      <c r="D420" t="s">
        <v>41</v>
      </c>
      <c r="E420" t="s">
        <v>37</v>
      </c>
      <c r="F420" t="s">
        <v>54</v>
      </c>
      <c r="G420" t="s">
        <v>39</v>
      </c>
      <c r="H420">
        <v>180000</v>
      </c>
      <c r="I420">
        <v>10</v>
      </c>
      <c r="J420" t="s">
        <v>33</v>
      </c>
      <c r="K420">
        <f t="shared" si="6"/>
        <v>144000</v>
      </c>
    </row>
    <row r="421" spans="1:11">
      <c r="A421" t="s">
        <v>126</v>
      </c>
      <c r="B421" t="s">
        <v>27</v>
      </c>
      <c r="C421" t="s">
        <v>36</v>
      </c>
      <c r="D421" t="s">
        <v>29</v>
      </c>
      <c r="E421" t="s">
        <v>37</v>
      </c>
      <c r="F421" t="s">
        <v>73</v>
      </c>
      <c r="G421" t="s">
        <v>39</v>
      </c>
      <c r="H421">
        <v>220000</v>
      </c>
      <c r="I421">
        <v>9</v>
      </c>
      <c r="J421" t="s">
        <v>47</v>
      </c>
      <c r="K421">
        <f t="shared" si="6"/>
        <v>176000</v>
      </c>
    </row>
    <row r="422" spans="1:11">
      <c r="A422" t="s">
        <v>75</v>
      </c>
      <c r="B422" t="s">
        <v>27</v>
      </c>
      <c r="C422" t="s">
        <v>53</v>
      </c>
      <c r="D422" t="s">
        <v>41</v>
      </c>
      <c r="E422" t="s">
        <v>37</v>
      </c>
      <c r="F422" t="s">
        <v>67</v>
      </c>
      <c r="G422" t="s">
        <v>51</v>
      </c>
      <c r="H422">
        <v>420000</v>
      </c>
      <c r="I422">
        <v>9</v>
      </c>
      <c r="J422" t="s">
        <v>47</v>
      </c>
      <c r="K422">
        <f t="shared" si="6"/>
        <v>336000</v>
      </c>
    </row>
    <row r="423" spans="1:11">
      <c r="A423" t="s">
        <v>124</v>
      </c>
      <c r="B423" t="s">
        <v>35</v>
      </c>
      <c r="C423" t="s">
        <v>28</v>
      </c>
      <c r="D423" t="s">
        <v>41</v>
      </c>
      <c r="E423" t="s">
        <v>30</v>
      </c>
      <c r="F423" t="s">
        <v>54</v>
      </c>
      <c r="G423" t="s">
        <v>39</v>
      </c>
      <c r="H423">
        <v>180000</v>
      </c>
      <c r="I423">
        <v>2</v>
      </c>
      <c r="J423" t="s">
        <v>65</v>
      </c>
      <c r="K423">
        <f t="shared" si="6"/>
        <v>144000</v>
      </c>
    </row>
    <row r="424" spans="1:11">
      <c r="A424" t="s">
        <v>96</v>
      </c>
      <c r="B424" t="s">
        <v>27</v>
      </c>
      <c r="C424" t="s">
        <v>36</v>
      </c>
      <c r="D424" t="s">
        <v>41</v>
      </c>
      <c r="E424" t="s">
        <v>30</v>
      </c>
      <c r="F424" t="s">
        <v>50</v>
      </c>
      <c r="G424" t="s">
        <v>51</v>
      </c>
      <c r="H424">
        <v>300000</v>
      </c>
      <c r="I424">
        <v>3</v>
      </c>
      <c r="J424" t="s">
        <v>42</v>
      </c>
      <c r="K424">
        <f t="shared" si="6"/>
        <v>240000</v>
      </c>
    </row>
    <row r="425" spans="1:11">
      <c r="A425" t="s">
        <v>151</v>
      </c>
      <c r="B425" t="s">
        <v>49</v>
      </c>
      <c r="C425" t="s">
        <v>45</v>
      </c>
      <c r="D425" t="s">
        <v>41</v>
      </c>
      <c r="E425" t="s">
        <v>30</v>
      </c>
      <c r="F425" t="s">
        <v>54</v>
      </c>
      <c r="G425" t="s">
        <v>39</v>
      </c>
      <c r="H425">
        <v>180000</v>
      </c>
      <c r="I425">
        <v>1</v>
      </c>
      <c r="J425" t="s">
        <v>69</v>
      </c>
      <c r="K425">
        <f t="shared" si="6"/>
        <v>144000</v>
      </c>
    </row>
    <row r="426" spans="1:11">
      <c r="A426" t="s">
        <v>70</v>
      </c>
      <c r="B426" t="s">
        <v>49</v>
      </c>
      <c r="C426" t="s">
        <v>36</v>
      </c>
      <c r="D426" t="s">
        <v>29</v>
      </c>
      <c r="E426" t="s">
        <v>37</v>
      </c>
      <c r="F426" t="s">
        <v>56</v>
      </c>
      <c r="G426" t="s">
        <v>32</v>
      </c>
      <c r="H426">
        <v>320000</v>
      </c>
      <c r="I426">
        <v>9</v>
      </c>
      <c r="J426" t="s">
        <v>58</v>
      </c>
      <c r="K426">
        <f t="shared" si="6"/>
        <v>256000</v>
      </c>
    </row>
    <row r="427" spans="1:11">
      <c r="A427" t="s">
        <v>129</v>
      </c>
      <c r="B427" t="s">
        <v>49</v>
      </c>
      <c r="C427" t="s">
        <v>28</v>
      </c>
      <c r="D427" t="s">
        <v>29</v>
      </c>
      <c r="E427" t="s">
        <v>30</v>
      </c>
      <c r="F427" t="s">
        <v>56</v>
      </c>
      <c r="G427" t="s">
        <v>32</v>
      </c>
      <c r="H427">
        <v>320000</v>
      </c>
      <c r="I427">
        <v>5</v>
      </c>
      <c r="J427" t="s">
        <v>42</v>
      </c>
      <c r="K427">
        <f t="shared" si="6"/>
        <v>256000</v>
      </c>
    </row>
    <row r="428" spans="1:11">
      <c r="A428" t="s">
        <v>85</v>
      </c>
      <c r="B428" t="s">
        <v>49</v>
      </c>
      <c r="C428" t="s">
        <v>53</v>
      </c>
      <c r="D428" t="s">
        <v>29</v>
      </c>
      <c r="E428" t="s">
        <v>30</v>
      </c>
      <c r="F428" t="s">
        <v>46</v>
      </c>
      <c r="G428" t="s">
        <v>39</v>
      </c>
      <c r="H428">
        <v>60000</v>
      </c>
      <c r="I428">
        <v>8</v>
      </c>
      <c r="J428" t="s">
        <v>69</v>
      </c>
      <c r="K428">
        <f t="shared" si="6"/>
        <v>48000</v>
      </c>
    </row>
    <row r="429" spans="1:11">
      <c r="A429" t="s">
        <v>103</v>
      </c>
      <c r="B429" t="s">
        <v>44</v>
      </c>
      <c r="C429" t="s">
        <v>28</v>
      </c>
      <c r="D429" t="s">
        <v>41</v>
      </c>
      <c r="E429" t="s">
        <v>30</v>
      </c>
      <c r="F429" t="s">
        <v>31</v>
      </c>
      <c r="G429" t="s">
        <v>32</v>
      </c>
      <c r="H429">
        <v>85000</v>
      </c>
      <c r="I429">
        <v>8</v>
      </c>
      <c r="J429" t="s">
        <v>42</v>
      </c>
      <c r="K429">
        <f t="shared" si="6"/>
        <v>68000</v>
      </c>
    </row>
    <row r="430" spans="1:11">
      <c r="A430" t="s">
        <v>109</v>
      </c>
      <c r="B430" t="s">
        <v>35</v>
      </c>
      <c r="C430" t="s">
        <v>28</v>
      </c>
      <c r="D430" t="s">
        <v>29</v>
      </c>
      <c r="E430" t="s">
        <v>37</v>
      </c>
      <c r="F430" t="s">
        <v>56</v>
      </c>
      <c r="G430" t="s">
        <v>32</v>
      </c>
      <c r="H430">
        <v>320000</v>
      </c>
      <c r="I430">
        <v>5</v>
      </c>
      <c r="J430" t="s">
        <v>42</v>
      </c>
      <c r="K430">
        <f t="shared" si="6"/>
        <v>256000</v>
      </c>
    </row>
    <row r="431" spans="1:11">
      <c r="A431" t="s">
        <v>90</v>
      </c>
      <c r="B431" t="s">
        <v>49</v>
      </c>
      <c r="C431" t="s">
        <v>45</v>
      </c>
      <c r="D431" t="s">
        <v>41</v>
      </c>
      <c r="E431" t="s">
        <v>30</v>
      </c>
      <c r="F431" t="s">
        <v>62</v>
      </c>
      <c r="G431" t="s">
        <v>51</v>
      </c>
      <c r="H431">
        <v>150000</v>
      </c>
      <c r="I431">
        <v>3</v>
      </c>
      <c r="J431" t="s">
        <v>65</v>
      </c>
      <c r="K431">
        <f t="shared" si="6"/>
        <v>120000</v>
      </c>
    </row>
    <row r="432" spans="1:11">
      <c r="A432" t="s">
        <v>110</v>
      </c>
      <c r="B432" t="s">
        <v>49</v>
      </c>
      <c r="C432" t="s">
        <v>45</v>
      </c>
      <c r="D432" t="s">
        <v>29</v>
      </c>
      <c r="E432" t="s">
        <v>37</v>
      </c>
      <c r="F432" t="s">
        <v>62</v>
      </c>
      <c r="G432" t="s">
        <v>51</v>
      </c>
      <c r="H432">
        <v>150000</v>
      </c>
      <c r="I432">
        <v>1</v>
      </c>
      <c r="J432" t="s">
        <v>33</v>
      </c>
      <c r="K432">
        <f t="shared" si="6"/>
        <v>120000</v>
      </c>
    </row>
    <row r="433" spans="1:11">
      <c r="A433" t="s">
        <v>113</v>
      </c>
      <c r="B433" t="s">
        <v>44</v>
      </c>
      <c r="C433" t="s">
        <v>45</v>
      </c>
      <c r="D433" t="s">
        <v>41</v>
      </c>
      <c r="E433" t="s">
        <v>30</v>
      </c>
      <c r="F433" t="s">
        <v>46</v>
      </c>
      <c r="G433" t="s">
        <v>39</v>
      </c>
      <c r="H433">
        <v>60000</v>
      </c>
      <c r="I433">
        <v>7</v>
      </c>
      <c r="J433" t="s">
        <v>42</v>
      </c>
      <c r="K433">
        <f t="shared" si="6"/>
        <v>48000</v>
      </c>
    </row>
    <row r="434" spans="1:11">
      <c r="A434" t="s">
        <v>55</v>
      </c>
      <c r="B434" t="s">
        <v>27</v>
      </c>
      <c r="C434" t="s">
        <v>28</v>
      </c>
      <c r="D434" t="s">
        <v>29</v>
      </c>
      <c r="E434" t="s">
        <v>30</v>
      </c>
      <c r="F434" t="s">
        <v>54</v>
      </c>
      <c r="G434" t="s">
        <v>39</v>
      </c>
      <c r="H434">
        <v>180000</v>
      </c>
      <c r="I434">
        <v>1</v>
      </c>
      <c r="J434" t="s">
        <v>42</v>
      </c>
      <c r="K434">
        <f t="shared" si="6"/>
        <v>144000</v>
      </c>
    </row>
    <row r="435" spans="1:11">
      <c r="A435" t="s">
        <v>34</v>
      </c>
      <c r="B435" t="s">
        <v>44</v>
      </c>
      <c r="C435" t="s">
        <v>28</v>
      </c>
      <c r="D435" t="s">
        <v>41</v>
      </c>
      <c r="E435" t="s">
        <v>30</v>
      </c>
      <c r="F435" t="s">
        <v>54</v>
      </c>
      <c r="G435" t="s">
        <v>39</v>
      </c>
      <c r="H435">
        <v>180000</v>
      </c>
      <c r="I435">
        <v>1</v>
      </c>
      <c r="J435" t="s">
        <v>58</v>
      </c>
      <c r="K435">
        <f t="shared" si="6"/>
        <v>144000</v>
      </c>
    </row>
    <row r="436" spans="1:11">
      <c r="A436" t="s">
        <v>95</v>
      </c>
      <c r="B436" t="s">
        <v>44</v>
      </c>
      <c r="C436" t="s">
        <v>28</v>
      </c>
      <c r="D436" t="s">
        <v>29</v>
      </c>
      <c r="E436" t="s">
        <v>37</v>
      </c>
      <c r="F436" t="s">
        <v>71</v>
      </c>
      <c r="G436" t="s">
        <v>51</v>
      </c>
      <c r="H436">
        <v>250000</v>
      </c>
      <c r="I436">
        <v>9</v>
      </c>
      <c r="J436" t="s">
        <v>33</v>
      </c>
      <c r="K436">
        <f t="shared" si="6"/>
        <v>200000</v>
      </c>
    </row>
    <row r="437" spans="1:11">
      <c r="A437" t="s">
        <v>122</v>
      </c>
      <c r="B437" t="s">
        <v>27</v>
      </c>
      <c r="C437" t="s">
        <v>45</v>
      </c>
      <c r="D437" t="s">
        <v>41</v>
      </c>
      <c r="E437" t="s">
        <v>30</v>
      </c>
      <c r="F437" t="s">
        <v>56</v>
      </c>
      <c r="G437" t="s">
        <v>32</v>
      </c>
      <c r="H437">
        <v>320000</v>
      </c>
      <c r="I437">
        <v>1</v>
      </c>
      <c r="J437" t="s">
        <v>42</v>
      </c>
      <c r="K437">
        <f t="shared" si="6"/>
        <v>256000</v>
      </c>
    </row>
    <row r="438" spans="1:11">
      <c r="A438" t="s">
        <v>144</v>
      </c>
      <c r="B438" t="s">
        <v>44</v>
      </c>
      <c r="C438" t="s">
        <v>36</v>
      </c>
      <c r="D438" t="s">
        <v>29</v>
      </c>
      <c r="E438" t="s">
        <v>37</v>
      </c>
      <c r="F438" t="s">
        <v>54</v>
      </c>
      <c r="G438" t="s">
        <v>39</v>
      </c>
      <c r="H438">
        <v>180000</v>
      </c>
      <c r="I438">
        <v>10</v>
      </c>
      <c r="J438" t="s">
        <v>33</v>
      </c>
      <c r="K438">
        <f t="shared" si="6"/>
        <v>144000</v>
      </c>
    </row>
    <row r="439" spans="1:11">
      <c r="A439" t="s">
        <v>142</v>
      </c>
      <c r="B439" t="s">
        <v>35</v>
      </c>
      <c r="C439" t="s">
        <v>45</v>
      </c>
      <c r="D439" t="s">
        <v>29</v>
      </c>
      <c r="E439" t="s">
        <v>37</v>
      </c>
      <c r="F439" t="s">
        <v>50</v>
      </c>
      <c r="G439" t="s">
        <v>51</v>
      </c>
      <c r="H439">
        <v>300000</v>
      </c>
      <c r="I439">
        <v>10</v>
      </c>
      <c r="J439" t="s">
        <v>58</v>
      </c>
      <c r="K439">
        <f t="shared" si="6"/>
        <v>240000</v>
      </c>
    </row>
    <row r="440" spans="1:11">
      <c r="A440" t="s">
        <v>78</v>
      </c>
      <c r="B440" t="s">
        <v>44</v>
      </c>
      <c r="C440" t="s">
        <v>28</v>
      </c>
      <c r="D440" t="s">
        <v>29</v>
      </c>
      <c r="E440" t="s">
        <v>30</v>
      </c>
      <c r="F440" t="s">
        <v>67</v>
      </c>
      <c r="G440" t="s">
        <v>51</v>
      </c>
      <c r="H440">
        <v>420000</v>
      </c>
      <c r="I440">
        <v>4</v>
      </c>
      <c r="J440" t="s">
        <v>65</v>
      </c>
      <c r="K440">
        <f t="shared" si="6"/>
        <v>336000</v>
      </c>
    </row>
    <row r="441" spans="1:11">
      <c r="A441" t="s">
        <v>165</v>
      </c>
      <c r="B441" t="s">
        <v>27</v>
      </c>
      <c r="C441" t="s">
        <v>28</v>
      </c>
      <c r="D441" t="s">
        <v>41</v>
      </c>
      <c r="E441" t="s">
        <v>37</v>
      </c>
      <c r="F441" t="s">
        <v>38</v>
      </c>
      <c r="G441" t="s">
        <v>39</v>
      </c>
      <c r="H441">
        <v>30000</v>
      </c>
      <c r="I441">
        <v>4</v>
      </c>
      <c r="J441" t="s">
        <v>47</v>
      </c>
      <c r="K441">
        <f t="shared" si="6"/>
        <v>24000</v>
      </c>
    </row>
    <row r="442" spans="1:11">
      <c r="A442" t="s">
        <v>164</v>
      </c>
      <c r="B442" t="s">
        <v>49</v>
      </c>
      <c r="C442" t="s">
        <v>45</v>
      </c>
      <c r="D442" t="s">
        <v>29</v>
      </c>
      <c r="E442" t="s">
        <v>30</v>
      </c>
      <c r="F442" t="s">
        <v>38</v>
      </c>
      <c r="G442" t="s">
        <v>39</v>
      </c>
      <c r="H442">
        <v>30000</v>
      </c>
      <c r="I442">
        <v>10</v>
      </c>
      <c r="J442" t="s">
        <v>58</v>
      </c>
      <c r="K442">
        <f t="shared" si="6"/>
        <v>24000</v>
      </c>
    </row>
    <row r="443" spans="1:11">
      <c r="A443" t="s">
        <v>162</v>
      </c>
      <c r="B443" t="s">
        <v>44</v>
      </c>
      <c r="C443" t="s">
        <v>28</v>
      </c>
      <c r="D443" t="s">
        <v>41</v>
      </c>
      <c r="E443" t="s">
        <v>37</v>
      </c>
      <c r="F443" t="s">
        <v>46</v>
      </c>
      <c r="G443" t="s">
        <v>39</v>
      </c>
      <c r="H443">
        <v>60000</v>
      </c>
      <c r="I443">
        <v>7</v>
      </c>
      <c r="J443" t="s">
        <v>33</v>
      </c>
      <c r="K443">
        <f t="shared" si="6"/>
        <v>48000</v>
      </c>
    </row>
    <row r="444" spans="1:11">
      <c r="A444" t="s">
        <v>102</v>
      </c>
      <c r="B444" t="s">
        <v>49</v>
      </c>
      <c r="C444" t="s">
        <v>28</v>
      </c>
      <c r="D444" t="s">
        <v>41</v>
      </c>
      <c r="E444" t="s">
        <v>37</v>
      </c>
      <c r="F444" t="s">
        <v>54</v>
      </c>
      <c r="G444" t="s">
        <v>39</v>
      </c>
      <c r="H444">
        <v>180000</v>
      </c>
      <c r="I444">
        <v>4</v>
      </c>
      <c r="J444" t="s">
        <v>69</v>
      </c>
      <c r="K444">
        <f t="shared" si="6"/>
        <v>144000</v>
      </c>
    </row>
    <row r="445" spans="1:11">
      <c r="A445" t="s">
        <v>159</v>
      </c>
      <c r="B445" t="s">
        <v>27</v>
      </c>
      <c r="C445" t="s">
        <v>53</v>
      </c>
      <c r="D445" t="s">
        <v>29</v>
      </c>
      <c r="E445" t="s">
        <v>37</v>
      </c>
      <c r="F445" t="s">
        <v>38</v>
      </c>
      <c r="G445" t="s">
        <v>39</v>
      </c>
      <c r="H445">
        <v>30000</v>
      </c>
      <c r="I445">
        <v>7</v>
      </c>
      <c r="J445" t="s">
        <v>58</v>
      </c>
      <c r="K445">
        <f t="shared" si="6"/>
        <v>24000</v>
      </c>
    </row>
    <row r="446" spans="1:11">
      <c r="A446" t="s">
        <v>103</v>
      </c>
      <c r="B446" t="s">
        <v>44</v>
      </c>
      <c r="C446" t="s">
        <v>36</v>
      </c>
      <c r="D446" t="s">
        <v>41</v>
      </c>
      <c r="E446" t="s">
        <v>37</v>
      </c>
      <c r="F446" t="s">
        <v>67</v>
      </c>
      <c r="G446" t="s">
        <v>51</v>
      </c>
      <c r="H446">
        <v>420000</v>
      </c>
      <c r="I446">
        <v>10</v>
      </c>
      <c r="J446" t="s">
        <v>33</v>
      </c>
      <c r="K446">
        <f t="shared" si="6"/>
        <v>336000</v>
      </c>
    </row>
    <row r="447" spans="1:11">
      <c r="A447" t="s">
        <v>148</v>
      </c>
      <c r="B447" t="s">
        <v>35</v>
      </c>
      <c r="C447" t="s">
        <v>28</v>
      </c>
      <c r="D447" t="s">
        <v>41</v>
      </c>
      <c r="E447" t="s">
        <v>30</v>
      </c>
      <c r="F447" t="s">
        <v>67</v>
      </c>
      <c r="G447" t="s">
        <v>51</v>
      </c>
      <c r="H447">
        <v>420000</v>
      </c>
      <c r="I447">
        <v>7</v>
      </c>
      <c r="J447" t="s">
        <v>58</v>
      </c>
      <c r="K447">
        <f t="shared" si="6"/>
        <v>336000</v>
      </c>
    </row>
    <row r="448" spans="1:11">
      <c r="A448" t="s">
        <v>48</v>
      </c>
      <c r="B448" t="s">
        <v>44</v>
      </c>
      <c r="C448" t="s">
        <v>45</v>
      </c>
      <c r="D448" t="s">
        <v>29</v>
      </c>
      <c r="E448" t="s">
        <v>37</v>
      </c>
      <c r="F448" t="s">
        <v>71</v>
      </c>
      <c r="G448" t="s">
        <v>51</v>
      </c>
      <c r="H448">
        <v>250000</v>
      </c>
      <c r="I448">
        <v>5</v>
      </c>
      <c r="J448" t="s">
        <v>42</v>
      </c>
      <c r="K448">
        <f t="shared" si="6"/>
        <v>200000</v>
      </c>
    </row>
    <row r="449" spans="1:11">
      <c r="A449" t="s">
        <v>150</v>
      </c>
      <c r="B449" t="s">
        <v>27</v>
      </c>
      <c r="C449" t="s">
        <v>53</v>
      </c>
      <c r="D449" t="s">
        <v>41</v>
      </c>
      <c r="E449" t="s">
        <v>30</v>
      </c>
      <c r="F449" t="s">
        <v>67</v>
      </c>
      <c r="G449" t="s">
        <v>51</v>
      </c>
      <c r="H449">
        <v>420000</v>
      </c>
      <c r="I449">
        <v>5</v>
      </c>
      <c r="J449" t="s">
        <v>47</v>
      </c>
      <c r="K449">
        <f t="shared" si="6"/>
        <v>336000</v>
      </c>
    </row>
    <row r="450" spans="1:11">
      <c r="A450" t="s">
        <v>114</v>
      </c>
      <c r="B450" t="s">
        <v>35</v>
      </c>
      <c r="C450" t="s">
        <v>45</v>
      </c>
      <c r="D450" t="s">
        <v>41</v>
      </c>
      <c r="E450" t="s">
        <v>37</v>
      </c>
      <c r="F450" t="s">
        <v>56</v>
      </c>
      <c r="G450" t="s">
        <v>32</v>
      </c>
      <c r="H450">
        <v>320000</v>
      </c>
      <c r="I450">
        <v>2</v>
      </c>
      <c r="J450" t="s">
        <v>47</v>
      </c>
      <c r="K450">
        <f t="shared" ref="K450:K513" si="7">H450-H450*0.2</f>
        <v>256000</v>
      </c>
    </row>
    <row r="451" spans="1:11">
      <c r="A451" t="s">
        <v>78</v>
      </c>
      <c r="B451" t="s">
        <v>49</v>
      </c>
      <c r="C451" t="s">
        <v>28</v>
      </c>
      <c r="D451" t="s">
        <v>29</v>
      </c>
      <c r="E451" t="s">
        <v>37</v>
      </c>
      <c r="F451" t="s">
        <v>50</v>
      </c>
      <c r="G451" t="s">
        <v>51</v>
      </c>
      <c r="H451">
        <v>300000</v>
      </c>
      <c r="I451">
        <v>10</v>
      </c>
      <c r="J451" t="s">
        <v>65</v>
      </c>
      <c r="K451">
        <f t="shared" si="7"/>
        <v>240000</v>
      </c>
    </row>
    <row r="452" spans="1:11">
      <c r="A452" t="s">
        <v>115</v>
      </c>
      <c r="B452" t="s">
        <v>35</v>
      </c>
      <c r="C452" t="s">
        <v>28</v>
      </c>
      <c r="D452" t="s">
        <v>29</v>
      </c>
      <c r="E452" t="s">
        <v>30</v>
      </c>
      <c r="F452" t="s">
        <v>71</v>
      </c>
      <c r="G452" t="s">
        <v>51</v>
      </c>
      <c r="H452">
        <v>250000</v>
      </c>
      <c r="I452">
        <v>5</v>
      </c>
      <c r="J452" t="s">
        <v>65</v>
      </c>
      <c r="K452">
        <f t="shared" si="7"/>
        <v>200000</v>
      </c>
    </row>
    <row r="453" spans="1:11">
      <c r="A453" t="s">
        <v>162</v>
      </c>
      <c r="B453" t="s">
        <v>44</v>
      </c>
      <c r="C453" t="s">
        <v>45</v>
      </c>
      <c r="D453" t="s">
        <v>41</v>
      </c>
      <c r="E453" t="s">
        <v>37</v>
      </c>
      <c r="F453" t="s">
        <v>71</v>
      </c>
      <c r="G453" t="s">
        <v>51</v>
      </c>
      <c r="H453">
        <v>250000</v>
      </c>
      <c r="I453">
        <v>2</v>
      </c>
      <c r="J453" t="s">
        <v>42</v>
      </c>
      <c r="K453">
        <f t="shared" si="7"/>
        <v>200000</v>
      </c>
    </row>
    <row r="454" spans="1:11">
      <c r="A454" t="s">
        <v>127</v>
      </c>
      <c r="B454" t="s">
        <v>49</v>
      </c>
      <c r="C454" t="s">
        <v>36</v>
      </c>
      <c r="D454" t="s">
        <v>29</v>
      </c>
      <c r="E454" t="s">
        <v>37</v>
      </c>
      <c r="F454" t="s">
        <v>54</v>
      </c>
      <c r="G454" t="s">
        <v>39</v>
      </c>
      <c r="H454">
        <v>180000</v>
      </c>
      <c r="I454">
        <v>1</v>
      </c>
      <c r="J454" t="s">
        <v>33</v>
      </c>
      <c r="K454">
        <f t="shared" si="7"/>
        <v>144000</v>
      </c>
    </row>
    <row r="455" spans="1:11">
      <c r="A455" t="s">
        <v>81</v>
      </c>
      <c r="B455" t="s">
        <v>35</v>
      </c>
      <c r="C455" t="s">
        <v>36</v>
      </c>
      <c r="D455" t="s">
        <v>29</v>
      </c>
      <c r="E455" t="s">
        <v>37</v>
      </c>
      <c r="F455" t="s">
        <v>56</v>
      </c>
      <c r="G455" t="s">
        <v>32</v>
      </c>
      <c r="H455">
        <v>320000</v>
      </c>
      <c r="I455">
        <v>10</v>
      </c>
      <c r="J455" t="s">
        <v>58</v>
      </c>
      <c r="K455">
        <f t="shared" si="7"/>
        <v>256000</v>
      </c>
    </row>
    <row r="456" spans="1:11">
      <c r="A456" t="s">
        <v>125</v>
      </c>
      <c r="B456" t="s">
        <v>44</v>
      </c>
      <c r="C456" t="s">
        <v>45</v>
      </c>
      <c r="D456" t="s">
        <v>41</v>
      </c>
      <c r="E456" t="s">
        <v>37</v>
      </c>
      <c r="F456" t="s">
        <v>62</v>
      </c>
      <c r="G456" t="s">
        <v>51</v>
      </c>
      <c r="H456">
        <v>150000</v>
      </c>
      <c r="I456">
        <v>2</v>
      </c>
      <c r="J456" t="s">
        <v>33</v>
      </c>
      <c r="K456">
        <f t="shared" si="7"/>
        <v>120000</v>
      </c>
    </row>
    <row r="457" spans="1:11">
      <c r="A457" t="s">
        <v>87</v>
      </c>
      <c r="B457" t="s">
        <v>35</v>
      </c>
      <c r="C457" t="s">
        <v>36</v>
      </c>
      <c r="D457" t="s">
        <v>29</v>
      </c>
      <c r="E457" t="s">
        <v>37</v>
      </c>
      <c r="F457" t="s">
        <v>54</v>
      </c>
      <c r="G457" t="s">
        <v>39</v>
      </c>
      <c r="H457">
        <v>180000</v>
      </c>
      <c r="I457">
        <v>10</v>
      </c>
      <c r="J457" t="s">
        <v>47</v>
      </c>
      <c r="K457">
        <f t="shared" si="7"/>
        <v>144000</v>
      </c>
    </row>
    <row r="458" spans="1:11">
      <c r="A458" t="s">
        <v>116</v>
      </c>
      <c r="B458" t="s">
        <v>27</v>
      </c>
      <c r="C458" t="s">
        <v>36</v>
      </c>
      <c r="D458" t="s">
        <v>29</v>
      </c>
      <c r="E458" t="s">
        <v>30</v>
      </c>
      <c r="F458" t="s">
        <v>62</v>
      </c>
      <c r="G458" t="s">
        <v>51</v>
      </c>
      <c r="H458">
        <v>150000</v>
      </c>
      <c r="I458">
        <v>2</v>
      </c>
      <c r="J458" t="s">
        <v>47</v>
      </c>
      <c r="K458">
        <f t="shared" si="7"/>
        <v>120000</v>
      </c>
    </row>
    <row r="459" spans="1:11">
      <c r="A459" t="s">
        <v>116</v>
      </c>
      <c r="B459" t="s">
        <v>44</v>
      </c>
      <c r="C459" t="s">
        <v>45</v>
      </c>
      <c r="D459" t="s">
        <v>41</v>
      </c>
      <c r="E459" t="s">
        <v>37</v>
      </c>
      <c r="F459" t="s">
        <v>46</v>
      </c>
      <c r="G459" t="s">
        <v>39</v>
      </c>
      <c r="H459">
        <v>60000</v>
      </c>
      <c r="I459">
        <v>10</v>
      </c>
      <c r="J459" t="s">
        <v>47</v>
      </c>
      <c r="K459">
        <f t="shared" si="7"/>
        <v>48000</v>
      </c>
    </row>
    <row r="460" spans="1:11">
      <c r="A460" t="s">
        <v>129</v>
      </c>
      <c r="B460" t="s">
        <v>27</v>
      </c>
      <c r="C460" t="s">
        <v>53</v>
      </c>
      <c r="D460" t="s">
        <v>41</v>
      </c>
      <c r="E460" t="s">
        <v>30</v>
      </c>
      <c r="F460" t="s">
        <v>73</v>
      </c>
      <c r="G460" t="s">
        <v>39</v>
      </c>
      <c r="H460">
        <v>220000</v>
      </c>
      <c r="I460">
        <v>4</v>
      </c>
      <c r="J460" t="s">
        <v>58</v>
      </c>
      <c r="K460">
        <f t="shared" si="7"/>
        <v>176000</v>
      </c>
    </row>
    <row r="461" spans="1:11">
      <c r="A461" t="s">
        <v>48</v>
      </c>
      <c r="B461" t="s">
        <v>44</v>
      </c>
      <c r="C461" t="s">
        <v>36</v>
      </c>
      <c r="D461" t="s">
        <v>29</v>
      </c>
      <c r="E461" t="s">
        <v>30</v>
      </c>
      <c r="F461" t="s">
        <v>46</v>
      </c>
      <c r="G461" t="s">
        <v>39</v>
      </c>
      <c r="H461">
        <v>60000</v>
      </c>
      <c r="I461">
        <v>5</v>
      </c>
      <c r="J461" t="s">
        <v>58</v>
      </c>
      <c r="K461">
        <f t="shared" si="7"/>
        <v>48000</v>
      </c>
    </row>
    <row r="462" spans="1:11">
      <c r="A462" t="s">
        <v>125</v>
      </c>
      <c r="B462" t="s">
        <v>44</v>
      </c>
      <c r="C462" t="s">
        <v>53</v>
      </c>
      <c r="D462" t="s">
        <v>41</v>
      </c>
      <c r="E462" t="s">
        <v>30</v>
      </c>
      <c r="F462" t="s">
        <v>71</v>
      </c>
      <c r="G462" t="s">
        <v>51</v>
      </c>
      <c r="H462">
        <v>250000</v>
      </c>
      <c r="I462">
        <v>3</v>
      </c>
      <c r="J462" t="s">
        <v>42</v>
      </c>
      <c r="K462">
        <f t="shared" si="7"/>
        <v>200000</v>
      </c>
    </row>
    <row r="463" spans="1:11">
      <c r="A463" t="s">
        <v>126</v>
      </c>
      <c r="B463" t="s">
        <v>44</v>
      </c>
      <c r="C463" t="s">
        <v>36</v>
      </c>
      <c r="D463" t="s">
        <v>41</v>
      </c>
      <c r="E463" t="s">
        <v>37</v>
      </c>
      <c r="F463" t="s">
        <v>62</v>
      </c>
      <c r="G463" t="s">
        <v>51</v>
      </c>
      <c r="H463">
        <v>150000</v>
      </c>
      <c r="I463">
        <v>1</v>
      </c>
      <c r="J463" t="s">
        <v>65</v>
      </c>
      <c r="K463">
        <f t="shared" si="7"/>
        <v>120000</v>
      </c>
    </row>
    <row r="464" spans="1:11">
      <c r="A464" t="s">
        <v>124</v>
      </c>
      <c r="B464" t="s">
        <v>49</v>
      </c>
      <c r="C464" t="s">
        <v>53</v>
      </c>
      <c r="D464" t="s">
        <v>41</v>
      </c>
      <c r="E464" t="s">
        <v>37</v>
      </c>
      <c r="F464" t="s">
        <v>73</v>
      </c>
      <c r="G464" t="s">
        <v>39</v>
      </c>
      <c r="H464">
        <v>220000</v>
      </c>
      <c r="I464">
        <v>1</v>
      </c>
      <c r="J464" t="s">
        <v>42</v>
      </c>
      <c r="K464">
        <f t="shared" si="7"/>
        <v>176000</v>
      </c>
    </row>
    <row r="465" spans="1:11">
      <c r="A465" t="s">
        <v>160</v>
      </c>
      <c r="B465" t="s">
        <v>35</v>
      </c>
      <c r="C465" t="s">
        <v>45</v>
      </c>
      <c r="D465" t="s">
        <v>29</v>
      </c>
      <c r="E465" t="s">
        <v>37</v>
      </c>
      <c r="F465" t="s">
        <v>71</v>
      </c>
      <c r="G465" t="s">
        <v>51</v>
      </c>
      <c r="H465">
        <v>250000</v>
      </c>
      <c r="I465">
        <v>6</v>
      </c>
      <c r="J465" t="s">
        <v>65</v>
      </c>
      <c r="K465">
        <f t="shared" si="7"/>
        <v>200000</v>
      </c>
    </row>
    <row r="466" spans="1:11">
      <c r="A466" t="s">
        <v>102</v>
      </c>
      <c r="B466" t="s">
        <v>27</v>
      </c>
      <c r="C466" t="s">
        <v>53</v>
      </c>
      <c r="D466" t="s">
        <v>29</v>
      </c>
      <c r="E466" t="s">
        <v>37</v>
      </c>
      <c r="F466" t="s">
        <v>73</v>
      </c>
      <c r="G466" t="s">
        <v>39</v>
      </c>
      <c r="H466">
        <v>220000</v>
      </c>
      <c r="I466">
        <v>10</v>
      </c>
      <c r="J466" t="s">
        <v>58</v>
      </c>
      <c r="K466">
        <f t="shared" si="7"/>
        <v>176000</v>
      </c>
    </row>
    <row r="467" spans="1:11">
      <c r="A467" t="s">
        <v>64</v>
      </c>
      <c r="B467" t="s">
        <v>35</v>
      </c>
      <c r="C467" t="s">
        <v>28</v>
      </c>
      <c r="D467" t="s">
        <v>29</v>
      </c>
      <c r="E467" t="s">
        <v>37</v>
      </c>
      <c r="F467" t="s">
        <v>54</v>
      </c>
      <c r="G467" t="s">
        <v>39</v>
      </c>
      <c r="H467">
        <v>180000</v>
      </c>
      <c r="I467">
        <v>10</v>
      </c>
      <c r="J467" t="s">
        <v>42</v>
      </c>
      <c r="K467">
        <f t="shared" si="7"/>
        <v>144000</v>
      </c>
    </row>
    <row r="468" spans="1:11">
      <c r="A468" t="s">
        <v>171</v>
      </c>
      <c r="B468" t="s">
        <v>27</v>
      </c>
      <c r="C468" t="s">
        <v>28</v>
      </c>
      <c r="D468" t="s">
        <v>41</v>
      </c>
      <c r="E468" t="s">
        <v>30</v>
      </c>
      <c r="F468" t="s">
        <v>46</v>
      </c>
      <c r="G468" t="s">
        <v>39</v>
      </c>
      <c r="H468">
        <v>60000</v>
      </c>
      <c r="I468">
        <v>6</v>
      </c>
      <c r="J468" t="s">
        <v>69</v>
      </c>
      <c r="K468">
        <f t="shared" si="7"/>
        <v>48000</v>
      </c>
    </row>
    <row r="469" spans="1:11">
      <c r="A469" t="s">
        <v>165</v>
      </c>
      <c r="B469" t="s">
        <v>49</v>
      </c>
      <c r="C469" t="s">
        <v>45</v>
      </c>
      <c r="D469" t="s">
        <v>29</v>
      </c>
      <c r="E469" t="s">
        <v>37</v>
      </c>
      <c r="F469" t="s">
        <v>73</v>
      </c>
      <c r="G469" t="s">
        <v>39</v>
      </c>
      <c r="H469">
        <v>220000</v>
      </c>
      <c r="I469">
        <v>4</v>
      </c>
      <c r="J469" t="s">
        <v>42</v>
      </c>
      <c r="K469">
        <f t="shared" si="7"/>
        <v>176000</v>
      </c>
    </row>
    <row r="470" spans="1:11">
      <c r="A470" t="s">
        <v>86</v>
      </c>
      <c r="B470" t="s">
        <v>44</v>
      </c>
      <c r="C470" t="s">
        <v>53</v>
      </c>
      <c r="D470" t="s">
        <v>41</v>
      </c>
      <c r="E470" t="s">
        <v>30</v>
      </c>
      <c r="F470" t="s">
        <v>62</v>
      </c>
      <c r="G470" t="s">
        <v>51</v>
      </c>
      <c r="H470">
        <v>150000</v>
      </c>
      <c r="I470">
        <v>1</v>
      </c>
      <c r="J470" t="s">
        <v>42</v>
      </c>
      <c r="K470">
        <f t="shared" si="7"/>
        <v>120000</v>
      </c>
    </row>
    <row r="471" spans="1:11">
      <c r="A471" t="s">
        <v>88</v>
      </c>
      <c r="B471" t="s">
        <v>44</v>
      </c>
      <c r="C471" t="s">
        <v>45</v>
      </c>
      <c r="D471" t="s">
        <v>29</v>
      </c>
      <c r="E471" t="s">
        <v>37</v>
      </c>
      <c r="F471" t="s">
        <v>54</v>
      </c>
      <c r="G471" t="s">
        <v>39</v>
      </c>
      <c r="H471">
        <v>180000</v>
      </c>
      <c r="I471">
        <v>1</v>
      </c>
      <c r="J471" t="s">
        <v>47</v>
      </c>
      <c r="K471">
        <f t="shared" si="7"/>
        <v>144000</v>
      </c>
    </row>
    <row r="472" spans="1:11">
      <c r="A472" t="s">
        <v>70</v>
      </c>
      <c r="B472" t="s">
        <v>35</v>
      </c>
      <c r="C472" t="s">
        <v>53</v>
      </c>
      <c r="D472" t="s">
        <v>41</v>
      </c>
      <c r="E472" t="s">
        <v>37</v>
      </c>
      <c r="F472" t="s">
        <v>73</v>
      </c>
      <c r="G472" t="s">
        <v>39</v>
      </c>
      <c r="H472">
        <v>220000</v>
      </c>
      <c r="I472">
        <v>8</v>
      </c>
      <c r="J472" t="s">
        <v>47</v>
      </c>
      <c r="K472">
        <f t="shared" si="7"/>
        <v>176000</v>
      </c>
    </row>
    <row r="473" spans="1:11">
      <c r="A473" t="s">
        <v>97</v>
      </c>
      <c r="B473" t="s">
        <v>27</v>
      </c>
      <c r="C473" t="s">
        <v>36</v>
      </c>
      <c r="D473" t="s">
        <v>29</v>
      </c>
      <c r="E473" t="s">
        <v>37</v>
      </c>
      <c r="F473" t="s">
        <v>71</v>
      </c>
      <c r="G473" t="s">
        <v>51</v>
      </c>
      <c r="H473">
        <v>250000</v>
      </c>
      <c r="I473">
        <v>3</v>
      </c>
      <c r="J473" t="s">
        <v>42</v>
      </c>
      <c r="K473">
        <f t="shared" si="7"/>
        <v>200000</v>
      </c>
    </row>
    <row r="474" spans="1:11">
      <c r="A474" t="s">
        <v>103</v>
      </c>
      <c r="B474" t="s">
        <v>49</v>
      </c>
      <c r="C474" t="s">
        <v>36</v>
      </c>
      <c r="D474" t="s">
        <v>41</v>
      </c>
      <c r="E474" t="s">
        <v>37</v>
      </c>
      <c r="F474" t="s">
        <v>46</v>
      </c>
      <c r="G474" t="s">
        <v>39</v>
      </c>
      <c r="H474">
        <v>60000</v>
      </c>
      <c r="I474">
        <v>1</v>
      </c>
      <c r="J474" t="s">
        <v>58</v>
      </c>
      <c r="K474">
        <f t="shared" si="7"/>
        <v>48000</v>
      </c>
    </row>
    <row r="475" spans="1:11">
      <c r="A475" t="s">
        <v>114</v>
      </c>
      <c r="B475" t="s">
        <v>35</v>
      </c>
      <c r="C475" t="s">
        <v>53</v>
      </c>
      <c r="D475" t="s">
        <v>29</v>
      </c>
      <c r="E475" t="s">
        <v>37</v>
      </c>
      <c r="F475" t="s">
        <v>56</v>
      </c>
      <c r="G475" t="s">
        <v>32</v>
      </c>
      <c r="H475">
        <v>320000</v>
      </c>
      <c r="I475">
        <v>4</v>
      </c>
      <c r="J475" t="s">
        <v>33</v>
      </c>
      <c r="K475">
        <f t="shared" si="7"/>
        <v>256000</v>
      </c>
    </row>
    <row r="476" spans="1:11">
      <c r="A476" t="s">
        <v>66</v>
      </c>
      <c r="B476" t="s">
        <v>44</v>
      </c>
      <c r="C476" t="s">
        <v>45</v>
      </c>
      <c r="D476" t="s">
        <v>41</v>
      </c>
      <c r="E476" t="s">
        <v>37</v>
      </c>
      <c r="F476" t="s">
        <v>67</v>
      </c>
      <c r="G476" t="s">
        <v>51</v>
      </c>
      <c r="H476">
        <v>420000</v>
      </c>
      <c r="I476">
        <v>8</v>
      </c>
      <c r="J476" t="s">
        <v>42</v>
      </c>
      <c r="K476">
        <f t="shared" si="7"/>
        <v>336000</v>
      </c>
    </row>
    <row r="477" spans="1:11">
      <c r="A477" t="s">
        <v>91</v>
      </c>
      <c r="B477" t="s">
        <v>44</v>
      </c>
      <c r="C477" t="s">
        <v>36</v>
      </c>
      <c r="D477" t="s">
        <v>41</v>
      </c>
      <c r="E477" t="s">
        <v>37</v>
      </c>
      <c r="F477" t="s">
        <v>67</v>
      </c>
      <c r="G477" t="s">
        <v>51</v>
      </c>
      <c r="H477">
        <v>420000</v>
      </c>
      <c r="I477">
        <v>8</v>
      </c>
      <c r="J477" t="s">
        <v>58</v>
      </c>
      <c r="K477">
        <f t="shared" si="7"/>
        <v>336000</v>
      </c>
    </row>
    <row r="478" spans="1:11">
      <c r="A478" t="s">
        <v>166</v>
      </c>
      <c r="B478" t="s">
        <v>49</v>
      </c>
      <c r="C478" t="s">
        <v>36</v>
      </c>
      <c r="D478" t="s">
        <v>29</v>
      </c>
      <c r="E478" t="s">
        <v>37</v>
      </c>
      <c r="F478" t="s">
        <v>46</v>
      </c>
      <c r="G478" t="s">
        <v>39</v>
      </c>
      <c r="H478">
        <v>60000</v>
      </c>
      <c r="I478">
        <v>1</v>
      </c>
      <c r="J478" t="s">
        <v>69</v>
      </c>
      <c r="K478">
        <f t="shared" si="7"/>
        <v>48000</v>
      </c>
    </row>
    <row r="479" spans="1:11">
      <c r="A479" t="s">
        <v>118</v>
      </c>
      <c r="B479" t="s">
        <v>35</v>
      </c>
      <c r="C479" t="s">
        <v>28</v>
      </c>
      <c r="D479" t="s">
        <v>41</v>
      </c>
      <c r="E479" t="s">
        <v>37</v>
      </c>
      <c r="F479" t="s">
        <v>54</v>
      </c>
      <c r="G479" t="s">
        <v>39</v>
      </c>
      <c r="H479">
        <v>180000</v>
      </c>
      <c r="I479">
        <v>8</v>
      </c>
      <c r="J479" t="s">
        <v>42</v>
      </c>
      <c r="K479">
        <f t="shared" si="7"/>
        <v>144000</v>
      </c>
    </row>
    <row r="480" spans="1:11">
      <c r="A480" t="s">
        <v>101</v>
      </c>
      <c r="B480" t="s">
        <v>27</v>
      </c>
      <c r="C480" t="s">
        <v>36</v>
      </c>
      <c r="D480" t="s">
        <v>41</v>
      </c>
      <c r="E480" t="s">
        <v>37</v>
      </c>
      <c r="F480" t="s">
        <v>54</v>
      </c>
      <c r="G480" t="s">
        <v>39</v>
      </c>
      <c r="H480">
        <v>180000</v>
      </c>
      <c r="I480">
        <v>2</v>
      </c>
      <c r="J480" t="s">
        <v>42</v>
      </c>
      <c r="K480">
        <f t="shared" si="7"/>
        <v>144000</v>
      </c>
    </row>
    <row r="481" spans="1:11">
      <c r="A481" t="s">
        <v>165</v>
      </c>
      <c r="B481" t="s">
        <v>44</v>
      </c>
      <c r="C481" t="s">
        <v>36</v>
      </c>
      <c r="D481" t="s">
        <v>41</v>
      </c>
      <c r="E481" t="s">
        <v>30</v>
      </c>
      <c r="F481" t="s">
        <v>50</v>
      </c>
      <c r="G481" t="s">
        <v>51</v>
      </c>
      <c r="H481">
        <v>300000</v>
      </c>
      <c r="I481">
        <v>7</v>
      </c>
      <c r="J481" t="s">
        <v>58</v>
      </c>
      <c r="K481">
        <f t="shared" si="7"/>
        <v>240000</v>
      </c>
    </row>
    <row r="482" spans="1:11">
      <c r="A482" t="s">
        <v>145</v>
      </c>
      <c r="B482" t="s">
        <v>27</v>
      </c>
      <c r="C482" t="s">
        <v>45</v>
      </c>
      <c r="D482" t="s">
        <v>29</v>
      </c>
      <c r="E482" t="s">
        <v>30</v>
      </c>
      <c r="F482" t="s">
        <v>71</v>
      </c>
      <c r="G482" t="s">
        <v>51</v>
      </c>
      <c r="H482">
        <v>250000</v>
      </c>
      <c r="I482">
        <v>6</v>
      </c>
      <c r="J482" t="s">
        <v>58</v>
      </c>
      <c r="K482">
        <f t="shared" si="7"/>
        <v>200000</v>
      </c>
    </row>
    <row r="483" spans="1:11">
      <c r="A483" t="s">
        <v>108</v>
      </c>
      <c r="B483" t="s">
        <v>49</v>
      </c>
      <c r="C483" t="s">
        <v>45</v>
      </c>
      <c r="D483" t="s">
        <v>29</v>
      </c>
      <c r="E483" t="s">
        <v>37</v>
      </c>
      <c r="F483" t="s">
        <v>62</v>
      </c>
      <c r="G483" t="s">
        <v>51</v>
      </c>
      <c r="H483">
        <v>150000</v>
      </c>
      <c r="I483">
        <v>5</v>
      </c>
      <c r="J483" t="s">
        <v>42</v>
      </c>
      <c r="K483">
        <f t="shared" si="7"/>
        <v>120000</v>
      </c>
    </row>
    <row r="484" spans="1:11">
      <c r="A484" t="s">
        <v>55</v>
      </c>
      <c r="B484" t="s">
        <v>27</v>
      </c>
      <c r="C484" t="s">
        <v>53</v>
      </c>
      <c r="D484" t="s">
        <v>29</v>
      </c>
      <c r="E484" t="s">
        <v>30</v>
      </c>
      <c r="F484" t="s">
        <v>31</v>
      </c>
      <c r="G484" t="s">
        <v>32</v>
      </c>
      <c r="H484">
        <v>85000</v>
      </c>
      <c r="I484">
        <v>10</v>
      </c>
      <c r="J484" t="s">
        <v>42</v>
      </c>
      <c r="K484">
        <f t="shared" si="7"/>
        <v>68000</v>
      </c>
    </row>
    <row r="485" spans="1:11">
      <c r="A485" t="s">
        <v>117</v>
      </c>
      <c r="B485" t="s">
        <v>49</v>
      </c>
      <c r="C485" t="s">
        <v>53</v>
      </c>
      <c r="D485" t="s">
        <v>29</v>
      </c>
      <c r="E485" t="s">
        <v>30</v>
      </c>
      <c r="F485" t="s">
        <v>31</v>
      </c>
      <c r="G485" t="s">
        <v>32</v>
      </c>
      <c r="H485">
        <v>85000</v>
      </c>
      <c r="I485">
        <v>8</v>
      </c>
      <c r="J485" t="s">
        <v>58</v>
      </c>
      <c r="K485">
        <f t="shared" si="7"/>
        <v>68000</v>
      </c>
    </row>
    <row r="486" spans="1:11">
      <c r="A486" t="s">
        <v>76</v>
      </c>
      <c r="B486" t="s">
        <v>44</v>
      </c>
      <c r="C486" t="s">
        <v>28</v>
      </c>
      <c r="D486" t="s">
        <v>29</v>
      </c>
      <c r="E486" t="s">
        <v>30</v>
      </c>
      <c r="F486" t="s">
        <v>31</v>
      </c>
      <c r="G486" t="s">
        <v>32</v>
      </c>
      <c r="H486">
        <v>85000</v>
      </c>
      <c r="I486">
        <v>2</v>
      </c>
      <c r="J486" t="s">
        <v>47</v>
      </c>
      <c r="K486">
        <f t="shared" si="7"/>
        <v>68000</v>
      </c>
    </row>
    <row r="487" spans="1:11">
      <c r="A487" t="s">
        <v>103</v>
      </c>
      <c r="B487" t="s">
        <v>27</v>
      </c>
      <c r="C487" t="s">
        <v>53</v>
      </c>
      <c r="D487" t="s">
        <v>29</v>
      </c>
      <c r="E487" t="s">
        <v>30</v>
      </c>
      <c r="F487" t="s">
        <v>71</v>
      </c>
      <c r="G487" t="s">
        <v>51</v>
      </c>
      <c r="H487">
        <v>250000</v>
      </c>
      <c r="I487">
        <v>4</v>
      </c>
      <c r="J487" t="s">
        <v>33</v>
      </c>
      <c r="K487">
        <f t="shared" si="7"/>
        <v>200000</v>
      </c>
    </row>
    <row r="488" spans="1:11">
      <c r="A488" t="s">
        <v>64</v>
      </c>
      <c r="B488" t="s">
        <v>44</v>
      </c>
      <c r="C488" t="s">
        <v>28</v>
      </c>
      <c r="D488" t="s">
        <v>29</v>
      </c>
      <c r="E488" t="s">
        <v>30</v>
      </c>
      <c r="F488" t="s">
        <v>62</v>
      </c>
      <c r="G488" t="s">
        <v>51</v>
      </c>
      <c r="H488">
        <v>150000</v>
      </c>
      <c r="I488">
        <v>6</v>
      </c>
      <c r="J488" t="s">
        <v>69</v>
      </c>
      <c r="K488">
        <f t="shared" si="7"/>
        <v>120000</v>
      </c>
    </row>
    <row r="489" spans="1:11">
      <c r="A489" t="s">
        <v>40</v>
      </c>
      <c r="B489" t="s">
        <v>44</v>
      </c>
      <c r="C489" t="s">
        <v>53</v>
      </c>
      <c r="D489" t="s">
        <v>41</v>
      </c>
      <c r="E489" t="s">
        <v>37</v>
      </c>
      <c r="F489" t="s">
        <v>54</v>
      </c>
      <c r="G489" t="s">
        <v>39</v>
      </c>
      <c r="H489">
        <v>180000</v>
      </c>
      <c r="I489">
        <v>10</v>
      </c>
      <c r="J489" t="s">
        <v>65</v>
      </c>
      <c r="K489">
        <f t="shared" si="7"/>
        <v>144000</v>
      </c>
    </row>
    <row r="490" spans="1:11">
      <c r="A490" t="s">
        <v>164</v>
      </c>
      <c r="B490" t="s">
        <v>44</v>
      </c>
      <c r="C490" t="s">
        <v>53</v>
      </c>
      <c r="D490" t="s">
        <v>29</v>
      </c>
      <c r="E490" t="s">
        <v>30</v>
      </c>
      <c r="F490" t="s">
        <v>62</v>
      </c>
      <c r="G490" t="s">
        <v>51</v>
      </c>
      <c r="H490">
        <v>150000</v>
      </c>
      <c r="I490">
        <v>8</v>
      </c>
      <c r="J490" t="s">
        <v>33</v>
      </c>
      <c r="K490">
        <f t="shared" si="7"/>
        <v>120000</v>
      </c>
    </row>
    <row r="491" spans="1:11">
      <c r="A491" t="s">
        <v>134</v>
      </c>
      <c r="B491" t="s">
        <v>44</v>
      </c>
      <c r="C491" t="s">
        <v>36</v>
      </c>
      <c r="D491" t="s">
        <v>29</v>
      </c>
      <c r="E491" t="s">
        <v>30</v>
      </c>
      <c r="F491" t="s">
        <v>54</v>
      </c>
      <c r="G491" t="s">
        <v>39</v>
      </c>
      <c r="H491">
        <v>180000</v>
      </c>
      <c r="I491">
        <v>8</v>
      </c>
      <c r="J491" t="s">
        <v>42</v>
      </c>
      <c r="K491">
        <f t="shared" si="7"/>
        <v>144000</v>
      </c>
    </row>
    <row r="492" spans="1:11">
      <c r="A492" t="s">
        <v>85</v>
      </c>
      <c r="B492" t="s">
        <v>35</v>
      </c>
      <c r="C492" t="s">
        <v>45</v>
      </c>
      <c r="D492" t="s">
        <v>41</v>
      </c>
      <c r="E492" t="s">
        <v>30</v>
      </c>
      <c r="F492" t="s">
        <v>62</v>
      </c>
      <c r="G492" t="s">
        <v>51</v>
      </c>
      <c r="H492">
        <v>150000</v>
      </c>
      <c r="I492">
        <v>6</v>
      </c>
      <c r="J492" t="s">
        <v>58</v>
      </c>
      <c r="K492">
        <f t="shared" si="7"/>
        <v>120000</v>
      </c>
    </row>
    <row r="493" spans="1:11">
      <c r="A493" t="s">
        <v>114</v>
      </c>
      <c r="B493" t="s">
        <v>44</v>
      </c>
      <c r="C493" t="s">
        <v>53</v>
      </c>
      <c r="D493" t="s">
        <v>41</v>
      </c>
      <c r="E493" t="s">
        <v>37</v>
      </c>
      <c r="F493" t="s">
        <v>62</v>
      </c>
      <c r="G493" t="s">
        <v>51</v>
      </c>
      <c r="H493">
        <v>150000</v>
      </c>
      <c r="I493">
        <v>4</v>
      </c>
      <c r="J493" t="s">
        <v>69</v>
      </c>
      <c r="K493">
        <f t="shared" si="7"/>
        <v>120000</v>
      </c>
    </row>
    <row r="494" spans="1:11">
      <c r="A494" t="s">
        <v>94</v>
      </c>
      <c r="B494" t="s">
        <v>27</v>
      </c>
      <c r="C494" t="s">
        <v>36</v>
      </c>
      <c r="D494" t="s">
        <v>29</v>
      </c>
      <c r="E494" t="s">
        <v>30</v>
      </c>
      <c r="F494" t="s">
        <v>54</v>
      </c>
      <c r="G494" t="s">
        <v>39</v>
      </c>
      <c r="H494">
        <v>180000</v>
      </c>
      <c r="I494">
        <v>1</v>
      </c>
      <c r="J494" t="s">
        <v>58</v>
      </c>
      <c r="K494">
        <f t="shared" si="7"/>
        <v>144000</v>
      </c>
    </row>
    <row r="495" spans="1:11">
      <c r="A495" t="s">
        <v>114</v>
      </c>
      <c r="B495" t="s">
        <v>49</v>
      </c>
      <c r="C495" t="s">
        <v>36</v>
      </c>
      <c r="D495" t="s">
        <v>29</v>
      </c>
      <c r="E495" t="s">
        <v>30</v>
      </c>
      <c r="F495" t="s">
        <v>71</v>
      </c>
      <c r="G495" t="s">
        <v>51</v>
      </c>
      <c r="H495">
        <v>250000</v>
      </c>
      <c r="I495">
        <v>6</v>
      </c>
      <c r="J495" t="s">
        <v>69</v>
      </c>
      <c r="K495">
        <f t="shared" si="7"/>
        <v>200000</v>
      </c>
    </row>
    <row r="496" spans="1:11">
      <c r="A496" t="s">
        <v>103</v>
      </c>
      <c r="B496" t="s">
        <v>44</v>
      </c>
      <c r="C496" t="s">
        <v>28</v>
      </c>
      <c r="D496" t="s">
        <v>29</v>
      </c>
      <c r="E496" t="s">
        <v>30</v>
      </c>
      <c r="F496" t="s">
        <v>46</v>
      </c>
      <c r="G496" t="s">
        <v>39</v>
      </c>
      <c r="H496">
        <v>60000</v>
      </c>
      <c r="I496">
        <v>6</v>
      </c>
      <c r="J496" t="s">
        <v>42</v>
      </c>
      <c r="K496">
        <f t="shared" si="7"/>
        <v>48000</v>
      </c>
    </row>
    <row r="497" spans="1:11">
      <c r="A497" t="s">
        <v>97</v>
      </c>
      <c r="B497" t="s">
        <v>49</v>
      </c>
      <c r="C497" t="s">
        <v>53</v>
      </c>
      <c r="D497" t="s">
        <v>41</v>
      </c>
      <c r="E497" t="s">
        <v>37</v>
      </c>
      <c r="F497" t="s">
        <v>62</v>
      </c>
      <c r="G497" t="s">
        <v>51</v>
      </c>
      <c r="H497">
        <v>150000</v>
      </c>
      <c r="I497">
        <v>2</v>
      </c>
      <c r="J497" t="s">
        <v>42</v>
      </c>
      <c r="K497">
        <f t="shared" si="7"/>
        <v>120000</v>
      </c>
    </row>
    <row r="498" spans="1:11">
      <c r="A498" t="s">
        <v>89</v>
      </c>
      <c r="B498" t="s">
        <v>35</v>
      </c>
      <c r="C498" t="s">
        <v>45</v>
      </c>
      <c r="D498" t="s">
        <v>41</v>
      </c>
      <c r="E498" t="s">
        <v>30</v>
      </c>
      <c r="F498" t="s">
        <v>31</v>
      </c>
      <c r="G498" t="s">
        <v>32</v>
      </c>
      <c r="H498">
        <v>85000</v>
      </c>
      <c r="I498">
        <v>2</v>
      </c>
      <c r="J498" t="s">
        <v>33</v>
      </c>
      <c r="K498">
        <f t="shared" si="7"/>
        <v>68000</v>
      </c>
    </row>
    <row r="499" spans="1:11">
      <c r="A499" t="s">
        <v>124</v>
      </c>
      <c r="B499" t="s">
        <v>44</v>
      </c>
      <c r="C499" t="s">
        <v>36</v>
      </c>
      <c r="D499" t="s">
        <v>29</v>
      </c>
      <c r="E499" t="s">
        <v>37</v>
      </c>
      <c r="F499" t="s">
        <v>50</v>
      </c>
      <c r="G499" t="s">
        <v>51</v>
      </c>
      <c r="H499">
        <v>300000</v>
      </c>
      <c r="I499">
        <v>5</v>
      </c>
      <c r="J499" t="s">
        <v>58</v>
      </c>
      <c r="K499">
        <f t="shared" si="7"/>
        <v>240000</v>
      </c>
    </row>
    <row r="500" spans="1:11">
      <c r="A500" t="s">
        <v>106</v>
      </c>
      <c r="B500" t="s">
        <v>35</v>
      </c>
      <c r="C500" t="s">
        <v>45</v>
      </c>
      <c r="D500" t="s">
        <v>41</v>
      </c>
      <c r="E500" t="s">
        <v>30</v>
      </c>
      <c r="F500" t="s">
        <v>67</v>
      </c>
      <c r="G500" t="s">
        <v>51</v>
      </c>
      <c r="H500">
        <v>420000</v>
      </c>
      <c r="I500">
        <v>10</v>
      </c>
      <c r="J500" t="s">
        <v>58</v>
      </c>
      <c r="K500">
        <f t="shared" si="7"/>
        <v>336000</v>
      </c>
    </row>
    <row r="501" spans="1:11">
      <c r="A501" t="s">
        <v>83</v>
      </c>
      <c r="B501" t="s">
        <v>27</v>
      </c>
      <c r="C501" t="s">
        <v>53</v>
      </c>
      <c r="D501" t="s">
        <v>41</v>
      </c>
      <c r="E501" t="s">
        <v>30</v>
      </c>
      <c r="F501" t="s">
        <v>54</v>
      </c>
      <c r="G501" t="s">
        <v>39</v>
      </c>
      <c r="H501">
        <v>180000</v>
      </c>
      <c r="I501">
        <v>6</v>
      </c>
      <c r="J501" t="s">
        <v>42</v>
      </c>
      <c r="K501">
        <f t="shared" si="7"/>
        <v>144000</v>
      </c>
    </row>
    <row r="502" spans="1:11">
      <c r="A502" t="s">
        <v>52</v>
      </c>
      <c r="B502" t="s">
        <v>35</v>
      </c>
      <c r="C502" t="s">
        <v>53</v>
      </c>
      <c r="D502" t="s">
        <v>29</v>
      </c>
      <c r="E502" t="s">
        <v>37</v>
      </c>
      <c r="F502" t="s">
        <v>31</v>
      </c>
      <c r="G502" t="s">
        <v>32</v>
      </c>
      <c r="H502">
        <v>85000</v>
      </c>
      <c r="I502">
        <v>4</v>
      </c>
      <c r="J502" t="s">
        <v>58</v>
      </c>
      <c r="K502">
        <f t="shared" si="7"/>
        <v>68000</v>
      </c>
    </row>
    <row r="503" spans="1:11">
      <c r="A503" t="s">
        <v>85</v>
      </c>
      <c r="B503" t="s">
        <v>49</v>
      </c>
      <c r="C503" t="s">
        <v>45</v>
      </c>
      <c r="D503" t="s">
        <v>41</v>
      </c>
      <c r="E503" t="s">
        <v>30</v>
      </c>
      <c r="F503" t="s">
        <v>50</v>
      </c>
      <c r="G503" t="s">
        <v>51</v>
      </c>
      <c r="H503">
        <v>300000</v>
      </c>
      <c r="I503">
        <v>4</v>
      </c>
      <c r="J503" t="s">
        <v>65</v>
      </c>
      <c r="K503">
        <f t="shared" si="7"/>
        <v>240000</v>
      </c>
    </row>
    <row r="504" spans="1:11">
      <c r="A504" t="s">
        <v>92</v>
      </c>
      <c r="B504" t="s">
        <v>44</v>
      </c>
      <c r="C504" t="s">
        <v>53</v>
      </c>
      <c r="D504" t="s">
        <v>29</v>
      </c>
      <c r="E504" t="s">
        <v>30</v>
      </c>
      <c r="F504" t="s">
        <v>31</v>
      </c>
      <c r="G504" t="s">
        <v>32</v>
      </c>
      <c r="H504">
        <v>85000</v>
      </c>
      <c r="I504">
        <v>3</v>
      </c>
      <c r="J504" t="s">
        <v>58</v>
      </c>
      <c r="K504">
        <f t="shared" si="7"/>
        <v>68000</v>
      </c>
    </row>
    <row r="505" spans="1:11">
      <c r="A505" t="s">
        <v>95</v>
      </c>
      <c r="B505" t="s">
        <v>49</v>
      </c>
      <c r="C505" t="s">
        <v>28</v>
      </c>
      <c r="D505" t="s">
        <v>29</v>
      </c>
      <c r="E505" t="s">
        <v>37</v>
      </c>
      <c r="F505" t="s">
        <v>73</v>
      </c>
      <c r="G505" t="s">
        <v>39</v>
      </c>
      <c r="H505">
        <v>220000</v>
      </c>
      <c r="I505">
        <v>9</v>
      </c>
      <c r="J505" t="s">
        <v>65</v>
      </c>
      <c r="K505">
        <f t="shared" si="7"/>
        <v>176000</v>
      </c>
    </row>
    <row r="506" spans="1:11">
      <c r="A506" t="s">
        <v>157</v>
      </c>
      <c r="B506" t="s">
        <v>27</v>
      </c>
      <c r="C506" t="s">
        <v>45</v>
      </c>
      <c r="D506" t="s">
        <v>41</v>
      </c>
      <c r="E506" t="s">
        <v>30</v>
      </c>
      <c r="F506" t="s">
        <v>54</v>
      </c>
      <c r="G506" t="s">
        <v>39</v>
      </c>
      <c r="H506">
        <v>180000</v>
      </c>
      <c r="I506">
        <v>3</v>
      </c>
      <c r="J506" t="s">
        <v>58</v>
      </c>
      <c r="K506">
        <f t="shared" si="7"/>
        <v>144000</v>
      </c>
    </row>
    <row r="507" spans="1:11">
      <c r="A507" t="s">
        <v>172</v>
      </c>
      <c r="B507" t="s">
        <v>35</v>
      </c>
      <c r="C507" t="s">
        <v>36</v>
      </c>
      <c r="D507" t="s">
        <v>41</v>
      </c>
      <c r="E507" t="s">
        <v>37</v>
      </c>
      <c r="F507" t="s">
        <v>50</v>
      </c>
      <c r="G507" t="s">
        <v>51</v>
      </c>
      <c r="H507">
        <v>300000</v>
      </c>
      <c r="I507">
        <v>9</v>
      </c>
      <c r="J507" t="s">
        <v>42</v>
      </c>
      <c r="K507">
        <f t="shared" si="7"/>
        <v>240000</v>
      </c>
    </row>
    <row r="508" spans="1:11">
      <c r="A508" t="s">
        <v>161</v>
      </c>
      <c r="B508" t="s">
        <v>49</v>
      </c>
      <c r="C508" t="s">
        <v>28</v>
      </c>
      <c r="D508" t="s">
        <v>41</v>
      </c>
      <c r="E508" t="s">
        <v>37</v>
      </c>
      <c r="F508" t="s">
        <v>62</v>
      </c>
      <c r="G508" t="s">
        <v>51</v>
      </c>
      <c r="H508">
        <v>150000</v>
      </c>
      <c r="I508">
        <v>4</v>
      </c>
      <c r="J508" t="s">
        <v>47</v>
      </c>
      <c r="K508">
        <f t="shared" si="7"/>
        <v>120000</v>
      </c>
    </row>
    <row r="509" spans="1:11">
      <c r="A509" t="s">
        <v>92</v>
      </c>
      <c r="B509" t="s">
        <v>35</v>
      </c>
      <c r="C509" t="s">
        <v>53</v>
      </c>
      <c r="D509" t="s">
        <v>41</v>
      </c>
      <c r="E509" t="s">
        <v>37</v>
      </c>
      <c r="F509" t="s">
        <v>56</v>
      </c>
      <c r="G509" t="s">
        <v>32</v>
      </c>
      <c r="H509">
        <v>320000</v>
      </c>
      <c r="I509">
        <v>8</v>
      </c>
      <c r="J509" t="s">
        <v>65</v>
      </c>
      <c r="K509">
        <f t="shared" si="7"/>
        <v>256000</v>
      </c>
    </row>
    <row r="510" spans="1:11">
      <c r="A510" t="s">
        <v>145</v>
      </c>
      <c r="B510" t="s">
        <v>49</v>
      </c>
      <c r="C510" t="s">
        <v>53</v>
      </c>
      <c r="D510" t="s">
        <v>29</v>
      </c>
      <c r="E510" t="s">
        <v>30</v>
      </c>
      <c r="F510" t="s">
        <v>56</v>
      </c>
      <c r="G510" t="s">
        <v>32</v>
      </c>
      <c r="H510">
        <v>320000</v>
      </c>
      <c r="I510">
        <v>7</v>
      </c>
      <c r="J510" t="s">
        <v>69</v>
      </c>
      <c r="K510">
        <f t="shared" si="7"/>
        <v>256000</v>
      </c>
    </row>
    <row r="511" spans="1:11">
      <c r="A511" t="s">
        <v>68</v>
      </c>
      <c r="B511" t="s">
        <v>35</v>
      </c>
      <c r="C511" t="s">
        <v>53</v>
      </c>
      <c r="D511" t="s">
        <v>29</v>
      </c>
      <c r="E511" t="s">
        <v>37</v>
      </c>
      <c r="F511" t="s">
        <v>73</v>
      </c>
      <c r="G511" t="s">
        <v>39</v>
      </c>
      <c r="H511">
        <v>220000</v>
      </c>
      <c r="I511">
        <v>10</v>
      </c>
      <c r="J511" t="s">
        <v>47</v>
      </c>
      <c r="K511">
        <f t="shared" si="7"/>
        <v>176000</v>
      </c>
    </row>
    <row r="512" spans="1:11">
      <c r="A512" t="s">
        <v>75</v>
      </c>
      <c r="B512" t="s">
        <v>44</v>
      </c>
      <c r="C512" t="s">
        <v>36</v>
      </c>
      <c r="D512" t="s">
        <v>29</v>
      </c>
      <c r="E512" t="s">
        <v>37</v>
      </c>
      <c r="F512" t="s">
        <v>38</v>
      </c>
      <c r="G512" t="s">
        <v>39</v>
      </c>
      <c r="H512">
        <v>30000</v>
      </c>
      <c r="I512">
        <v>7</v>
      </c>
      <c r="J512" t="s">
        <v>47</v>
      </c>
      <c r="K512">
        <f t="shared" si="7"/>
        <v>24000</v>
      </c>
    </row>
    <row r="513" spans="1:11">
      <c r="A513" t="s">
        <v>138</v>
      </c>
      <c r="B513" t="s">
        <v>35</v>
      </c>
      <c r="C513" t="s">
        <v>45</v>
      </c>
      <c r="D513" t="s">
        <v>29</v>
      </c>
      <c r="E513" t="s">
        <v>30</v>
      </c>
      <c r="F513" t="s">
        <v>56</v>
      </c>
      <c r="G513" t="s">
        <v>32</v>
      </c>
      <c r="H513">
        <v>320000</v>
      </c>
      <c r="I513">
        <v>2</v>
      </c>
      <c r="J513" t="s">
        <v>47</v>
      </c>
      <c r="K513">
        <f t="shared" si="7"/>
        <v>256000</v>
      </c>
    </row>
    <row r="514" spans="1:11">
      <c r="A514" t="s">
        <v>130</v>
      </c>
      <c r="B514" t="s">
        <v>49</v>
      </c>
      <c r="C514" t="s">
        <v>45</v>
      </c>
      <c r="D514" t="s">
        <v>41</v>
      </c>
      <c r="E514" t="s">
        <v>37</v>
      </c>
      <c r="F514" t="s">
        <v>50</v>
      </c>
      <c r="G514" t="s">
        <v>51</v>
      </c>
      <c r="H514">
        <v>300000</v>
      </c>
      <c r="I514">
        <v>3</v>
      </c>
      <c r="J514" t="s">
        <v>65</v>
      </c>
      <c r="K514">
        <f t="shared" ref="K514:K577" si="8">H514-H514*0.2</f>
        <v>240000</v>
      </c>
    </row>
    <row r="515" spans="1:11">
      <c r="A515" t="s">
        <v>34</v>
      </c>
      <c r="B515" t="s">
        <v>44</v>
      </c>
      <c r="C515" t="s">
        <v>28</v>
      </c>
      <c r="D515" t="s">
        <v>29</v>
      </c>
      <c r="E515" t="s">
        <v>30</v>
      </c>
      <c r="F515" t="s">
        <v>50</v>
      </c>
      <c r="G515" t="s">
        <v>51</v>
      </c>
      <c r="H515">
        <v>300000</v>
      </c>
      <c r="I515">
        <v>3</v>
      </c>
      <c r="J515" t="s">
        <v>47</v>
      </c>
      <c r="K515">
        <f t="shared" si="8"/>
        <v>240000</v>
      </c>
    </row>
    <row r="516" spans="1:11">
      <c r="A516" t="s">
        <v>72</v>
      </c>
      <c r="B516" t="s">
        <v>44</v>
      </c>
      <c r="C516" t="s">
        <v>53</v>
      </c>
      <c r="D516" t="s">
        <v>29</v>
      </c>
      <c r="E516" t="s">
        <v>37</v>
      </c>
      <c r="F516" t="s">
        <v>62</v>
      </c>
      <c r="G516" t="s">
        <v>51</v>
      </c>
      <c r="H516">
        <v>150000</v>
      </c>
      <c r="I516">
        <v>10</v>
      </c>
      <c r="J516" t="s">
        <v>47</v>
      </c>
      <c r="K516">
        <f t="shared" si="8"/>
        <v>120000</v>
      </c>
    </row>
    <row r="517" spans="1:11">
      <c r="A517" t="s">
        <v>132</v>
      </c>
      <c r="B517" t="s">
        <v>44</v>
      </c>
      <c r="C517" t="s">
        <v>36</v>
      </c>
      <c r="D517" t="s">
        <v>41</v>
      </c>
      <c r="E517" t="s">
        <v>37</v>
      </c>
      <c r="F517" t="s">
        <v>38</v>
      </c>
      <c r="G517" t="s">
        <v>39</v>
      </c>
      <c r="H517">
        <v>30000</v>
      </c>
      <c r="I517">
        <v>7</v>
      </c>
      <c r="J517" t="s">
        <v>58</v>
      </c>
      <c r="K517">
        <f t="shared" si="8"/>
        <v>24000</v>
      </c>
    </row>
    <row r="518" spans="1:11">
      <c r="A518" t="s">
        <v>93</v>
      </c>
      <c r="B518" t="s">
        <v>27</v>
      </c>
      <c r="C518" t="s">
        <v>28</v>
      </c>
      <c r="D518" t="s">
        <v>29</v>
      </c>
      <c r="E518" t="s">
        <v>30</v>
      </c>
      <c r="F518" t="s">
        <v>46</v>
      </c>
      <c r="G518" t="s">
        <v>39</v>
      </c>
      <c r="H518">
        <v>60000</v>
      </c>
      <c r="I518">
        <v>2</v>
      </c>
      <c r="J518" t="s">
        <v>65</v>
      </c>
      <c r="K518">
        <f t="shared" si="8"/>
        <v>48000</v>
      </c>
    </row>
    <row r="519" spans="1:11">
      <c r="A519" t="s">
        <v>158</v>
      </c>
      <c r="B519" t="s">
        <v>35</v>
      </c>
      <c r="C519" t="s">
        <v>36</v>
      </c>
      <c r="D519" t="s">
        <v>29</v>
      </c>
      <c r="E519" t="s">
        <v>30</v>
      </c>
      <c r="F519" t="s">
        <v>50</v>
      </c>
      <c r="G519" t="s">
        <v>51</v>
      </c>
      <c r="H519">
        <v>300000</v>
      </c>
      <c r="I519">
        <v>8</v>
      </c>
      <c r="J519" t="s">
        <v>33</v>
      </c>
      <c r="K519">
        <f t="shared" si="8"/>
        <v>240000</v>
      </c>
    </row>
    <row r="520" spans="1:11">
      <c r="A520" t="s">
        <v>109</v>
      </c>
      <c r="B520" t="s">
        <v>49</v>
      </c>
      <c r="C520" t="s">
        <v>36</v>
      </c>
      <c r="D520" t="s">
        <v>41</v>
      </c>
      <c r="E520" t="s">
        <v>37</v>
      </c>
      <c r="F520" t="s">
        <v>38</v>
      </c>
      <c r="G520" t="s">
        <v>39</v>
      </c>
      <c r="H520">
        <v>30000</v>
      </c>
      <c r="I520">
        <v>6</v>
      </c>
      <c r="J520" t="s">
        <v>47</v>
      </c>
      <c r="K520">
        <f t="shared" si="8"/>
        <v>24000</v>
      </c>
    </row>
    <row r="521" spans="1:11">
      <c r="A521" t="s">
        <v>72</v>
      </c>
      <c r="B521" t="s">
        <v>27</v>
      </c>
      <c r="C521" t="s">
        <v>36</v>
      </c>
      <c r="D521" t="s">
        <v>41</v>
      </c>
      <c r="E521" t="s">
        <v>30</v>
      </c>
      <c r="F521" t="s">
        <v>71</v>
      </c>
      <c r="G521" t="s">
        <v>51</v>
      </c>
      <c r="H521">
        <v>250000</v>
      </c>
      <c r="I521">
        <v>6</v>
      </c>
      <c r="J521" t="s">
        <v>42</v>
      </c>
      <c r="K521">
        <f t="shared" si="8"/>
        <v>200000</v>
      </c>
    </row>
    <row r="522" spans="1:11">
      <c r="A522" t="s">
        <v>141</v>
      </c>
      <c r="B522" t="s">
        <v>35</v>
      </c>
      <c r="C522" t="s">
        <v>53</v>
      </c>
      <c r="D522" t="s">
        <v>29</v>
      </c>
      <c r="E522" t="s">
        <v>30</v>
      </c>
      <c r="F522" t="s">
        <v>67</v>
      </c>
      <c r="G522" t="s">
        <v>51</v>
      </c>
      <c r="H522">
        <v>420000</v>
      </c>
      <c r="I522">
        <v>10</v>
      </c>
      <c r="J522" t="s">
        <v>58</v>
      </c>
      <c r="K522">
        <f t="shared" si="8"/>
        <v>336000</v>
      </c>
    </row>
    <row r="523" spans="1:11">
      <c r="A523" t="s">
        <v>171</v>
      </c>
      <c r="B523" t="s">
        <v>44</v>
      </c>
      <c r="C523" t="s">
        <v>53</v>
      </c>
      <c r="D523" t="s">
        <v>29</v>
      </c>
      <c r="E523" t="s">
        <v>30</v>
      </c>
      <c r="F523" t="s">
        <v>46</v>
      </c>
      <c r="G523" t="s">
        <v>39</v>
      </c>
      <c r="H523">
        <v>60000</v>
      </c>
      <c r="I523">
        <v>9</v>
      </c>
      <c r="J523" t="s">
        <v>69</v>
      </c>
      <c r="K523">
        <f t="shared" si="8"/>
        <v>48000</v>
      </c>
    </row>
    <row r="524" spans="1:11">
      <c r="A524" t="s">
        <v>83</v>
      </c>
      <c r="B524" t="s">
        <v>35</v>
      </c>
      <c r="C524" t="s">
        <v>45</v>
      </c>
      <c r="D524" t="s">
        <v>41</v>
      </c>
      <c r="E524" t="s">
        <v>37</v>
      </c>
      <c r="F524" t="s">
        <v>54</v>
      </c>
      <c r="G524" t="s">
        <v>39</v>
      </c>
      <c r="H524">
        <v>180000</v>
      </c>
      <c r="I524">
        <v>4</v>
      </c>
      <c r="J524" t="s">
        <v>33</v>
      </c>
      <c r="K524">
        <f t="shared" si="8"/>
        <v>144000</v>
      </c>
    </row>
    <row r="525" spans="1:11">
      <c r="A525" t="s">
        <v>112</v>
      </c>
      <c r="B525" t="s">
        <v>49</v>
      </c>
      <c r="C525" t="s">
        <v>45</v>
      </c>
      <c r="D525" t="s">
        <v>29</v>
      </c>
      <c r="E525" t="s">
        <v>37</v>
      </c>
      <c r="F525" t="s">
        <v>54</v>
      </c>
      <c r="G525" t="s">
        <v>39</v>
      </c>
      <c r="H525">
        <v>180000</v>
      </c>
      <c r="I525">
        <v>10</v>
      </c>
      <c r="J525" t="s">
        <v>33</v>
      </c>
      <c r="K525">
        <f t="shared" si="8"/>
        <v>144000</v>
      </c>
    </row>
    <row r="526" spans="1:11">
      <c r="A526" t="s">
        <v>143</v>
      </c>
      <c r="B526" t="s">
        <v>49</v>
      </c>
      <c r="C526" t="s">
        <v>36</v>
      </c>
      <c r="D526" t="s">
        <v>41</v>
      </c>
      <c r="E526" t="s">
        <v>30</v>
      </c>
      <c r="F526" t="s">
        <v>38</v>
      </c>
      <c r="G526" t="s">
        <v>39</v>
      </c>
      <c r="H526">
        <v>30000</v>
      </c>
      <c r="I526">
        <v>1</v>
      </c>
      <c r="J526" t="s">
        <v>65</v>
      </c>
      <c r="K526">
        <f t="shared" si="8"/>
        <v>24000</v>
      </c>
    </row>
    <row r="527" spans="1:11">
      <c r="A527" t="s">
        <v>116</v>
      </c>
      <c r="B527" t="s">
        <v>35</v>
      </c>
      <c r="C527" t="s">
        <v>45</v>
      </c>
      <c r="D527" t="s">
        <v>29</v>
      </c>
      <c r="E527" t="s">
        <v>37</v>
      </c>
      <c r="F527" t="s">
        <v>67</v>
      </c>
      <c r="G527" t="s">
        <v>51</v>
      </c>
      <c r="H527">
        <v>420000</v>
      </c>
      <c r="I527">
        <v>3</v>
      </c>
      <c r="J527" t="s">
        <v>58</v>
      </c>
      <c r="K527">
        <f t="shared" si="8"/>
        <v>336000</v>
      </c>
    </row>
    <row r="528" spans="1:11">
      <c r="A528" t="s">
        <v>142</v>
      </c>
      <c r="B528" t="s">
        <v>35</v>
      </c>
      <c r="C528" t="s">
        <v>28</v>
      </c>
      <c r="D528" t="s">
        <v>29</v>
      </c>
      <c r="E528" t="s">
        <v>37</v>
      </c>
      <c r="F528" t="s">
        <v>38</v>
      </c>
      <c r="G528" t="s">
        <v>39</v>
      </c>
      <c r="H528">
        <v>30000</v>
      </c>
      <c r="I528">
        <v>8</v>
      </c>
      <c r="J528" t="s">
        <v>58</v>
      </c>
      <c r="K528">
        <f t="shared" si="8"/>
        <v>24000</v>
      </c>
    </row>
    <row r="529" spans="1:11">
      <c r="A529" t="s">
        <v>135</v>
      </c>
      <c r="B529" t="s">
        <v>44</v>
      </c>
      <c r="C529" t="s">
        <v>53</v>
      </c>
      <c r="D529" t="s">
        <v>41</v>
      </c>
      <c r="E529" t="s">
        <v>30</v>
      </c>
      <c r="F529" t="s">
        <v>56</v>
      </c>
      <c r="G529" t="s">
        <v>32</v>
      </c>
      <c r="H529">
        <v>320000</v>
      </c>
      <c r="I529">
        <v>2</v>
      </c>
      <c r="J529" t="s">
        <v>47</v>
      </c>
      <c r="K529">
        <f t="shared" si="8"/>
        <v>256000</v>
      </c>
    </row>
    <row r="530" spans="1:11">
      <c r="A530" t="s">
        <v>123</v>
      </c>
      <c r="B530" t="s">
        <v>27</v>
      </c>
      <c r="C530" t="s">
        <v>36</v>
      </c>
      <c r="D530" t="s">
        <v>41</v>
      </c>
      <c r="E530" t="s">
        <v>37</v>
      </c>
      <c r="F530" t="s">
        <v>62</v>
      </c>
      <c r="G530" t="s">
        <v>51</v>
      </c>
      <c r="H530">
        <v>150000</v>
      </c>
      <c r="I530">
        <v>10</v>
      </c>
      <c r="J530" t="s">
        <v>47</v>
      </c>
      <c r="K530">
        <f t="shared" si="8"/>
        <v>120000</v>
      </c>
    </row>
    <row r="531" spans="1:11">
      <c r="A531" t="s">
        <v>132</v>
      </c>
      <c r="B531" t="s">
        <v>49</v>
      </c>
      <c r="C531" t="s">
        <v>45</v>
      </c>
      <c r="D531" t="s">
        <v>41</v>
      </c>
      <c r="E531" t="s">
        <v>30</v>
      </c>
      <c r="F531" t="s">
        <v>71</v>
      </c>
      <c r="G531" t="s">
        <v>51</v>
      </c>
      <c r="H531">
        <v>250000</v>
      </c>
      <c r="I531">
        <v>9</v>
      </c>
      <c r="J531" t="s">
        <v>42</v>
      </c>
      <c r="K531">
        <f t="shared" si="8"/>
        <v>200000</v>
      </c>
    </row>
    <row r="532" spans="1:11">
      <c r="A532" t="s">
        <v>149</v>
      </c>
      <c r="B532" t="s">
        <v>44</v>
      </c>
      <c r="C532" t="s">
        <v>45</v>
      </c>
      <c r="D532" t="s">
        <v>41</v>
      </c>
      <c r="E532" t="s">
        <v>37</v>
      </c>
      <c r="F532" t="s">
        <v>73</v>
      </c>
      <c r="G532" t="s">
        <v>39</v>
      </c>
      <c r="H532">
        <v>220000</v>
      </c>
      <c r="I532">
        <v>5</v>
      </c>
      <c r="J532" t="s">
        <v>42</v>
      </c>
      <c r="K532">
        <f t="shared" si="8"/>
        <v>176000</v>
      </c>
    </row>
    <row r="533" spans="1:11">
      <c r="A533" t="s">
        <v>173</v>
      </c>
      <c r="B533" t="s">
        <v>27</v>
      </c>
      <c r="C533" t="s">
        <v>45</v>
      </c>
      <c r="D533" t="s">
        <v>29</v>
      </c>
      <c r="E533" t="s">
        <v>37</v>
      </c>
      <c r="F533" t="s">
        <v>62</v>
      </c>
      <c r="G533" t="s">
        <v>51</v>
      </c>
      <c r="H533">
        <v>150000</v>
      </c>
      <c r="I533">
        <v>5</v>
      </c>
      <c r="J533" t="s">
        <v>33</v>
      </c>
      <c r="K533">
        <f t="shared" si="8"/>
        <v>120000</v>
      </c>
    </row>
    <row r="534" spans="1:11">
      <c r="A534" t="s">
        <v>159</v>
      </c>
      <c r="B534" t="s">
        <v>35</v>
      </c>
      <c r="C534" t="s">
        <v>53</v>
      </c>
      <c r="D534" t="s">
        <v>41</v>
      </c>
      <c r="E534" t="s">
        <v>37</v>
      </c>
      <c r="F534" t="s">
        <v>73</v>
      </c>
      <c r="G534" t="s">
        <v>39</v>
      </c>
      <c r="H534">
        <v>220000</v>
      </c>
      <c r="I534">
        <v>8</v>
      </c>
      <c r="J534" t="s">
        <v>65</v>
      </c>
      <c r="K534">
        <f t="shared" si="8"/>
        <v>176000</v>
      </c>
    </row>
    <row r="535" spans="1:11">
      <c r="A535" t="s">
        <v>66</v>
      </c>
      <c r="B535" t="s">
        <v>35</v>
      </c>
      <c r="C535" t="s">
        <v>36</v>
      </c>
      <c r="D535" t="s">
        <v>29</v>
      </c>
      <c r="E535" t="s">
        <v>30</v>
      </c>
      <c r="F535" t="s">
        <v>31</v>
      </c>
      <c r="G535" t="s">
        <v>32</v>
      </c>
      <c r="H535">
        <v>85000</v>
      </c>
      <c r="I535">
        <v>4</v>
      </c>
      <c r="J535" t="s">
        <v>58</v>
      </c>
      <c r="K535">
        <f t="shared" si="8"/>
        <v>68000</v>
      </c>
    </row>
    <row r="536" spans="1:11">
      <c r="A536" t="s">
        <v>77</v>
      </c>
      <c r="B536" t="s">
        <v>44</v>
      </c>
      <c r="C536" t="s">
        <v>45</v>
      </c>
      <c r="D536" t="s">
        <v>29</v>
      </c>
      <c r="E536" t="s">
        <v>30</v>
      </c>
      <c r="F536" t="s">
        <v>56</v>
      </c>
      <c r="G536" t="s">
        <v>32</v>
      </c>
      <c r="H536">
        <v>320000</v>
      </c>
      <c r="I536">
        <v>4</v>
      </c>
      <c r="J536" t="s">
        <v>58</v>
      </c>
      <c r="K536">
        <f t="shared" si="8"/>
        <v>256000</v>
      </c>
    </row>
    <row r="537" spans="1:11">
      <c r="A537" t="s">
        <v>94</v>
      </c>
      <c r="B537" t="s">
        <v>35</v>
      </c>
      <c r="C537" t="s">
        <v>45</v>
      </c>
      <c r="D537" t="s">
        <v>41</v>
      </c>
      <c r="E537" t="s">
        <v>30</v>
      </c>
      <c r="F537" t="s">
        <v>71</v>
      </c>
      <c r="G537" t="s">
        <v>51</v>
      </c>
      <c r="H537">
        <v>250000</v>
      </c>
      <c r="I537">
        <v>2</v>
      </c>
      <c r="J537" t="s">
        <v>42</v>
      </c>
      <c r="K537">
        <f t="shared" si="8"/>
        <v>200000</v>
      </c>
    </row>
    <row r="538" spans="1:11">
      <c r="A538" t="s">
        <v>146</v>
      </c>
      <c r="B538" t="s">
        <v>35</v>
      </c>
      <c r="C538" t="s">
        <v>28</v>
      </c>
      <c r="D538" t="s">
        <v>29</v>
      </c>
      <c r="E538" t="s">
        <v>30</v>
      </c>
      <c r="F538" t="s">
        <v>50</v>
      </c>
      <c r="G538" t="s">
        <v>51</v>
      </c>
      <c r="H538">
        <v>300000</v>
      </c>
      <c r="I538">
        <v>5</v>
      </c>
      <c r="J538" t="s">
        <v>42</v>
      </c>
      <c r="K538">
        <f t="shared" si="8"/>
        <v>240000</v>
      </c>
    </row>
    <row r="539" spans="1:11">
      <c r="A539" t="s">
        <v>154</v>
      </c>
      <c r="B539" t="s">
        <v>35</v>
      </c>
      <c r="C539" t="s">
        <v>45</v>
      </c>
      <c r="D539" t="s">
        <v>29</v>
      </c>
      <c r="E539" t="s">
        <v>30</v>
      </c>
      <c r="F539" t="s">
        <v>46</v>
      </c>
      <c r="G539" t="s">
        <v>39</v>
      </c>
      <c r="H539">
        <v>60000</v>
      </c>
      <c r="I539">
        <v>9</v>
      </c>
      <c r="J539" t="s">
        <v>47</v>
      </c>
      <c r="K539">
        <f t="shared" si="8"/>
        <v>48000</v>
      </c>
    </row>
    <row r="540" spans="1:11">
      <c r="A540" t="s">
        <v>134</v>
      </c>
      <c r="B540" t="s">
        <v>35</v>
      </c>
      <c r="C540" t="s">
        <v>45</v>
      </c>
      <c r="D540" t="s">
        <v>41</v>
      </c>
      <c r="E540" t="s">
        <v>30</v>
      </c>
      <c r="F540" t="s">
        <v>62</v>
      </c>
      <c r="G540" t="s">
        <v>51</v>
      </c>
      <c r="H540">
        <v>150000</v>
      </c>
      <c r="I540">
        <v>6</v>
      </c>
      <c r="J540" t="s">
        <v>47</v>
      </c>
      <c r="K540">
        <f t="shared" si="8"/>
        <v>120000</v>
      </c>
    </row>
    <row r="541" spans="1:11">
      <c r="A541" t="s">
        <v>126</v>
      </c>
      <c r="B541" t="s">
        <v>44</v>
      </c>
      <c r="C541" t="s">
        <v>45</v>
      </c>
      <c r="D541" t="s">
        <v>41</v>
      </c>
      <c r="E541" t="s">
        <v>37</v>
      </c>
      <c r="F541" t="s">
        <v>31</v>
      </c>
      <c r="G541" t="s">
        <v>32</v>
      </c>
      <c r="H541">
        <v>85000</v>
      </c>
      <c r="I541">
        <v>3</v>
      </c>
      <c r="J541" t="s">
        <v>58</v>
      </c>
      <c r="K541">
        <f t="shared" si="8"/>
        <v>68000</v>
      </c>
    </row>
    <row r="542" spans="1:11">
      <c r="A542" t="s">
        <v>171</v>
      </c>
      <c r="B542" t="s">
        <v>44</v>
      </c>
      <c r="C542" t="s">
        <v>36</v>
      </c>
      <c r="D542" t="s">
        <v>41</v>
      </c>
      <c r="E542" t="s">
        <v>37</v>
      </c>
      <c r="F542" t="s">
        <v>56</v>
      </c>
      <c r="G542" t="s">
        <v>32</v>
      </c>
      <c r="H542">
        <v>320000</v>
      </c>
      <c r="I542">
        <v>8</v>
      </c>
      <c r="J542" t="s">
        <v>47</v>
      </c>
      <c r="K542">
        <f t="shared" si="8"/>
        <v>256000</v>
      </c>
    </row>
    <row r="543" spans="1:11">
      <c r="A543" t="s">
        <v>81</v>
      </c>
      <c r="B543" t="s">
        <v>35</v>
      </c>
      <c r="C543" t="s">
        <v>28</v>
      </c>
      <c r="D543" t="s">
        <v>41</v>
      </c>
      <c r="E543" t="s">
        <v>30</v>
      </c>
      <c r="F543" t="s">
        <v>71</v>
      </c>
      <c r="G543" t="s">
        <v>51</v>
      </c>
      <c r="H543">
        <v>250000</v>
      </c>
      <c r="I543">
        <v>1</v>
      </c>
      <c r="J543" t="s">
        <v>58</v>
      </c>
      <c r="K543">
        <f t="shared" si="8"/>
        <v>200000</v>
      </c>
    </row>
    <row r="544" spans="1:11">
      <c r="A544" t="s">
        <v>164</v>
      </c>
      <c r="B544" t="s">
        <v>27</v>
      </c>
      <c r="C544" t="s">
        <v>36</v>
      </c>
      <c r="D544" t="s">
        <v>41</v>
      </c>
      <c r="E544" t="s">
        <v>37</v>
      </c>
      <c r="F544" t="s">
        <v>54</v>
      </c>
      <c r="G544" t="s">
        <v>39</v>
      </c>
      <c r="H544">
        <v>180000</v>
      </c>
      <c r="I544">
        <v>4</v>
      </c>
      <c r="J544" t="s">
        <v>33</v>
      </c>
      <c r="K544">
        <f t="shared" si="8"/>
        <v>144000</v>
      </c>
    </row>
    <row r="545" spans="1:11">
      <c r="A545" t="s">
        <v>110</v>
      </c>
      <c r="B545" t="s">
        <v>35</v>
      </c>
      <c r="C545" t="s">
        <v>45</v>
      </c>
      <c r="D545" t="s">
        <v>29</v>
      </c>
      <c r="E545" t="s">
        <v>30</v>
      </c>
      <c r="F545" t="s">
        <v>46</v>
      </c>
      <c r="G545" t="s">
        <v>39</v>
      </c>
      <c r="H545">
        <v>60000</v>
      </c>
      <c r="I545">
        <v>6</v>
      </c>
      <c r="J545" t="s">
        <v>69</v>
      </c>
      <c r="K545">
        <f t="shared" si="8"/>
        <v>48000</v>
      </c>
    </row>
    <row r="546" spans="1:11">
      <c r="A546" t="s">
        <v>139</v>
      </c>
      <c r="B546" t="s">
        <v>49</v>
      </c>
      <c r="C546" t="s">
        <v>53</v>
      </c>
      <c r="D546" t="s">
        <v>29</v>
      </c>
      <c r="E546" t="s">
        <v>37</v>
      </c>
      <c r="F546" t="s">
        <v>54</v>
      </c>
      <c r="G546" t="s">
        <v>39</v>
      </c>
      <c r="H546">
        <v>180000</v>
      </c>
      <c r="I546">
        <v>7</v>
      </c>
      <c r="J546" t="s">
        <v>33</v>
      </c>
      <c r="K546">
        <f t="shared" si="8"/>
        <v>144000</v>
      </c>
    </row>
    <row r="547" spans="1:11">
      <c r="A547" t="s">
        <v>133</v>
      </c>
      <c r="B547" t="s">
        <v>49</v>
      </c>
      <c r="C547" t="s">
        <v>36</v>
      </c>
      <c r="D547" t="s">
        <v>29</v>
      </c>
      <c r="E547" t="s">
        <v>30</v>
      </c>
      <c r="F547" t="s">
        <v>62</v>
      </c>
      <c r="G547" t="s">
        <v>51</v>
      </c>
      <c r="H547">
        <v>150000</v>
      </c>
      <c r="I547">
        <v>10</v>
      </c>
      <c r="J547" t="s">
        <v>65</v>
      </c>
      <c r="K547">
        <f t="shared" si="8"/>
        <v>120000</v>
      </c>
    </row>
    <row r="548" spans="1:11">
      <c r="A548" t="s">
        <v>109</v>
      </c>
      <c r="B548" t="s">
        <v>35</v>
      </c>
      <c r="C548" t="s">
        <v>45</v>
      </c>
      <c r="D548" t="s">
        <v>29</v>
      </c>
      <c r="E548" t="s">
        <v>37</v>
      </c>
      <c r="F548" t="s">
        <v>56</v>
      </c>
      <c r="G548" t="s">
        <v>32</v>
      </c>
      <c r="H548">
        <v>320000</v>
      </c>
      <c r="I548">
        <v>5</v>
      </c>
      <c r="J548" t="s">
        <v>65</v>
      </c>
      <c r="K548">
        <f t="shared" si="8"/>
        <v>256000</v>
      </c>
    </row>
    <row r="549" spans="1:11">
      <c r="A549" t="s">
        <v>60</v>
      </c>
      <c r="B549" t="s">
        <v>27</v>
      </c>
      <c r="C549" t="s">
        <v>28</v>
      </c>
      <c r="D549" t="s">
        <v>41</v>
      </c>
      <c r="E549" t="s">
        <v>37</v>
      </c>
      <c r="F549" t="s">
        <v>62</v>
      </c>
      <c r="G549" t="s">
        <v>51</v>
      </c>
      <c r="H549">
        <v>150000</v>
      </c>
      <c r="I549">
        <v>7</v>
      </c>
      <c r="J549" t="s">
        <v>42</v>
      </c>
      <c r="K549">
        <f t="shared" si="8"/>
        <v>120000</v>
      </c>
    </row>
    <row r="550" spans="1:11">
      <c r="A550" t="s">
        <v>43</v>
      </c>
      <c r="B550" t="s">
        <v>35</v>
      </c>
      <c r="C550" t="s">
        <v>28</v>
      </c>
      <c r="D550" t="s">
        <v>41</v>
      </c>
      <c r="E550" t="s">
        <v>30</v>
      </c>
      <c r="F550" t="s">
        <v>62</v>
      </c>
      <c r="G550" t="s">
        <v>51</v>
      </c>
      <c r="H550">
        <v>150000</v>
      </c>
      <c r="I550">
        <v>4</v>
      </c>
      <c r="J550" t="s">
        <v>65</v>
      </c>
      <c r="K550">
        <f t="shared" si="8"/>
        <v>120000</v>
      </c>
    </row>
    <row r="551" spans="1:11">
      <c r="A551" t="s">
        <v>112</v>
      </c>
      <c r="B551" t="s">
        <v>49</v>
      </c>
      <c r="C551" t="s">
        <v>45</v>
      </c>
      <c r="D551" t="s">
        <v>41</v>
      </c>
      <c r="E551" t="s">
        <v>30</v>
      </c>
      <c r="F551" t="s">
        <v>50</v>
      </c>
      <c r="G551" t="s">
        <v>51</v>
      </c>
      <c r="H551">
        <v>300000</v>
      </c>
      <c r="I551">
        <v>6</v>
      </c>
      <c r="J551" t="s">
        <v>47</v>
      </c>
      <c r="K551">
        <f t="shared" si="8"/>
        <v>240000</v>
      </c>
    </row>
    <row r="552" spans="1:11">
      <c r="A552" t="s">
        <v>86</v>
      </c>
      <c r="B552" t="s">
        <v>49</v>
      </c>
      <c r="C552" t="s">
        <v>28</v>
      </c>
      <c r="D552" t="s">
        <v>29</v>
      </c>
      <c r="E552" t="s">
        <v>37</v>
      </c>
      <c r="F552" t="s">
        <v>56</v>
      </c>
      <c r="G552" t="s">
        <v>32</v>
      </c>
      <c r="H552">
        <v>320000</v>
      </c>
      <c r="I552">
        <v>4</v>
      </c>
      <c r="J552" t="s">
        <v>47</v>
      </c>
      <c r="K552">
        <f t="shared" si="8"/>
        <v>256000</v>
      </c>
    </row>
    <row r="553" spans="1:11">
      <c r="A553" t="s">
        <v>90</v>
      </c>
      <c r="B553" t="s">
        <v>44</v>
      </c>
      <c r="C553" t="s">
        <v>36</v>
      </c>
      <c r="D553" t="s">
        <v>41</v>
      </c>
      <c r="E553" t="s">
        <v>30</v>
      </c>
      <c r="F553" t="s">
        <v>38</v>
      </c>
      <c r="G553" t="s">
        <v>39</v>
      </c>
      <c r="H553">
        <v>30000</v>
      </c>
      <c r="I553">
        <v>4</v>
      </c>
      <c r="J553" t="s">
        <v>42</v>
      </c>
      <c r="K553">
        <f t="shared" si="8"/>
        <v>24000</v>
      </c>
    </row>
    <row r="554" spans="1:11">
      <c r="A554" t="s">
        <v>133</v>
      </c>
      <c r="B554" t="s">
        <v>35</v>
      </c>
      <c r="C554" t="s">
        <v>45</v>
      </c>
      <c r="D554" t="s">
        <v>41</v>
      </c>
      <c r="E554" t="s">
        <v>30</v>
      </c>
      <c r="F554" t="s">
        <v>62</v>
      </c>
      <c r="G554" t="s">
        <v>51</v>
      </c>
      <c r="H554">
        <v>150000</v>
      </c>
      <c r="I554">
        <v>8</v>
      </c>
      <c r="J554" t="s">
        <v>69</v>
      </c>
      <c r="K554">
        <f t="shared" si="8"/>
        <v>120000</v>
      </c>
    </row>
    <row r="555" spans="1:11">
      <c r="A555" t="s">
        <v>101</v>
      </c>
      <c r="B555" t="s">
        <v>44</v>
      </c>
      <c r="C555" t="s">
        <v>36</v>
      </c>
      <c r="D555" t="s">
        <v>29</v>
      </c>
      <c r="E555" t="s">
        <v>37</v>
      </c>
      <c r="F555" t="s">
        <v>71</v>
      </c>
      <c r="G555" t="s">
        <v>51</v>
      </c>
      <c r="H555">
        <v>250000</v>
      </c>
      <c r="I555">
        <v>8</v>
      </c>
      <c r="J555" t="s">
        <v>65</v>
      </c>
      <c r="K555">
        <f t="shared" si="8"/>
        <v>200000</v>
      </c>
    </row>
    <row r="556" spans="1:11">
      <c r="A556" t="s">
        <v>68</v>
      </c>
      <c r="B556" t="s">
        <v>49</v>
      </c>
      <c r="C556" t="s">
        <v>36</v>
      </c>
      <c r="D556" t="s">
        <v>41</v>
      </c>
      <c r="E556" t="s">
        <v>30</v>
      </c>
      <c r="F556" t="s">
        <v>38</v>
      </c>
      <c r="G556" t="s">
        <v>39</v>
      </c>
      <c r="H556">
        <v>30000</v>
      </c>
      <c r="I556">
        <v>4</v>
      </c>
      <c r="J556" t="s">
        <v>69</v>
      </c>
      <c r="K556">
        <f t="shared" si="8"/>
        <v>24000</v>
      </c>
    </row>
    <row r="557" spans="1:11">
      <c r="A557" t="s">
        <v>133</v>
      </c>
      <c r="B557" t="s">
        <v>44</v>
      </c>
      <c r="C557" t="s">
        <v>28</v>
      </c>
      <c r="D557" t="s">
        <v>41</v>
      </c>
      <c r="E557" t="s">
        <v>30</v>
      </c>
      <c r="F557" t="s">
        <v>67</v>
      </c>
      <c r="G557" t="s">
        <v>51</v>
      </c>
      <c r="H557">
        <v>420000</v>
      </c>
      <c r="I557">
        <v>2</v>
      </c>
      <c r="J557" t="s">
        <v>65</v>
      </c>
      <c r="K557">
        <f t="shared" si="8"/>
        <v>336000</v>
      </c>
    </row>
    <row r="558" spans="1:11">
      <c r="A558" t="s">
        <v>109</v>
      </c>
      <c r="B558" t="s">
        <v>44</v>
      </c>
      <c r="C558" t="s">
        <v>28</v>
      </c>
      <c r="D558" t="s">
        <v>41</v>
      </c>
      <c r="E558" t="s">
        <v>37</v>
      </c>
      <c r="F558" t="s">
        <v>38</v>
      </c>
      <c r="G558" t="s">
        <v>39</v>
      </c>
      <c r="H558">
        <v>30000</v>
      </c>
      <c r="I558">
        <v>6</v>
      </c>
      <c r="J558" t="s">
        <v>65</v>
      </c>
      <c r="K558">
        <f t="shared" si="8"/>
        <v>24000</v>
      </c>
    </row>
    <row r="559" spans="1:11">
      <c r="A559" t="s">
        <v>164</v>
      </c>
      <c r="B559" t="s">
        <v>49</v>
      </c>
      <c r="C559" t="s">
        <v>53</v>
      </c>
      <c r="D559" t="s">
        <v>41</v>
      </c>
      <c r="E559" t="s">
        <v>30</v>
      </c>
      <c r="F559" t="s">
        <v>73</v>
      </c>
      <c r="G559" t="s">
        <v>39</v>
      </c>
      <c r="H559">
        <v>220000</v>
      </c>
      <c r="I559">
        <v>2</v>
      </c>
      <c r="J559" t="s">
        <v>58</v>
      </c>
      <c r="K559">
        <f t="shared" si="8"/>
        <v>176000</v>
      </c>
    </row>
    <row r="560" spans="1:11">
      <c r="A560" t="s">
        <v>159</v>
      </c>
      <c r="B560" t="s">
        <v>44</v>
      </c>
      <c r="C560" t="s">
        <v>28</v>
      </c>
      <c r="D560" t="s">
        <v>29</v>
      </c>
      <c r="E560" t="s">
        <v>30</v>
      </c>
      <c r="F560" t="s">
        <v>50</v>
      </c>
      <c r="G560" t="s">
        <v>51</v>
      </c>
      <c r="H560">
        <v>300000</v>
      </c>
      <c r="I560">
        <v>4</v>
      </c>
      <c r="J560" t="s">
        <v>58</v>
      </c>
      <c r="K560">
        <f t="shared" si="8"/>
        <v>240000</v>
      </c>
    </row>
    <row r="561" spans="1:11">
      <c r="A561" t="s">
        <v>140</v>
      </c>
      <c r="B561" t="s">
        <v>44</v>
      </c>
      <c r="C561" t="s">
        <v>28</v>
      </c>
      <c r="D561" t="s">
        <v>41</v>
      </c>
      <c r="E561" t="s">
        <v>30</v>
      </c>
      <c r="F561" t="s">
        <v>67</v>
      </c>
      <c r="G561" t="s">
        <v>51</v>
      </c>
      <c r="H561">
        <v>420000</v>
      </c>
      <c r="I561">
        <v>8</v>
      </c>
      <c r="J561" t="s">
        <v>33</v>
      </c>
      <c r="K561">
        <f t="shared" si="8"/>
        <v>336000</v>
      </c>
    </row>
    <row r="562" spans="1:11">
      <c r="A562" t="s">
        <v>75</v>
      </c>
      <c r="B562" t="s">
        <v>35</v>
      </c>
      <c r="C562" t="s">
        <v>28</v>
      </c>
      <c r="D562" t="s">
        <v>29</v>
      </c>
      <c r="E562" t="s">
        <v>30</v>
      </c>
      <c r="F562" t="s">
        <v>56</v>
      </c>
      <c r="G562" t="s">
        <v>32</v>
      </c>
      <c r="H562">
        <v>320000</v>
      </c>
      <c r="I562">
        <v>4</v>
      </c>
      <c r="J562" t="s">
        <v>58</v>
      </c>
      <c r="K562">
        <f t="shared" si="8"/>
        <v>256000</v>
      </c>
    </row>
    <row r="563" spans="1:11">
      <c r="A563" t="s">
        <v>74</v>
      </c>
      <c r="B563" t="s">
        <v>27</v>
      </c>
      <c r="C563" t="s">
        <v>28</v>
      </c>
      <c r="D563" t="s">
        <v>41</v>
      </c>
      <c r="E563" t="s">
        <v>37</v>
      </c>
      <c r="F563" t="s">
        <v>71</v>
      </c>
      <c r="G563" t="s">
        <v>51</v>
      </c>
      <c r="H563">
        <v>250000</v>
      </c>
      <c r="I563">
        <v>8</v>
      </c>
      <c r="J563" t="s">
        <v>42</v>
      </c>
      <c r="K563">
        <f t="shared" si="8"/>
        <v>200000</v>
      </c>
    </row>
    <row r="564" spans="1:11">
      <c r="A564" t="s">
        <v>91</v>
      </c>
      <c r="B564" t="s">
        <v>35</v>
      </c>
      <c r="C564" t="s">
        <v>36</v>
      </c>
      <c r="D564" t="s">
        <v>29</v>
      </c>
      <c r="E564" t="s">
        <v>37</v>
      </c>
      <c r="F564" t="s">
        <v>56</v>
      </c>
      <c r="G564" t="s">
        <v>32</v>
      </c>
      <c r="H564">
        <v>320000</v>
      </c>
      <c r="I564">
        <v>7</v>
      </c>
      <c r="J564" t="s">
        <v>69</v>
      </c>
      <c r="K564">
        <f t="shared" si="8"/>
        <v>256000</v>
      </c>
    </row>
    <row r="565" spans="1:11">
      <c r="A565" t="s">
        <v>79</v>
      </c>
      <c r="B565" t="s">
        <v>27</v>
      </c>
      <c r="C565" t="s">
        <v>36</v>
      </c>
      <c r="D565" t="s">
        <v>41</v>
      </c>
      <c r="E565" t="s">
        <v>37</v>
      </c>
      <c r="F565" t="s">
        <v>50</v>
      </c>
      <c r="G565" t="s">
        <v>51</v>
      </c>
      <c r="H565">
        <v>300000</v>
      </c>
      <c r="I565">
        <v>6</v>
      </c>
      <c r="J565" t="s">
        <v>42</v>
      </c>
      <c r="K565">
        <f t="shared" si="8"/>
        <v>240000</v>
      </c>
    </row>
    <row r="566" spans="1:11">
      <c r="A566" t="s">
        <v>92</v>
      </c>
      <c r="B566" t="s">
        <v>49</v>
      </c>
      <c r="C566" t="s">
        <v>53</v>
      </c>
      <c r="D566" t="s">
        <v>41</v>
      </c>
      <c r="E566" t="s">
        <v>37</v>
      </c>
      <c r="F566" t="s">
        <v>54</v>
      </c>
      <c r="G566" t="s">
        <v>39</v>
      </c>
      <c r="H566">
        <v>180000</v>
      </c>
      <c r="I566">
        <v>4</v>
      </c>
      <c r="J566" t="s">
        <v>33</v>
      </c>
      <c r="K566">
        <f t="shared" si="8"/>
        <v>144000</v>
      </c>
    </row>
    <row r="567" spans="1:11">
      <c r="A567" t="s">
        <v>146</v>
      </c>
      <c r="B567" t="s">
        <v>27</v>
      </c>
      <c r="C567" t="s">
        <v>28</v>
      </c>
      <c r="D567" t="s">
        <v>41</v>
      </c>
      <c r="E567" t="s">
        <v>30</v>
      </c>
      <c r="F567" t="s">
        <v>71</v>
      </c>
      <c r="G567" t="s">
        <v>51</v>
      </c>
      <c r="H567">
        <v>250000</v>
      </c>
      <c r="I567">
        <v>6</v>
      </c>
      <c r="J567" t="s">
        <v>58</v>
      </c>
      <c r="K567">
        <f t="shared" si="8"/>
        <v>200000</v>
      </c>
    </row>
    <row r="568" spans="1:11">
      <c r="A568" t="s">
        <v>80</v>
      </c>
      <c r="B568" t="s">
        <v>27</v>
      </c>
      <c r="C568" t="s">
        <v>45</v>
      </c>
      <c r="D568" t="s">
        <v>41</v>
      </c>
      <c r="E568" t="s">
        <v>30</v>
      </c>
      <c r="F568" t="s">
        <v>71</v>
      </c>
      <c r="G568" t="s">
        <v>51</v>
      </c>
      <c r="H568">
        <v>250000</v>
      </c>
      <c r="I568">
        <v>7</v>
      </c>
      <c r="J568" t="s">
        <v>58</v>
      </c>
      <c r="K568">
        <f t="shared" si="8"/>
        <v>200000</v>
      </c>
    </row>
    <row r="569" spans="1:11">
      <c r="A569" t="s">
        <v>104</v>
      </c>
      <c r="B569" t="s">
        <v>35</v>
      </c>
      <c r="C569" t="s">
        <v>36</v>
      </c>
      <c r="D569" t="s">
        <v>29</v>
      </c>
      <c r="E569" t="s">
        <v>37</v>
      </c>
      <c r="F569" t="s">
        <v>67</v>
      </c>
      <c r="G569" t="s">
        <v>51</v>
      </c>
      <c r="H569">
        <v>420000</v>
      </c>
      <c r="I569">
        <v>2</v>
      </c>
      <c r="J569" t="s">
        <v>33</v>
      </c>
      <c r="K569">
        <f t="shared" si="8"/>
        <v>336000</v>
      </c>
    </row>
    <row r="570" spans="1:11">
      <c r="A570" t="s">
        <v>168</v>
      </c>
      <c r="B570" t="s">
        <v>44</v>
      </c>
      <c r="C570" t="s">
        <v>36</v>
      </c>
      <c r="D570" t="s">
        <v>41</v>
      </c>
      <c r="E570" t="s">
        <v>30</v>
      </c>
      <c r="F570" t="s">
        <v>62</v>
      </c>
      <c r="G570" t="s">
        <v>51</v>
      </c>
      <c r="H570">
        <v>150000</v>
      </c>
      <c r="I570">
        <v>2</v>
      </c>
      <c r="J570" t="s">
        <v>42</v>
      </c>
      <c r="K570">
        <f t="shared" si="8"/>
        <v>120000</v>
      </c>
    </row>
    <row r="571" spans="1:11">
      <c r="A571" t="s">
        <v>109</v>
      </c>
      <c r="B571" t="s">
        <v>49</v>
      </c>
      <c r="C571" t="s">
        <v>36</v>
      </c>
      <c r="D571" t="s">
        <v>29</v>
      </c>
      <c r="E571" t="s">
        <v>30</v>
      </c>
      <c r="F571" t="s">
        <v>73</v>
      </c>
      <c r="G571" t="s">
        <v>39</v>
      </c>
      <c r="H571">
        <v>220000</v>
      </c>
      <c r="I571">
        <v>8</v>
      </c>
      <c r="J571" t="s">
        <v>69</v>
      </c>
      <c r="K571">
        <f t="shared" si="8"/>
        <v>176000</v>
      </c>
    </row>
    <row r="572" spans="1:11">
      <c r="A572" t="s">
        <v>156</v>
      </c>
      <c r="B572" t="s">
        <v>35</v>
      </c>
      <c r="C572" t="s">
        <v>28</v>
      </c>
      <c r="D572" t="s">
        <v>29</v>
      </c>
      <c r="E572" t="s">
        <v>37</v>
      </c>
      <c r="F572" t="s">
        <v>62</v>
      </c>
      <c r="G572" t="s">
        <v>51</v>
      </c>
      <c r="H572">
        <v>150000</v>
      </c>
      <c r="I572">
        <v>2</v>
      </c>
      <c r="J572" t="s">
        <v>47</v>
      </c>
      <c r="K572">
        <f t="shared" si="8"/>
        <v>120000</v>
      </c>
    </row>
    <row r="573" spans="1:11">
      <c r="A573" t="s">
        <v>172</v>
      </c>
      <c r="B573" t="s">
        <v>35</v>
      </c>
      <c r="C573" t="s">
        <v>36</v>
      </c>
      <c r="D573" t="s">
        <v>41</v>
      </c>
      <c r="E573" t="s">
        <v>30</v>
      </c>
      <c r="F573" t="s">
        <v>38</v>
      </c>
      <c r="G573" t="s">
        <v>39</v>
      </c>
      <c r="H573">
        <v>30000</v>
      </c>
      <c r="I573">
        <v>1</v>
      </c>
      <c r="J573" t="s">
        <v>58</v>
      </c>
      <c r="K573">
        <f t="shared" si="8"/>
        <v>24000</v>
      </c>
    </row>
    <row r="574" spans="1:11">
      <c r="A574" t="s">
        <v>43</v>
      </c>
      <c r="B574" t="s">
        <v>35</v>
      </c>
      <c r="C574" t="s">
        <v>28</v>
      </c>
      <c r="D574" t="s">
        <v>29</v>
      </c>
      <c r="E574" t="s">
        <v>37</v>
      </c>
      <c r="F574" t="s">
        <v>54</v>
      </c>
      <c r="G574" t="s">
        <v>39</v>
      </c>
      <c r="H574">
        <v>180000</v>
      </c>
      <c r="I574">
        <v>5</v>
      </c>
      <c r="J574" t="s">
        <v>33</v>
      </c>
      <c r="K574">
        <f t="shared" si="8"/>
        <v>144000</v>
      </c>
    </row>
    <row r="575" spans="1:11">
      <c r="A575" t="s">
        <v>64</v>
      </c>
      <c r="B575" t="s">
        <v>27</v>
      </c>
      <c r="C575" t="s">
        <v>45</v>
      </c>
      <c r="D575" t="s">
        <v>41</v>
      </c>
      <c r="E575" t="s">
        <v>37</v>
      </c>
      <c r="F575" t="s">
        <v>62</v>
      </c>
      <c r="G575" t="s">
        <v>51</v>
      </c>
      <c r="H575">
        <v>150000</v>
      </c>
      <c r="I575">
        <v>9</v>
      </c>
      <c r="J575" t="s">
        <v>65</v>
      </c>
      <c r="K575">
        <f t="shared" si="8"/>
        <v>120000</v>
      </c>
    </row>
    <row r="576" spans="1:11">
      <c r="A576" t="s">
        <v>79</v>
      </c>
      <c r="B576" t="s">
        <v>44</v>
      </c>
      <c r="C576" t="s">
        <v>36</v>
      </c>
      <c r="D576" t="s">
        <v>41</v>
      </c>
      <c r="E576" t="s">
        <v>37</v>
      </c>
      <c r="F576" t="s">
        <v>62</v>
      </c>
      <c r="G576" t="s">
        <v>51</v>
      </c>
      <c r="H576">
        <v>150000</v>
      </c>
      <c r="I576">
        <v>5</v>
      </c>
      <c r="J576" t="s">
        <v>65</v>
      </c>
      <c r="K576">
        <f t="shared" si="8"/>
        <v>120000</v>
      </c>
    </row>
    <row r="577" spans="1:11">
      <c r="A577" t="s">
        <v>137</v>
      </c>
      <c r="B577" t="s">
        <v>44</v>
      </c>
      <c r="C577" t="s">
        <v>28</v>
      </c>
      <c r="D577" t="s">
        <v>29</v>
      </c>
      <c r="E577" t="s">
        <v>30</v>
      </c>
      <c r="F577" t="s">
        <v>73</v>
      </c>
      <c r="G577" t="s">
        <v>39</v>
      </c>
      <c r="H577">
        <v>220000</v>
      </c>
      <c r="I577">
        <v>4</v>
      </c>
      <c r="J577" t="s">
        <v>69</v>
      </c>
      <c r="K577">
        <f t="shared" si="8"/>
        <v>176000</v>
      </c>
    </row>
    <row r="578" spans="1:11">
      <c r="A578" t="s">
        <v>133</v>
      </c>
      <c r="B578" t="s">
        <v>27</v>
      </c>
      <c r="C578" t="s">
        <v>45</v>
      </c>
      <c r="D578" t="s">
        <v>29</v>
      </c>
      <c r="E578" t="s">
        <v>30</v>
      </c>
      <c r="F578" t="s">
        <v>56</v>
      </c>
      <c r="G578" t="s">
        <v>32</v>
      </c>
      <c r="H578">
        <v>320000</v>
      </c>
      <c r="I578">
        <v>4</v>
      </c>
      <c r="J578" t="s">
        <v>33</v>
      </c>
      <c r="K578">
        <f t="shared" ref="K578:K641" si="9">H578-H578*0.2</f>
        <v>256000</v>
      </c>
    </row>
    <row r="579" spans="1:11">
      <c r="A579" t="s">
        <v>103</v>
      </c>
      <c r="B579" t="s">
        <v>27</v>
      </c>
      <c r="C579" t="s">
        <v>53</v>
      </c>
      <c r="D579" t="s">
        <v>41</v>
      </c>
      <c r="E579" t="s">
        <v>37</v>
      </c>
      <c r="F579" t="s">
        <v>56</v>
      </c>
      <c r="G579" t="s">
        <v>32</v>
      </c>
      <c r="H579">
        <v>320000</v>
      </c>
      <c r="I579">
        <v>8</v>
      </c>
      <c r="J579" t="s">
        <v>33</v>
      </c>
      <c r="K579">
        <f t="shared" si="9"/>
        <v>256000</v>
      </c>
    </row>
    <row r="580" spans="1:11">
      <c r="A580" t="s">
        <v>167</v>
      </c>
      <c r="B580" t="s">
        <v>49</v>
      </c>
      <c r="C580" t="s">
        <v>53</v>
      </c>
      <c r="D580" t="s">
        <v>29</v>
      </c>
      <c r="E580" t="s">
        <v>30</v>
      </c>
      <c r="F580" t="s">
        <v>46</v>
      </c>
      <c r="G580" t="s">
        <v>39</v>
      </c>
      <c r="H580">
        <v>60000</v>
      </c>
      <c r="I580">
        <v>9</v>
      </c>
      <c r="J580" t="s">
        <v>33</v>
      </c>
      <c r="K580">
        <f t="shared" si="9"/>
        <v>48000</v>
      </c>
    </row>
    <row r="581" spans="1:11">
      <c r="A581" t="s">
        <v>103</v>
      </c>
      <c r="B581" t="s">
        <v>35</v>
      </c>
      <c r="C581" t="s">
        <v>36</v>
      </c>
      <c r="D581" t="s">
        <v>29</v>
      </c>
      <c r="E581" t="s">
        <v>37</v>
      </c>
      <c r="F581" t="s">
        <v>50</v>
      </c>
      <c r="G581" t="s">
        <v>51</v>
      </c>
      <c r="H581">
        <v>300000</v>
      </c>
      <c r="I581">
        <v>10</v>
      </c>
      <c r="J581" t="s">
        <v>33</v>
      </c>
      <c r="K581">
        <f t="shared" si="9"/>
        <v>240000</v>
      </c>
    </row>
    <row r="582" spans="1:11">
      <c r="A582" t="s">
        <v>172</v>
      </c>
      <c r="B582" t="s">
        <v>49</v>
      </c>
      <c r="C582" t="s">
        <v>36</v>
      </c>
      <c r="D582" t="s">
        <v>41</v>
      </c>
      <c r="E582" t="s">
        <v>30</v>
      </c>
      <c r="F582" t="s">
        <v>62</v>
      </c>
      <c r="G582" t="s">
        <v>51</v>
      </c>
      <c r="H582">
        <v>150000</v>
      </c>
      <c r="I582">
        <v>6</v>
      </c>
      <c r="J582" t="s">
        <v>58</v>
      </c>
      <c r="K582">
        <f t="shared" si="9"/>
        <v>120000</v>
      </c>
    </row>
    <row r="583" spans="1:11">
      <c r="A583" t="s">
        <v>76</v>
      </c>
      <c r="B583" t="s">
        <v>44</v>
      </c>
      <c r="C583" t="s">
        <v>45</v>
      </c>
      <c r="D583" t="s">
        <v>41</v>
      </c>
      <c r="E583" t="s">
        <v>30</v>
      </c>
      <c r="F583" t="s">
        <v>54</v>
      </c>
      <c r="G583" t="s">
        <v>39</v>
      </c>
      <c r="H583">
        <v>180000</v>
      </c>
      <c r="I583">
        <v>8</v>
      </c>
      <c r="J583" t="s">
        <v>65</v>
      </c>
      <c r="K583">
        <f t="shared" si="9"/>
        <v>144000</v>
      </c>
    </row>
    <row r="584" spans="1:11">
      <c r="A584" t="s">
        <v>174</v>
      </c>
      <c r="B584" t="s">
        <v>35</v>
      </c>
      <c r="C584" t="s">
        <v>28</v>
      </c>
      <c r="D584" t="s">
        <v>29</v>
      </c>
      <c r="E584" t="s">
        <v>30</v>
      </c>
      <c r="F584" t="s">
        <v>46</v>
      </c>
      <c r="G584" t="s">
        <v>39</v>
      </c>
      <c r="H584">
        <v>60000</v>
      </c>
      <c r="I584">
        <v>7</v>
      </c>
      <c r="J584" t="s">
        <v>69</v>
      </c>
      <c r="K584">
        <f t="shared" si="9"/>
        <v>48000</v>
      </c>
    </row>
    <row r="585" spans="1:11">
      <c r="A585" t="s">
        <v>82</v>
      </c>
      <c r="B585" t="s">
        <v>35</v>
      </c>
      <c r="C585" t="s">
        <v>36</v>
      </c>
      <c r="D585" t="s">
        <v>29</v>
      </c>
      <c r="E585" t="s">
        <v>37</v>
      </c>
      <c r="F585" t="s">
        <v>62</v>
      </c>
      <c r="G585" t="s">
        <v>51</v>
      </c>
      <c r="H585">
        <v>150000</v>
      </c>
      <c r="I585">
        <v>9</v>
      </c>
      <c r="J585" t="s">
        <v>33</v>
      </c>
      <c r="K585">
        <f t="shared" si="9"/>
        <v>120000</v>
      </c>
    </row>
    <row r="586" spans="1:11">
      <c r="A586" t="s">
        <v>162</v>
      </c>
      <c r="B586" t="s">
        <v>35</v>
      </c>
      <c r="C586" t="s">
        <v>36</v>
      </c>
      <c r="D586" t="s">
        <v>29</v>
      </c>
      <c r="E586" t="s">
        <v>37</v>
      </c>
      <c r="F586" t="s">
        <v>54</v>
      </c>
      <c r="G586" t="s">
        <v>39</v>
      </c>
      <c r="H586">
        <v>180000</v>
      </c>
      <c r="I586">
        <v>4</v>
      </c>
      <c r="J586" t="s">
        <v>58</v>
      </c>
      <c r="K586">
        <f t="shared" si="9"/>
        <v>144000</v>
      </c>
    </row>
    <row r="587" spans="1:11">
      <c r="A587" t="s">
        <v>100</v>
      </c>
      <c r="B587" t="s">
        <v>27</v>
      </c>
      <c r="C587" t="s">
        <v>53</v>
      </c>
      <c r="D587" t="s">
        <v>29</v>
      </c>
      <c r="E587" t="s">
        <v>37</v>
      </c>
      <c r="F587" t="s">
        <v>54</v>
      </c>
      <c r="G587" t="s">
        <v>39</v>
      </c>
      <c r="H587">
        <v>180000</v>
      </c>
      <c r="I587">
        <v>1</v>
      </c>
      <c r="J587" t="s">
        <v>65</v>
      </c>
      <c r="K587">
        <f t="shared" si="9"/>
        <v>144000</v>
      </c>
    </row>
    <row r="588" spans="1:11">
      <c r="A588" t="s">
        <v>142</v>
      </c>
      <c r="B588" t="s">
        <v>27</v>
      </c>
      <c r="C588" t="s">
        <v>28</v>
      </c>
      <c r="D588" t="s">
        <v>29</v>
      </c>
      <c r="E588" t="s">
        <v>30</v>
      </c>
      <c r="F588" t="s">
        <v>46</v>
      </c>
      <c r="G588" t="s">
        <v>39</v>
      </c>
      <c r="H588">
        <v>60000</v>
      </c>
      <c r="I588">
        <v>6</v>
      </c>
      <c r="J588" t="s">
        <v>65</v>
      </c>
      <c r="K588">
        <f t="shared" si="9"/>
        <v>48000</v>
      </c>
    </row>
    <row r="589" spans="1:11">
      <c r="A589" t="s">
        <v>72</v>
      </c>
      <c r="B589" t="s">
        <v>35</v>
      </c>
      <c r="C589" t="s">
        <v>45</v>
      </c>
      <c r="D589" t="s">
        <v>41</v>
      </c>
      <c r="E589" t="s">
        <v>37</v>
      </c>
      <c r="F589" t="s">
        <v>56</v>
      </c>
      <c r="G589" t="s">
        <v>32</v>
      </c>
      <c r="H589">
        <v>320000</v>
      </c>
      <c r="I589">
        <v>8</v>
      </c>
      <c r="J589" t="s">
        <v>58</v>
      </c>
      <c r="K589">
        <f t="shared" si="9"/>
        <v>256000</v>
      </c>
    </row>
    <row r="590" spans="1:11">
      <c r="A590" t="s">
        <v>101</v>
      </c>
      <c r="B590" t="s">
        <v>35</v>
      </c>
      <c r="C590" t="s">
        <v>45</v>
      </c>
      <c r="D590" t="s">
        <v>29</v>
      </c>
      <c r="E590" t="s">
        <v>30</v>
      </c>
      <c r="F590" t="s">
        <v>54</v>
      </c>
      <c r="G590" t="s">
        <v>39</v>
      </c>
      <c r="H590">
        <v>180000</v>
      </c>
      <c r="I590">
        <v>6</v>
      </c>
      <c r="J590" t="s">
        <v>65</v>
      </c>
      <c r="K590">
        <f t="shared" si="9"/>
        <v>144000</v>
      </c>
    </row>
    <row r="591" spans="1:11">
      <c r="A591" t="s">
        <v>151</v>
      </c>
      <c r="B591" t="s">
        <v>44</v>
      </c>
      <c r="C591" t="s">
        <v>36</v>
      </c>
      <c r="D591" t="s">
        <v>41</v>
      </c>
      <c r="E591" t="s">
        <v>30</v>
      </c>
      <c r="F591" t="s">
        <v>46</v>
      </c>
      <c r="G591" t="s">
        <v>39</v>
      </c>
      <c r="H591">
        <v>60000</v>
      </c>
      <c r="I591">
        <v>8</v>
      </c>
      <c r="J591" t="s">
        <v>42</v>
      </c>
      <c r="K591">
        <f t="shared" si="9"/>
        <v>48000</v>
      </c>
    </row>
    <row r="592" spans="1:11">
      <c r="A592" t="s">
        <v>114</v>
      </c>
      <c r="B592" t="s">
        <v>35</v>
      </c>
      <c r="C592" t="s">
        <v>36</v>
      </c>
      <c r="D592" t="s">
        <v>41</v>
      </c>
      <c r="E592" t="s">
        <v>30</v>
      </c>
      <c r="F592" t="s">
        <v>67</v>
      </c>
      <c r="G592" t="s">
        <v>51</v>
      </c>
      <c r="H592">
        <v>420000</v>
      </c>
      <c r="I592">
        <v>3</v>
      </c>
      <c r="J592" t="s">
        <v>33</v>
      </c>
      <c r="K592">
        <f t="shared" si="9"/>
        <v>336000</v>
      </c>
    </row>
    <row r="593" spans="1:11">
      <c r="A593" t="s">
        <v>166</v>
      </c>
      <c r="B593" t="s">
        <v>44</v>
      </c>
      <c r="C593" t="s">
        <v>45</v>
      </c>
      <c r="D593" t="s">
        <v>41</v>
      </c>
      <c r="E593" t="s">
        <v>30</v>
      </c>
      <c r="F593" t="s">
        <v>73</v>
      </c>
      <c r="G593" t="s">
        <v>39</v>
      </c>
      <c r="H593">
        <v>220000</v>
      </c>
      <c r="I593">
        <v>5</v>
      </c>
      <c r="J593" t="s">
        <v>42</v>
      </c>
      <c r="K593">
        <f t="shared" si="9"/>
        <v>176000</v>
      </c>
    </row>
    <row r="594" spans="1:11">
      <c r="A594" t="s">
        <v>105</v>
      </c>
      <c r="B594" t="s">
        <v>27</v>
      </c>
      <c r="C594" t="s">
        <v>53</v>
      </c>
      <c r="D594" t="s">
        <v>29</v>
      </c>
      <c r="E594" t="s">
        <v>30</v>
      </c>
      <c r="F594" t="s">
        <v>46</v>
      </c>
      <c r="G594" t="s">
        <v>39</v>
      </c>
      <c r="H594">
        <v>60000</v>
      </c>
      <c r="I594">
        <v>6</v>
      </c>
      <c r="J594" t="s">
        <v>33</v>
      </c>
      <c r="K594">
        <f t="shared" si="9"/>
        <v>48000</v>
      </c>
    </row>
    <row r="595" spans="1:11">
      <c r="A595" t="s">
        <v>143</v>
      </c>
      <c r="B595" t="s">
        <v>27</v>
      </c>
      <c r="C595" t="s">
        <v>53</v>
      </c>
      <c r="D595" t="s">
        <v>29</v>
      </c>
      <c r="E595" t="s">
        <v>37</v>
      </c>
      <c r="F595" t="s">
        <v>46</v>
      </c>
      <c r="G595" t="s">
        <v>39</v>
      </c>
      <c r="H595">
        <v>60000</v>
      </c>
      <c r="I595">
        <v>8</v>
      </c>
      <c r="J595" t="s">
        <v>69</v>
      </c>
      <c r="K595">
        <f t="shared" si="9"/>
        <v>48000</v>
      </c>
    </row>
    <row r="596" spans="1:11">
      <c r="A596" t="s">
        <v>84</v>
      </c>
      <c r="B596" t="s">
        <v>27</v>
      </c>
      <c r="C596" t="s">
        <v>36</v>
      </c>
      <c r="D596" t="s">
        <v>41</v>
      </c>
      <c r="E596" t="s">
        <v>30</v>
      </c>
      <c r="F596" t="s">
        <v>38</v>
      </c>
      <c r="G596" t="s">
        <v>39</v>
      </c>
      <c r="H596">
        <v>30000</v>
      </c>
      <c r="I596">
        <v>2</v>
      </c>
      <c r="J596" t="s">
        <v>33</v>
      </c>
      <c r="K596">
        <f t="shared" si="9"/>
        <v>24000</v>
      </c>
    </row>
    <row r="597" spans="1:11">
      <c r="A597" t="s">
        <v>82</v>
      </c>
      <c r="B597" t="s">
        <v>35</v>
      </c>
      <c r="C597" t="s">
        <v>28</v>
      </c>
      <c r="D597" t="s">
        <v>41</v>
      </c>
      <c r="E597" t="s">
        <v>37</v>
      </c>
      <c r="F597" t="s">
        <v>50</v>
      </c>
      <c r="G597" t="s">
        <v>51</v>
      </c>
      <c r="H597">
        <v>300000</v>
      </c>
      <c r="I597">
        <v>3</v>
      </c>
      <c r="J597" t="s">
        <v>58</v>
      </c>
      <c r="K597">
        <f t="shared" si="9"/>
        <v>240000</v>
      </c>
    </row>
    <row r="598" spans="1:11">
      <c r="A598" t="s">
        <v>98</v>
      </c>
      <c r="B598" t="s">
        <v>49</v>
      </c>
      <c r="C598" t="s">
        <v>36</v>
      </c>
      <c r="D598" t="s">
        <v>41</v>
      </c>
      <c r="E598" t="s">
        <v>37</v>
      </c>
      <c r="F598" t="s">
        <v>71</v>
      </c>
      <c r="G598" t="s">
        <v>51</v>
      </c>
      <c r="H598">
        <v>250000</v>
      </c>
      <c r="I598">
        <v>3</v>
      </c>
      <c r="J598" t="s">
        <v>42</v>
      </c>
      <c r="K598">
        <f t="shared" si="9"/>
        <v>200000</v>
      </c>
    </row>
    <row r="599" spans="1:11">
      <c r="A599" t="s">
        <v>113</v>
      </c>
      <c r="B599" t="s">
        <v>49</v>
      </c>
      <c r="C599" t="s">
        <v>36</v>
      </c>
      <c r="D599" t="s">
        <v>41</v>
      </c>
      <c r="E599" t="s">
        <v>37</v>
      </c>
      <c r="F599" t="s">
        <v>67</v>
      </c>
      <c r="G599" t="s">
        <v>51</v>
      </c>
      <c r="H599">
        <v>420000</v>
      </c>
      <c r="I599">
        <v>1</v>
      </c>
      <c r="J599" t="s">
        <v>42</v>
      </c>
      <c r="K599">
        <f t="shared" si="9"/>
        <v>336000</v>
      </c>
    </row>
    <row r="600" spans="1:11">
      <c r="A600" t="s">
        <v>99</v>
      </c>
      <c r="B600" t="s">
        <v>44</v>
      </c>
      <c r="C600" t="s">
        <v>28</v>
      </c>
      <c r="D600" t="s">
        <v>41</v>
      </c>
      <c r="E600" t="s">
        <v>37</v>
      </c>
      <c r="F600" t="s">
        <v>38</v>
      </c>
      <c r="G600" t="s">
        <v>39</v>
      </c>
      <c r="H600">
        <v>30000</v>
      </c>
      <c r="I600">
        <v>1</v>
      </c>
      <c r="J600" t="s">
        <v>58</v>
      </c>
      <c r="K600">
        <f t="shared" si="9"/>
        <v>24000</v>
      </c>
    </row>
    <row r="601" spans="1:11">
      <c r="A601" t="s">
        <v>146</v>
      </c>
      <c r="B601" t="s">
        <v>44</v>
      </c>
      <c r="C601" t="s">
        <v>45</v>
      </c>
      <c r="D601" t="s">
        <v>29</v>
      </c>
      <c r="E601" t="s">
        <v>30</v>
      </c>
      <c r="F601" t="s">
        <v>38</v>
      </c>
      <c r="G601" t="s">
        <v>39</v>
      </c>
      <c r="H601">
        <v>30000</v>
      </c>
      <c r="I601">
        <v>8</v>
      </c>
      <c r="J601" t="s">
        <v>65</v>
      </c>
      <c r="K601">
        <f t="shared" si="9"/>
        <v>24000</v>
      </c>
    </row>
    <row r="602" spans="1:11">
      <c r="A602" t="s">
        <v>157</v>
      </c>
      <c r="B602" t="s">
        <v>49</v>
      </c>
      <c r="C602" t="s">
        <v>28</v>
      </c>
      <c r="D602" t="s">
        <v>41</v>
      </c>
      <c r="E602" t="s">
        <v>30</v>
      </c>
      <c r="F602" t="s">
        <v>71</v>
      </c>
      <c r="G602" t="s">
        <v>51</v>
      </c>
      <c r="H602">
        <v>250000</v>
      </c>
      <c r="I602">
        <v>10</v>
      </c>
      <c r="J602" t="s">
        <v>65</v>
      </c>
      <c r="K602">
        <f t="shared" si="9"/>
        <v>200000</v>
      </c>
    </row>
    <row r="603" spans="1:11">
      <c r="A603" t="s">
        <v>113</v>
      </c>
      <c r="B603" t="s">
        <v>49</v>
      </c>
      <c r="C603" t="s">
        <v>45</v>
      </c>
      <c r="D603" t="s">
        <v>41</v>
      </c>
      <c r="E603" t="s">
        <v>37</v>
      </c>
      <c r="F603" t="s">
        <v>62</v>
      </c>
      <c r="G603" t="s">
        <v>51</v>
      </c>
      <c r="H603">
        <v>150000</v>
      </c>
      <c r="I603">
        <v>10</v>
      </c>
      <c r="J603" t="s">
        <v>42</v>
      </c>
      <c r="K603">
        <f t="shared" si="9"/>
        <v>120000</v>
      </c>
    </row>
    <row r="604" spans="1:11">
      <c r="A604" t="s">
        <v>135</v>
      </c>
      <c r="B604" t="s">
        <v>35</v>
      </c>
      <c r="C604" t="s">
        <v>53</v>
      </c>
      <c r="D604" t="s">
        <v>29</v>
      </c>
      <c r="E604" t="s">
        <v>37</v>
      </c>
      <c r="F604" t="s">
        <v>71</v>
      </c>
      <c r="G604" t="s">
        <v>51</v>
      </c>
      <c r="H604">
        <v>250000</v>
      </c>
      <c r="I604">
        <v>8</v>
      </c>
      <c r="J604" t="s">
        <v>33</v>
      </c>
      <c r="K604">
        <f t="shared" si="9"/>
        <v>200000</v>
      </c>
    </row>
    <row r="605" spans="1:11">
      <c r="A605" t="s">
        <v>64</v>
      </c>
      <c r="B605" t="s">
        <v>49</v>
      </c>
      <c r="C605" t="s">
        <v>45</v>
      </c>
      <c r="D605" t="s">
        <v>29</v>
      </c>
      <c r="E605" t="s">
        <v>37</v>
      </c>
      <c r="F605" t="s">
        <v>71</v>
      </c>
      <c r="G605" t="s">
        <v>51</v>
      </c>
      <c r="H605">
        <v>250000</v>
      </c>
      <c r="I605">
        <v>9</v>
      </c>
      <c r="J605" t="s">
        <v>69</v>
      </c>
      <c r="K605">
        <f t="shared" si="9"/>
        <v>200000</v>
      </c>
    </row>
    <row r="606" spans="1:11">
      <c r="A606" t="s">
        <v>78</v>
      </c>
      <c r="B606" t="s">
        <v>49</v>
      </c>
      <c r="C606" t="s">
        <v>53</v>
      </c>
      <c r="D606" t="s">
        <v>29</v>
      </c>
      <c r="E606" t="s">
        <v>37</v>
      </c>
      <c r="F606" t="s">
        <v>67</v>
      </c>
      <c r="G606" t="s">
        <v>51</v>
      </c>
      <c r="H606">
        <v>420000</v>
      </c>
      <c r="I606">
        <v>10</v>
      </c>
      <c r="J606" t="s">
        <v>47</v>
      </c>
      <c r="K606">
        <f t="shared" si="9"/>
        <v>336000</v>
      </c>
    </row>
    <row r="607" spans="1:11">
      <c r="A607" t="s">
        <v>124</v>
      </c>
      <c r="B607" t="s">
        <v>27</v>
      </c>
      <c r="C607" t="s">
        <v>36</v>
      </c>
      <c r="D607" t="s">
        <v>41</v>
      </c>
      <c r="E607" t="s">
        <v>30</v>
      </c>
      <c r="F607" t="s">
        <v>31</v>
      </c>
      <c r="G607" t="s">
        <v>32</v>
      </c>
      <c r="H607">
        <v>85000</v>
      </c>
      <c r="I607">
        <v>4</v>
      </c>
      <c r="J607" t="s">
        <v>42</v>
      </c>
      <c r="K607">
        <f t="shared" si="9"/>
        <v>68000</v>
      </c>
    </row>
    <row r="608" spans="1:11">
      <c r="A608" t="s">
        <v>166</v>
      </c>
      <c r="B608" t="s">
        <v>35</v>
      </c>
      <c r="C608" t="s">
        <v>36</v>
      </c>
      <c r="D608" t="s">
        <v>29</v>
      </c>
      <c r="E608" t="s">
        <v>30</v>
      </c>
      <c r="F608" t="s">
        <v>54</v>
      </c>
      <c r="G608" t="s">
        <v>39</v>
      </c>
      <c r="H608">
        <v>180000</v>
      </c>
      <c r="I608">
        <v>1</v>
      </c>
      <c r="J608" t="s">
        <v>69</v>
      </c>
      <c r="K608">
        <f t="shared" si="9"/>
        <v>144000</v>
      </c>
    </row>
    <row r="609" spans="1:11">
      <c r="A609" t="s">
        <v>170</v>
      </c>
      <c r="B609" t="s">
        <v>44</v>
      </c>
      <c r="C609" t="s">
        <v>36</v>
      </c>
      <c r="D609" t="s">
        <v>29</v>
      </c>
      <c r="E609" t="s">
        <v>37</v>
      </c>
      <c r="F609" t="s">
        <v>54</v>
      </c>
      <c r="G609" t="s">
        <v>39</v>
      </c>
      <c r="H609">
        <v>180000</v>
      </c>
      <c r="I609">
        <v>9</v>
      </c>
      <c r="J609" t="s">
        <v>58</v>
      </c>
      <c r="K609">
        <f t="shared" si="9"/>
        <v>144000</v>
      </c>
    </row>
    <row r="610" spans="1:11">
      <c r="A610" t="s">
        <v>169</v>
      </c>
      <c r="B610" t="s">
        <v>35</v>
      </c>
      <c r="C610" t="s">
        <v>45</v>
      </c>
      <c r="D610" t="s">
        <v>41</v>
      </c>
      <c r="E610" t="s">
        <v>37</v>
      </c>
      <c r="F610" t="s">
        <v>62</v>
      </c>
      <c r="G610" t="s">
        <v>51</v>
      </c>
      <c r="H610">
        <v>150000</v>
      </c>
      <c r="I610">
        <v>10</v>
      </c>
      <c r="J610" t="s">
        <v>47</v>
      </c>
      <c r="K610">
        <f t="shared" si="9"/>
        <v>120000</v>
      </c>
    </row>
    <row r="611" spans="1:11">
      <c r="A611" t="s">
        <v>157</v>
      </c>
      <c r="B611" t="s">
        <v>35</v>
      </c>
      <c r="C611" t="s">
        <v>53</v>
      </c>
      <c r="D611" t="s">
        <v>41</v>
      </c>
      <c r="E611" t="s">
        <v>37</v>
      </c>
      <c r="F611" t="s">
        <v>50</v>
      </c>
      <c r="G611" t="s">
        <v>51</v>
      </c>
      <c r="H611">
        <v>300000</v>
      </c>
      <c r="I611">
        <v>1</v>
      </c>
      <c r="J611" t="s">
        <v>47</v>
      </c>
      <c r="K611">
        <f t="shared" si="9"/>
        <v>240000</v>
      </c>
    </row>
    <row r="612" spans="1:11">
      <c r="A612" t="s">
        <v>143</v>
      </c>
      <c r="B612" t="s">
        <v>44</v>
      </c>
      <c r="C612" t="s">
        <v>53</v>
      </c>
      <c r="D612" t="s">
        <v>29</v>
      </c>
      <c r="E612" t="s">
        <v>30</v>
      </c>
      <c r="F612" t="s">
        <v>62</v>
      </c>
      <c r="G612" t="s">
        <v>51</v>
      </c>
      <c r="H612">
        <v>150000</v>
      </c>
      <c r="I612">
        <v>8</v>
      </c>
      <c r="J612" t="s">
        <v>33</v>
      </c>
      <c r="K612">
        <f t="shared" si="9"/>
        <v>120000</v>
      </c>
    </row>
    <row r="613" spans="1:11">
      <c r="A613" t="s">
        <v>59</v>
      </c>
      <c r="B613" t="s">
        <v>27</v>
      </c>
      <c r="C613" t="s">
        <v>53</v>
      </c>
      <c r="D613" t="s">
        <v>29</v>
      </c>
      <c r="E613" t="s">
        <v>37</v>
      </c>
      <c r="F613" t="s">
        <v>62</v>
      </c>
      <c r="G613" t="s">
        <v>51</v>
      </c>
      <c r="H613">
        <v>150000</v>
      </c>
      <c r="I613">
        <v>3</v>
      </c>
      <c r="J613" t="s">
        <v>58</v>
      </c>
      <c r="K613">
        <f t="shared" si="9"/>
        <v>120000</v>
      </c>
    </row>
    <row r="614" spans="1:11">
      <c r="A614" t="s">
        <v>131</v>
      </c>
      <c r="B614" t="s">
        <v>49</v>
      </c>
      <c r="C614" t="s">
        <v>53</v>
      </c>
      <c r="D614" t="s">
        <v>29</v>
      </c>
      <c r="E614" t="s">
        <v>37</v>
      </c>
      <c r="F614" t="s">
        <v>56</v>
      </c>
      <c r="G614" t="s">
        <v>32</v>
      </c>
      <c r="H614">
        <v>320000</v>
      </c>
      <c r="I614">
        <v>3</v>
      </c>
      <c r="J614" t="s">
        <v>33</v>
      </c>
      <c r="K614">
        <f t="shared" si="9"/>
        <v>256000</v>
      </c>
    </row>
    <row r="615" spans="1:11">
      <c r="A615" t="s">
        <v>106</v>
      </c>
      <c r="B615" t="s">
        <v>44</v>
      </c>
      <c r="C615" t="s">
        <v>45</v>
      </c>
      <c r="D615" t="s">
        <v>29</v>
      </c>
      <c r="E615" t="s">
        <v>30</v>
      </c>
      <c r="F615" t="s">
        <v>54</v>
      </c>
      <c r="G615" t="s">
        <v>39</v>
      </c>
      <c r="H615">
        <v>180000</v>
      </c>
      <c r="I615">
        <v>8</v>
      </c>
      <c r="J615" t="s">
        <v>33</v>
      </c>
      <c r="K615">
        <f t="shared" si="9"/>
        <v>144000</v>
      </c>
    </row>
    <row r="616" spans="1:11">
      <c r="A616" t="s">
        <v>136</v>
      </c>
      <c r="B616" t="s">
        <v>44</v>
      </c>
      <c r="C616" t="s">
        <v>45</v>
      </c>
      <c r="D616" t="s">
        <v>29</v>
      </c>
      <c r="E616" t="s">
        <v>37</v>
      </c>
      <c r="F616" t="s">
        <v>54</v>
      </c>
      <c r="G616" t="s">
        <v>39</v>
      </c>
      <c r="H616">
        <v>180000</v>
      </c>
      <c r="I616">
        <v>1</v>
      </c>
      <c r="J616" t="s">
        <v>42</v>
      </c>
      <c r="K616">
        <f t="shared" si="9"/>
        <v>144000</v>
      </c>
    </row>
    <row r="617" spans="1:11">
      <c r="A617" t="s">
        <v>154</v>
      </c>
      <c r="B617" t="s">
        <v>27</v>
      </c>
      <c r="C617" t="s">
        <v>36</v>
      </c>
      <c r="D617" t="s">
        <v>29</v>
      </c>
      <c r="E617" t="s">
        <v>37</v>
      </c>
      <c r="F617" t="s">
        <v>46</v>
      </c>
      <c r="G617" t="s">
        <v>39</v>
      </c>
      <c r="H617">
        <v>60000</v>
      </c>
      <c r="I617">
        <v>7</v>
      </c>
      <c r="J617" t="s">
        <v>65</v>
      </c>
      <c r="K617">
        <f t="shared" si="9"/>
        <v>48000</v>
      </c>
    </row>
    <row r="618" spans="1:11">
      <c r="A618" t="s">
        <v>77</v>
      </c>
      <c r="B618" t="s">
        <v>35</v>
      </c>
      <c r="C618" t="s">
        <v>45</v>
      </c>
      <c r="D618" t="s">
        <v>41</v>
      </c>
      <c r="E618" t="s">
        <v>37</v>
      </c>
      <c r="F618" t="s">
        <v>56</v>
      </c>
      <c r="G618" t="s">
        <v>32</v>
      </c>
      <c r="H618">
        <v>320000</v>
      </c>
      <c r="I618">
        <v>7</v>
      </c>
      <c r="J618" t="s">
        <v>42</v>
      </c>
      <c r="K618">
        <f t="shared" si="9"/>
        <v>256000</v>
      </c>
    </row>
    <row r="619" spans="1:11">
      <c r="A619" t="s">
        <v>163</v>
      </c>
      <c r="B619" t="s">
        <v>44</v>
      </c>
      <c r="C619" t="s">
        <v>36</v>
      </c>
      <c r="D619" t="s">
        <v>41</v>
      </c>
      <c r="E619" t="s">
        <v>30</v>
      </c>
      <c r="F619" t="s">
        <v>31</v>
      </c>
      <c r="G619" t="s">
        <v>32</v>
      </c>
      <c r="H619">
        <v>85000</v>
      </c>
      <c r="I619">
        <v>9</v>
      </c>
      <c r="J619" t="s">
        <v>42</v>
      </c>
      <c r="K619">
        <f t="shared" si="9"/>
        <v>68000</v>
      </c>
    </row>
    <row r="620" spans="1:11">
      <c r="A620" t="s">
        <v>123</v>
      </c>
      <c r="B620" t="s">
        <v>27</v>
      </c>
      <c r="C620" t="s">
        <v>36</v>
      </c>
      <c r="D620" t="s">
        <v>29</v>
      </c>
      <c r="E620" t="s">
        <v>30</v>
      </c>
      <c r="F620" t="s">
        <v>56</v>
      </c>
      <c r="G620" t="s">
        <v>32</v>
      </c>
      <c r="H620">
        <v>320000</v>
      </c>
      <c r="I620">
        <v>3</v>
      </c>
      <c r="J620" t="s">
        <v>65</v>
      </c>
      <c r="K620">
        <f t="shared" si="9"/>
        <v>256000</v>
      </c>
    </row>
    <row r="621" spans="1:11">
      <c r="A621" t="s">
        <v>84</v>
      </c>
      <c r="B621" t="s">
        <v>44</v>
      </c>
      <c r="C621" t="s">
        <v>53</v>
      </c>
      <c r="D621" t="s">
        <v>29</v>
      </c>
      <c r="E621" t="s">
        <v>30</v>
      </c>
      <c r="F621" t="s">
        <v>73</v>
      </c>
      <c r="G621" t="s">
        <v>39</v>
      </c>
      <c r="H621">
        <v>220000</v>
      </c>
      <c r="I621">
        <v>4</v>
      </c>
      <c r="J621" t="s">
        <v>65</v>
      </c>
      <c r="K621">
        <f t="shared" si="9"/>
        <v>176000</v>
      </c>
    </row>
    <row r="622" spans="1:11">
      <c r="A622" t="s">
        <v>85</v>
      </c>
      <c r="B622" t="s">
        <v>35</v>
      </c>
      <c r="C622" t="s">
        <v>45</v>
      </c>
      <c r="D622" t="s">
        <v>41</v>
      </c>
      <c r="E622" t="s">
        <v>30</v>
      </c>
      <c r="F622" t="s">
        <v>56</v>
      </c>
      <c r="G622" t="s">
        <v>32</v>
      </c>
      <c r="H622">
        <v>320000</v>
      </c>
      <c r="I622">
        <v>7</v>
      </c>
      <c r="J622" t="s">
        <v>58</v>
      </c>
      <c r="K622">
        <f t="shared" si="9"/>
        <v>256000</v>
      </c>
    </row>
    <row r="623" spans="1:11">
      <c r="A623" t="s">
        <v>163</v>
      </c>
      <c r="B623" t="s">
        <v>35</v>
      </c>
      <c r="C623" t="s">
        <v>28</v>
      </c>
      <c r="D623" t="s">
        <v>41</v>
      </c>
      <c r="E623" t="s">
        <v>30</v>
      </c>
      <c r="F623" t="s">
        <v>71</v>
      </c>
      <c r="G623" t="s">
        <v>51</v>
      </c>
      <c r="H623">
        <v>250000</v>
      </c>
      <c r="I623">
        <v>1</v>
      </c>
      <c r="J623" t="s">
        <v>47</v>
      </c>
      <c r="K623">
        <f t="shared" si="9"/>
        <v>200000</v>
      </c>
    </row>
    <row r="624" spans="1:11">
      <c r="A624" t="s">
        <v>63</v>
      </c>
      <c r="B624" t="s">
        <v>35</v>
      </c>
      <c r="C624" t="s">
        <v>45</v>
      </c>
      <c r="D624" t="s">
        <v>29</v>
      </c>
      <c r="E624" t="s">
        <v>37</v>
      </c>
      <c r="F624" t="s">
        <v>38</v>
      </c>
      <c r="G624" t="s">
        <v>39</v>
      </c>
      <c r="H624">
        <v>30000</v>
      </c>
      <c r="I624">
        <v>5</v>
      </c>
      <c r="J624" t="s">
        <v>47</v>
      </c>
      <c r="K624">
        <f t="shared" si="9"/>
        <v>24000</v>
      </c>
    </row>
    <row r="625" spans="1:11">
      <c r="A625" t="s">
        <v>171</v>
      </c>
      <c r="B625" t="s">
        <v>44</v>
      </c>
      <c r="C625" t="s">
        <v>45</v>
      </c>
      <c r="D625" t="s">
        <v>41</v>
      </c>
      <c r="E625" t="s">
        <v>30</v>
      </c>
      <c r="F625" t="s">
        <v>73</v>
      </c>
      <c r="G625" t="s">
        <v>39</v>
      </c>
      <c r="H625">
        <v>220000</v>
      </c>
      <c r="I625">
        <v>5</v>
      </c>
      <c r="J625" t="s">
        <v>42</v>
      </c>
      <c r="K625">
        <f t="shared" si="9"/>
        <v>176000</v>
      </c>
    </row>
    <row r="626" spans="1:11">
      <c r="A626" t="s">
        <v>129</v>
      </c>
      <c r="B626" t="s">
        <v>49</v>
      </c>
      <c r="C626" t="s">
        <v>45</v>
      </c>
      <c r="D626" t="s">
        <v>41</v>
      </c>
      <c r="E626" t="s">
        <v>37</v>
      </c>
      <c r="F626" t="s">
        <v>71</v>
      </c>
      <c r="G626" t="s">
        <v>51</v>
      </c>
      <c r="H626">
        <v>250000</v>
      </c>
      <c r="I626">
        <v>4</v>
      </c>
      <c r="J626" t="s">
        <v>58</v>
      </c>
      <c r="K626">
        <f t="shared" si="9"/>
        <v>200000</v>
      </c>
    </row>
    <row r="627" spans="1:11">
      <c r="A627" t="s">
        <v>175</v>
      </c>
      <c r="B627" t="s">
        <v>49</v>
      </c>
      <c r="C627" t="s">
        <v>28</v>
      </c>
      <c r="D627" t="s">
        <v>29</v>
      </c>
      <c r="E627" t="s">
        <v>37</v>
      </c>
      <c r="F627" t="s">
        <v>54</v>
      </c>
      <c r="G627" t="s">
        <v>39</v>
      </c>
      <c r="H627">
        <v>180000</v>
      </c>
      <c r="I627">
        <v>4</v>
      </c>
      <c r="J627" t="s">
        <v>33</v>
      </c>
      <c r="K627">
        <f t="shared" si="9"/>
        <v>144000</v>
      </c>
    </row>
    <row r="628" spans="1:11">
      <c r="A628" t="s">
        <v>165</v>
      </c>
      <c r="B628" t="s">
        <v>44</v>
      </c>
      <c r="C628" t="s">
        <v>28</v>
      </c>
      <c r="D628" t="s">
        <v>41</v>
      </c>
      <c r="E628" t="s">
        <v>37</v>
      </c>
      <c r="F628" t="s">
        <v>46</v>
      </c>
      <c r="G628" t="s">
        <v>39</v>
      </c>
      <c r="H628">
        <v>60000</v>
      </c>
      <c r="I628">
        <v>10</v>
      </c>
      <c r="J628" t="s">
        <v>42</v>
      </c>
      <c r="K628">
        <f t="shared" si="9"/>
        <v>48000</v>
      </c>
    </row>
    <row r="629" spans="1:11">
      <c r="A629" t="s">
        <v>107</v>
      </c>
      <c r="B629" t="s">
        <v>35</v>
      </c>
      <c r="C629" t="s">
        <v>45</v>
      </c>
      <c r="D629" t="s">
        <v>29</v>
      </c>
      <c r="E629" t="s">
        <v>30</v>
      </c>
      <c r="F629" t="s">
        <v>56</v>
      </c>
      <c r="G629" t="s">
        <v>32</v>
      </c>
      <c r="H629">
        <v>320000</v>
      </c>
      <c r="I629">
        <v>10</v>
      </c>
      <c r="J629" t="s">
        <v>33</v>
      </c>
      <c r="K629">
        <f t="shared" si="9"/>
        <v>256000</v>
      </c>
    </row>
    <row r="630" spans="1:11">
      <c r="A630" t="s">
        <v>127</v>
      </c>
      <c r="B630" t="s">
        <v>35</v>
      </c>
      <c r="C630" t="s">
        <v>45</v>
      </c>
      <c r="D630" t="s">
        <v>29</v>
      </c>
      <c r="E630" t="s">
        <v>37</v>
      </c>
      <c r="F630" t="s">
        <v>62</v>
      </c>
      <c r="G630" t="s">
        <v>51</v>
      </c>
      <c r="H630">
        <v>150000</v>
      </c>
      <c r="I630">
        <v>4</v>
      </c>
      <c r="J630" t="s">
        <v>47</v>
      </c>
      <c r="K630">
        <f t="shared" si="9"/>
        <v>120000</v>
      </c>
    </row>
    <row r="631" spans="1:11">
      <c r="A631" t="s">
        <v>154</v>
      </c>
      <c r="B631" t="s">
        <v>27</v>
      </c>
      <c r="C631" t="s">
        <v>28</v>
      </c>
      <c r="D631" t="s">
        <v>41</v>
      </c>
      <c r="E631" t="s">
        <v>37</v>
      </c>
      <c r="F631" t="s">
        <v>56</v>
      </c>
      <c r="G631" t="s">
        <v>32</v>
      </c>
      <c r="H631">
        <v>320000</v>
      </c>
      <c r="I631">
        <v>4</v>
      </c>
      <c r="J631" t="s">
        <v>33</v>
      </c>
      <c r="K631">
        <f t="shared" si="9"/>
        <v>256000</v>
      </c>
    </row>
    <row r="632" spans="1:11">
      <c r="A632" t="s">
        <v>119</v>
      </c>
      <c r="B632" t="s">
        <v>44</v>
      </c>
      <c r="C632" t="s">
        <v>36</v>
      </c>
      <c r="D632" t="s">
        <v>41</v>
      </c>
      <c r="E632" t="s">
        <v>30</v>
      </c>
      <c r="F632" t="s">
        <v>50</v>
      </c>
      <c r="G632" t="s">
        <v>51</v>
      </c>
      <c r="H632">
        <v>300000</v>
      </c>
      <c r="I632">
        <v>7</v>
      </c>
      <c r="J632" t="s">
        <v>65</v>
      </c>
      <c r="K632">
        <f t="shared" si="9"/>
        <v>240000</v>
      </c>
    </row>
    <row r="633" spans="1:11">
      <c r="A633" t="s">
        <v>85</v>
      </c>
      <c r="B633" t="s">
        <v>49</v>
      </c>
      <c r="C633" t="s">
        <v>28</v>
      </c>
      <c r="D633" t="s">
        <v>41</v>
      </c>
      <c r="E633" t="s">
        <v>37</v>
      </c>
      <c r="F633" t="s">
        <v>62</v>
      </c>
      <c r="G633" t="s">
        <v>51</v>
      </c>
      <c r="H633">
        <v>150000</v>
      </c>
      <c r="I633">
        <v>10</v>
      </c>
      <c r="J633" t="s">
        <v>33</v>
      </c>
      <c r="K633">
        <f t="shared" si="9"/>
        <v>120000</v>
      </c>
    </row>
    <row r="634" spans="1:11">
      <c r="A634" t="s">
        <v>59</v>
      </c>
      <c r="B634" t="s">
        <v>44</v>
      </c>
      <c r="C634" t="s">
        <v>36</v>
      </c>
      <c r="D634" t="s">
        <v>41</v>
      </c>
      <c r="E634" t="s">
        <v>30</v>
      </c>
      <c r="F634" t="s">
        <v>73</v>
      </c>
      <c r="G634" t="s">
        <v>39</v>
      </c>
      <c r="H634">
        <v>220000</v>
      </c>
      <c r="I634">
        <v>9</v>
      </c>
      <c r="J634" t="s">
        <v>33</v>
      </c>
      <c r="K634">
        <f t="shared" si="9"/>
        <v>176000</v>
      </c>
    </row>
    <row r="635" spans="1:11">
      <c r="A635" t="s">
        <v>86</v>
      </c>
      <c r="B635" t="s">
        <v>27</v>
      </c>
      <c r="C635" t="s">
        <v>53</v>
      </c>
      <c r="D635" t="s">
        <v>41</v>
      </c>
      <c r="E635" t="s">
        <v>37</v>
      </c>
      <c r="F635" t="s">
        <v>31</v>
      </c>
      <c r="G635" t="s">
        <v>32</v>
      </c>
      <c r="H635">
        <v>85000</v>
      </c>
      <c r="I635">
        <v>4</v>
      </c>
      <c r="J635" t="s">
        <v>47</v>
      </c>
      <c r="K635">
        <f t="shared" si="9"/>
        <v>68000</v>
      </c>
    </row>
    <row r="636" spans="1:11">
      <c r="A636" t="s">
        <v>117</v>
      </c>
      <c r="B636" t="s">
        <v>44</v>
      </c>
      <c r="C636" t="s">
        <v>45</v>
      </c>
      <c r="D636" t="s">
        <v>41</v>
      </c>
      <c r="E636" t="s">
        <v>30</v>
      </c>
      <c r="F636" t="s">
        <v>56</v>
      </c>
      <c r="G636" t="s">
        <v>32</v>
      </c>
      <c r="H636">
        <v>320000</v>
      </c>
      <c r="I636">
        <v>1</v>
      </c>
      <c r="J636" t="s">
        <v>69</v>
      </c>
      <c r="K636">
        <f t="shared" si="9"/>
        <v>256000</v>
      </c>
    </row>
    <row r="637" spans="1:11">
      <c r="A637" t="s">
        <v>63</v>
      </c>
      <c r="B637" t="s">
        <v>35</v>
      </c>
      <c r="C637" t="s">
        <v>53</v>
      </c>
      <c r="D637" t="s">
        <v>41</v>
      </c>
      <c r="E637" t="s">
        <v>37</v>
      </c>
      <c r="F637" t="s">
        <v>67</v>
      </c>
      <c r="G637" t="s">
        <v>51</v>
      </c>
      <c r="H637">
        <v>420000</v>
      </c>
      <c r="I637">
        <v>1</v>
      </c>
      <c r="J637" t="s">
        <v>58</v>
      </c>
      <c r="K637">
        <f t="shared" si="9"/>
        <v>336000</v>
      </c>
    </row>
    <row r="638" spans="1:11">
      <c r="A638" t="s">
        <v>34</v>
      </c>
      <c r="B638" t="s">
        <v>44</v>
      </c>
      <c r="C638" t="s">
        <v>45</v>
      </c>
      <c r="D638" t="s">
        <v>41</v>
      </c>
      <c r="E638" t="s">
        <v>37</v>
      </c>
      <c r="F638" t="s">
        <v>67</v>
      </c>
      <c r="G638" t="s">
        <v>51</v>
      </c>
      <c r="H638">
        <v>420000</v>
      </c>
      <c r="I638">
        <v>6</v>
      </c>
      <c r="J638" t="s">
        <v>42</v>
      </c>
      <c r="K638">
        <f t="shared" si="9"/>
        <v>336000</v>
      </c>
    </row>
    <row r="639" spans="1:11">
      <c r="A639" t="s">
        <v>136</v>
      </c>
      <c r="B639" t="s">
        <v>49</v>
      </c>
      <c r="C639" t="s">
        <v>36</v>
      </c>
      <c r="D639" t="s">
        <v>41</v>
      </c>
      <c r="E639" t="s">
        <v>30</v>
      </c>
      <c r="F639" t="s">
        <v>46</v>
      </c>
      <c r="G639" t="s">
        <v>39</v>
      </c>
      <c r="H639">
        <v>60000</v>
      </c>
      <c r="I639">
        <v>8</v>
      </c>
      <c r="J639" t="s">
        <v>65</v>
      </c>
      <c r="K639">
        <f t="shared" si="9"/>
        <v>48000</v>
      </c>
    </row>
    <row r="640" spans="1:11">
      <c r="A640" t="s">
        <v>139</v>
      </c>
      <c r="B640" t="s">
        <v>35</v>
      </c>
      <c r="C640" t="s">
        <v>28</v>
      </c>
      <c r="D640" t="s">
        <v>41</v>
      </c>
      <c r="E640" t="s">
        <v>37</v>
      </c>
      <c r="F640" t="s">
        <v>73</v>
      </c>
      <c r="G640" t="s">
        <v>39</v>
      </c>
      <c r="H640">
        <v>220000</v>
      </c>
      <c r="I640">
        <v>7</v>
      </c>
      <c r="J640" t="s">
        <v>33</v>
      </c>
      <c r="K640">
        <f t="shared" si="9"/>
        <v>176000</v>
      </c>
    </row>
    <row r="641" spans="1:11">
      <c r="A641" t="s">
        <v>77</v>
      </c>
      <c r="B641" t="s">
        <v>44</v>
      </c>
      <c r="C641" t="s">
        <v>28</v>
      </c>
      <c r="D641" t="s">
        <v>41</v>
      </c>
      <c r="E641" t="s">
        <v>30</v>
      </c>
      <c r="F641" t="s">
        <v>56</v>
      </c>
      <c r="G641" t="s">
        <v>32</v>
      </c>
      <c r="H641">
        <v>320000</v>
      </c>
      <c r="I641">
        <v>9</v>
      </c>
      <c r="J641" t="s">
        <v>58</v>
      </c>
      <c r="K641">
        <f t="shared" si="9"/>
        <v>256000</v>
      </c>
    </row>
    <row r="642" spans="1:11">
      <c r="A642" t="s">
        <v>95</v>
      </c>
      <c r="B642" t="s">
        <v>27</v>
      </c>
      <c r="C642" t="s">
        <v>53</v>
      </c>
      <c r="D642" t="s">
        <v>41</v>
      </c>
      <c r="E642" t="s">
        <v>37</v>
      </c>
      <c r="F642" t="s">
        <v>50</v>
      </c>
      <c r="G642" t="s">
        <v>51</v>
      </c>
      <c r="H642">
        <v>300000</v>
      </c>
      <c r="I642">
        <v>2</v>
      </c>
      <c r="J642" t="s">
        <v>65</v>
      </c>
      <c r="K642">
        <f t="shared" ref="K642:K705" si="10">H642-H642*0.2</f>
        <v>240000</v>
      </c>
    </row>
    <row r="643" spans="1:11">
      <c r="A643" t="s">
        <v>64</v>
      </c>
      <c r="B643" t="s">
        <v>44</v>
      </c>
      <c r="C643" t="s">
        <v>28</v>
      </c>
      <c r="D643" t="s">
        <v>41</v>
      </c>
      <c r="E643" t="s">
        <v>30</v>
      </c>
      <c r="F643" t="s">
        <v>71</v>
      </c>
      <c r="G643" t="s">
        <v>51</v>
      </c>
      <c r="H643">
        <v>250000</v>
      </c>
      <c r="I643">
        <v>4</v>
      </c>
      <c r="J643" t="s">
        <v>65</v>
      </c>
      <c r="K643">
        <f t="shared" si="10"/>
        <v>200000</v>
      </c>
    </row>
    <row r="644" spans="1:11">
      <c r="A644" t="s">
        <v>86</v>
      </c>
      <c r="B644" t="s">
        <v>49</v>
      </c>
      <c r="C644" t="s">
        <v>36</v>
      </c>
      <c r="D644" t="s">
        <v>29</v>
      </c>
      <c r="E644" t="s">
        <v>30</v>
      </c>
      <c r="F644" t="s">
        <v>38</v>
      </c>
      <c r="G644" t="s">
        <v>39</v>
      </c>
      <c r="H644">
        <v>30000</v>
      </c>
      <c r="I644">
        <v>4</v>
      </c>
      <c r="J644" t="s">
        <v>65</v>
      </c>
      <c r="K644">
        <f t="shared" si="10"/>
        <v>24000</v>
      </c>
    </row>
    <row r="645" spans="1:11">
      <c r="A645" t="s">
        <v>159</v>
      </c>
      <c r="B645" t="s">
        <v>27</v>
      </c>
      <c r="C645" t="s">
        <v>36</v>
      </c>
      <c r="D645" t="s">
        <v>29</v>
      </c>
      <c r="E645" t="s">
        <v>37</v>
      </c>
      <c r="F645" t="s">
        <v>73</v>
      </c>
      <c r="G645" t="s">
        <v>39</v>
      </c>
      <c r="H645">
        <v>220000</v>
      </c>
      <c r="I645">
        <v>4</v>
      </c>
      <c r="J645" t="s">
        <v>33</v>
      </c>
      <c r="K645">
        <f t="shared" si="10"/>
        <v>176000</v>
      </c>
    </row>
    <row r="646" spans="1:11">
      <c r="A646" t="s">
        <v>52</v>
      </c>
      <c r="B646" t="s">
        <v>49</v>
      </c>
      <c r="C646" t="s">
        <v>53</v>
      </c>
      <c r="D646" t="s">
        <v>29</v>
      </c>
      <c r="E646" t="s">
        <v>37</v>
      </c>
      <c r="F646" t="s">
        <v>50</v>
      </c>
      <c r="G646" t="s">
        <v>51</v>
      </c>
      <c r="H646">
        <v>300000</v>
      </c>
      <c r="I646">
        <v>2</v>
      </c>
      <c r="J646" t="s">
        <v>65</v>
      </c>
      <c r="K646">
        <f t="shared" si="10"/>
        <v>240000</v>
      </c>
    </row>
    <row r="647" spans="1:11">
      <c r="A647" t="s">
        <v>102</v>
      </c>
      <c r="B647" t="s">
        <v>44</v>
      </c>
      <c r="C647" t="s">
        <v>36</v>
      </c>
      <c r="D647" t="s">
        <v>29</v>
      </c>
      <c r="E647" t="s">
        <v>30</v>
      </c>
      <c r="F647" t="s">
        <v>56</v>
      </c>
      <c r="G647" t="s">
        <v>32</v>
      </c>
      <c r="H647">
        <v>320000</v>
      </c>
      <c r="I647">
        <v>7</v>
      </c>
      <c r="J647" t="s">
        <v>42</v>
      </c>
      <c r="K647">
        <f t="shared" si="10"/>
        <v>256000</v>
      </c>
    </row>
    <row r="648" spans="1:11">
      <c r="A648" t="s">
        <v>173</v>
      </c>
      <c r="B648" t="s">
        <v>35</v>
      </c>
      <c r="C648" t="s">
        <v>53</v>
      </c>
      <c r="D648" t="s">
        <v>41</v>
      </c>
      <c r="E648" t="s">
        <v>30</v>
      </c>
      <c r="F648" t="s">
        <v>46</v>
      </c>
      <c r="G648" t="s">
        <v>39</v>
      </c>
      <c r="H648">
        <v>60000</v>
      </c>
      <c r="I648">
        <v>5</v>
      </c>
      <c r="J648" t="s">
        <v>47</v>
      </c>
      <c r="K648">
        <f t="shared" si="10"/>
        <v>48000</v>
      </c>
    </row>
    <row r="649" spans="1:11">
      <c r="A649" t="s">
        <v>80</v>
      </c>
      <c r="B649" t="s">
        <v>44</v>
      </c>
      <c r="C649" t="s">
        <v>45</v>
      </c>
      <c r="D649" t="s">
        <v>29</v>
      </c>
      <c r="E649" t="s">
        <v>30</v>
      </c>
      <c r="F649" t="s">
        <v>31</v>
      </c>
      <c r="G649" t="s">
        <v>32</v>
      </c>
      <c r="H649">
        <v>85000</v>
      </c>
      <c r="I649">
        <v>7</v>
      </c>
      <c r="J649" t="s">
        <v>58</v>
      </c>
      <c r="K649">
        <f t="shared" si="10"/>
        <v>68000</v>
      </c>
    </row>
    <row r="650" spans="1:11">
      <c r="A650" t="s">
        <v>102</v>
      </c>
      <c r="B650" t="s">
        <v>27</v>
      </c>
      <c r="C650" t="s">
        <v>36</v>
      </c>
      <c r="D650" t="s">
        <v>29</v>
      </c>
      <c r="E650" t="s">
        <v>37</v>
      </c>
      <c r="F650" t="s">
        <v>50</v>
      </c>
      <c r="G650" t="s">
        <v>51</v>
      </c>
      <c r="H650">
        <v>300000</v>
      </c>
      <c r="I650">
        <v>6</v>
      </c>
      <c r="J650" t="s">
        <v>69</v>
      </c>
      <c r="K650">
        <f t="shared" si="10"/>
        <v>240000</v>
      </c>
    </row>
    <row r="651" spans="1:11">
      <c r="A651" t="s">
        <v>105</v>
      </c>
      <c r="B651" t="s">
        <v>35</v>
      </c>
      <c r="C651" t="s">
        <v>45</v>
      </c>
      <c r="D651" t="s">
        <v>41</v>
      </c>
      <c r="E651" t="s">
        <v>30</v>
      </c>
      <c r="F651" t="s">
        <v>54</v>
      </c>
      <c r="G651" t="s">
        <v>39</v>
      </c>
      <c r="H651">
        <v>180000</v>
      </c>
      <c r="I651">
        <v>5</v>
      </c>
      <c r="J651" t="s">
        <v>47</v>
      </c>
      <c r="K651">
        <f t="shared" si="10"/>
        <v>144000</v>
      </c>
    </row>
    <row r="652" spans="1:11">
      <c r="A652" t="s">
        <v>137</v>
      </c>
      <c r="B652" t="s">
        <v>35</v>
      </c>
      <c r="C652" t="s">
        <v>36</v>
      </c>
      <c r="D652" t="s">
        <v>41</v>
      </c>
      <c r="E652" t="s">
        <v>37</v>
      </c>
      <c r="F652" t="s">
        <v>50</v>
      </c>
      <c r="G652" t="s">
        <v>51</v>
      </c>
      <c r="H652">
        <v>300000</v>
      </c>
      <c r="I652">
        <v>1</v>
      </c>
      <c r="J652" t="s">
        <v>65</v>
      </c>
      <c r="K652">
        <f t="shared" si="10"/>
        <v>240000</v>
      </c>
    </row>
    <row r="653" spans="1:11">
      <c r="A653" t="s">
        <v>60</v>
      </c>
      <c r="B653" t="s">
        <v>27</v>
      </c>
      <c r="C653" t="s">
        <v>28</v>
      </c>
      <c r="D653" t="s">
        <v>29</v>
      </c>
      <c r="E653" t="s">
        <v>37</v>
      </c>
      <c r="F653" t="s">
        <v>46</v>
      </c>
      <c r="G653" t="s">
        <v>39</v>
      </c>
      <c r="H653">
        <v>60000</v>
      </c>
      <c r="I653">
        <v>7</v>
      </c>
      <c r="J653" t="s">
        <v>42</v>
      </c>
      <c r="K653">
        <f t="shared" si="10"/>
        <v>48000</v>
      </c>
    </row>
    <row r="654" spans="1:11">
      <c r="A654" t="s">
        <v>170</v>
      </c>
      <c r="B654" t="s">
        <v>44</v>
      </c>
      <c r="C654" t="s">
        <v>45</v>
      </c>
      <c r="D654" t="s">
        <v>29</v>
      </c>
      <c r="E654" t="s">
        <v>30</v>
      </c>
      <c r="F654" t="s">
        <v>38</v>
      </c>
      <c r="G654" t="s">
        <v>39</v>
      </c>
      <c r="H654">
        <v>30000</v>
      </c>
      <c r="I654">
        <v>8</v>
      </c>
      <c r="J654" t="s">
        <v>47</v>
      </c>
      <c r="K654">
        <f t="shared" si="10"/>
        <v>24000</v>
      </c>
    </row>
    <row r="655" spans="1:11">
      <c r="A655" t="s">
        <v>157</v>
      </c>
      <c r="B655" t="s">
        <v>27</v>
      </c>
      <c r="C655" t="s">
        <v>36</v>
      </c>
      <c r="D655" t="s">
        <v>41</v>
      </c>
      <c r="E655" t="s">
        <v>30</v>
      </c>
      <c r="F655" t="s">
        <v>73</v>
      </c>
      <c r="G655" t="s">
        <v>39</v>
      </c>
      <c r="H655">
        <v>220000</v>
      </c>
      <c r="I655">
        <v>3</v>
      </c>
      <c r="J655" t="s">
        <v>58</v>
      </c>
      <c r="K655">
        <f t="shared" si="10"/>
        <v>176000</v>
      </c>
    </row>
    <row r="656" spans="1:11">
      <c r="A656" t="s">
        <v>99</v>
      </c>
      <c r="B656" t="s">
        <v>44</v>
      </c>
      <c r="C656" t="s">
        <v>36</v>
      </c>
      <c r="D656" t="s">
        <v>41</v>
      </c>
      <c r="E656" t="s">
        <v>30</v>
      </c>
      <c r="F656" t="s">
        <v>73</v>
      </c>
      <c r="G656" t="s">
        <v>39</v>
      </c>
      <c r="H656">
        <v>220000</v>
      </c>
      <c r="I656">
        <v>7</v>
      </c>
      <c r="J656" t="s">
        <v>58</v>
      </c>
      <c r="K656">
        <f t="shared" si="10"/>
        <v>176000</v>
      </c>
    </row>
    <row r="657" spans="1:11">
      <c r="A657" t="s">
        <v>118</v>
      </c>
      <c r="B657" t="s">
        <v>49</v>
      </c>
      <c r="C657" t="s">
        <v>28</v>
      </c>
      <c r="D657" t="s">
        <v>29</v>
      </c>
      <c r="E657" t="s">
        <v>37</v>
      </c>
      <c r="F657" t="s">
        <v>54</v>
      </c>
      <c r="G657" t="s">
        <v>39</v>
      </c>
      <c r="H657">
        <v>180000</v>
      </c>
      <c r="I657">
        <v>2</v>
      </c>
      <c r="J657" t="s">
        <v>42</v>
      </c>
      <c r="K657">
        <f t="shared" si="10"/>
        <v>144000</v>
      </c>
    </row>
    <row r="658" spans="1:11">
      <c r="A658" t="s">
        <v>55</v>
      </c>
      <c r="B658" t="s">
        <v>27</v>
      </c>
      <c r="C658" t="s">
        <v>45</v>
      </c>
      <c r="D658" t="s">
        <v>29</v>
      </c>
      <c r="E658" t="s">
        <v>37</v>
      </c>
      <c r="F658" t="s">
        <v>46</v>
      </c>
      <c r="G658" t="s">
        <v>39</v>
      </c>
      <c r="H658">
        <v>60000</v>
      </c>
      <c r="I658">
        <v>8</v>
      </c>
      <c r="J658" t="s">
        <v>65</v>
      </c>
      <c r="K658">
        <f t="shared" si="10"/>
        <v>48000</v>
      </c>
    </row>
    <row r="659" spans="1:11">
      <c r="A659" t="s">
        <v>84</v>
      </c>
      <c r="B659" t="s">
        <v>49</v>
      </c>
      <c r="C659" t="s">
        <v>36</v>
      </c>
      <c r="D659" t="s">
        <v>29</v>
      </c>
      <c r="E659" t="s">
        <v>30</v>
      </c>
      <c r="F659" t="s">
        <v>38</v>
      </c>
      <c r="G659" t="s">
        <v>39</v>
      </c>
      <c r="H659">
        <v>30000</v>
      </c>
      <c r="I659">
        <v>2</v>
      </c>
      <c r="J659" t="s">
        <v>58</v>
      </c>
      <c r="K659">
        <f t="shared" si="10"/>
        <v>24000</v>
      </c>
    </row>
    <row r="660" spans="1:11">
      <c r="A660" t="s">
        <v>97</v>
      </c>
      <c r="B660" t="s">
        <v>49</v>
      </c>
      <c r="C660" t="s">
        <v>36</v>
      </c>
      <c r="D660" t="s">
        <v>41</v>
      </c>
      <c r="E660" t="s">
        <v>30</v>
      </c>
      <c r="F660" t="s">
        <v>62</v>
      </c>
      <c r="G660" t="s">
        <v>51</v>
      </c>
      <c r="H660">
        <v>150000</v>
      </c>
      <c r="I660">
        <v>5</v>
      </c>
      <c r="J660" t="s">
        <v>58</v>
      </c>
      <c r="K660">
        <f t="shared" si="10"/>
        <v>120000</v>
      </c>
    </row>
    <row r="661" spans="1:11">
      <c r="A661" t="s">
        <v>122</v>
      </c>
      <c r="B661" t="s">
        <v>27</v>
      </c>
      <c r="C661" t="s">
        <v>36</v>
      </c>
      <c r="D661" t="s">
        <v>41</v>
      </c>
      <c r="E661" t="s">
        <v>37</v>
      </c>
      <c r="F661" t="s">
        <v>71</v>
      </c>
      <c r="G661" t="s">
        <v>51</v>
      </c>
      <c r="H661">
        <v>250000</v>
      </c>
      <c r="I661">
        <v>5</v>
      </c>
      <c r="J661" t="s">
        <v>58</v>
      </c>
      <c r="K661">
        <f t="shared" si="10"/>
        <v>200000</v>
      </c>
    </row>
    <row r="662" spans="1:11">
      <c r="A662" t="s">
        <v>40</v>
      </c>
      <c r="B662" t="s">
        <v>44</v>
      </c>
      <c r="C662" t="s">
        <v>28</v>
      </c>
      <c r="D662" t="s">
        <v>41</v>
      </c>
      <c r="E662" t="s">
        <v>30</v>
      </c>
      <c r="F662" t="s">
        <v>31</v>
      </c>
      <c r="G662" t="s">
        <v>32</v>
      </c>
      <c r="H662">
        <v>85000</v>
      </c>
      <c r="I662">
        <v>4</v>
      </c>
      <c r="J662" t="s">
        <v>42</v>
      </c>
      <c r="K662">
        <f t="shared" si="10"/>
        <v>68000</v>
      </c>
    </row>
    <row r="663" spans="1:11">
      <c r="A663" t="s">
        <v>171</v>
      </c>
      <c r="B663" t="s">
        <v>27</v>
      </c>
      <c r="C663" t="s">
        <v>45</v>
      </c>
      <c r="D663" t="s">
        <v>29</v>
      </c>
      <c r="E663" t="s">
        <v>37</v>
      </c>
      <c r="F663" t="s">
        <v>50</v>
      </c>
      <c r="G663" t="s">
        <v>51</v>
      </c>
      <c r="H663">
        <v>300000</v>
      </c>
      <c r="I663">
        <v>10</v>
      </c>
      <c r="J663" t="s">
        <v>42</v>
      </c>
      <c r="K663">
        <f t="shared" si="10"/>
        <v>240000</v>
      </c>
    </row>
    <row r="664" spans="1:11">
      <c r="A664" t="s">
        <v>153</v>
      </c>
      <c r="B664" t="s">
        <v>44</v>
      </c>
      <c r="C664" t="s">
        <v>28</v>
      </c>
      <c r="D664" t="s">
        <v>41</v>
      </c>
      <c r="E664" t="s">
        <v>30</v>
      </c>
      <c r="F664" t="s">
        <v>71</v>
      </c>
      <c r="G664" t="s">
        <v>51</v>
      </c>
      <c r="H664">
        <v>250000</v>
      </c>
      <c r="I664">
        <v>8</v>
      </c>
      <c r="J664" t="s">
        <v>69</v>
      </c>
      <c r="K664">
        <f t="shared" si="10"/>
        <v>200000</v>
      </c>
    </row>
    <row r="665" spans="1:11">
      <c r="A665" t="s">
        <v>163</v>
      </c>
      <c r="B665" t="s">
        <v>27</v>
      </c>
      <c r="C665" t="s">
        <v>36</v>
      </c>
      <c r="D665" t="s">
        <v>29</v>
      </c>
      <c r="E665" t="s">
        <v>37</v>
      </c>
      <c r="F665" t="s">
        <v>56</v>
      </c>
      <c r="G665" t="s">
        <v>32</v>
      </c>
      <c r="H665">
        <v>320000</v>
      </c>
      <c r="I665">
        <v>4</v>
      </c>
      <c r="J665" t="s">
        <v>69</v>
      </c>
      <c r="K665">
        <f t="shared" si="10"/>
        <v>256000</v>
      </c>
    </row>
    <row r="666" spans="1:11">
      <c r="A666" t="s">
        <v>157</v>
      </c>
      <c r="B666" t="s">
        <v>49</v>
      </c>
      <c r="C666" t="s">
        <v>36</v>
      </c>
      <c r="D666" t="s">
        <v>41</v>
      </c>
      <c r="E666" t="s">
        <v>37</v>
      </c>
      <c r="F666" t="s">
        <v>38</v>
      </c>
      <c r="G666" t="s">
        <v>39</v>
      </c>
      <c r="H666">
        <v>30000</v>
      </c>
      <c r="I666">
        <v>10</v>
      </c>
      <c r="J666" t="s">
        <v>47</v>
      </c>
      <c r="K666">
        <f t="shared" si="10"/>
        <v>24000</v>
      </c>
    </row>
    <row r="667" spans="1:11">
      <c r="A667" t="s">
        <v>106</v>
      </c>
      <c r="B667" t="s">
        <v>49</v>
      </c>
      <c r="C667" t="s">
        <v>28</v>
      </c>
      <c r="D667" t="s">
        <v>41</v>
      </c>
      <c r="E667" t="s">
        <v>30</v>
      </c>
      <c r="F667" t="s">
        <v>71</v>
      </c>
      <c r="G667" t="s">
        <v>51</v>
      </c>
      <c r="H667">
        <v>250000</v>
      </c>
      <c r="I667">
        <v>4</v>
      </c>
      <c r="J667" t="s">
        <v>65</v>
      </c>
      <c r="K667">
        <f t="shared" si="10"/>
        <v>200000</v>
      </c>
    </row>
    <row r="668" spans="1:11">
      <c r="A668" t="s">
        <v>115</v>
      </c>
      <c r="B668" t="s">
        <v>35</v>
      </c>
      <c r="C668" t="s">
        <v>28</v>
      </c>
      <c r="D668" t="s">
        <v>41</v>
      </c>
      <c r="E668" t="s">
        <v>30</v>
      </c>
      <c r="F668" t="s">
        <v>56</v>
      </c>
      <c r="G668" t="s">
        <v>32</v>
      </c>
      <c r="H668">
        <v>320000</v>
      </c>
      <c r="I668">
        <v>5</v>
      </c>
      <c r="J668" t="s">
        <v>47</v>
      </c>
      <c r="K668">
        <f t="shared" si="10"/>
        <v>256000</v>
      </c>
    </row>
    <row r="669" spans="1:11">
      <c r="A669" t="s">
        <v>68</v>
      </c>
      <c r="B669" t="s">
        <v>35</v>
      </c>
      <c r="C669" t="s">
        <v>36</v>
      </c>
      <c r="D669" t="s">
        <v>29</v>
      </c>
      <c r="E669" t="s">
        <v>37</v>
      </c>
      <c r="F669" t="s">
        <v>56</v>
      </c>
      <c r="G669" t="s">
        <v>32</v>
      </c>
      <c r="H669">
        <v>320000</v>
      </c>
      <c r="I669">
        <v>9</v>
      </c>
      <c r="J669" t="s">
        <v>69</v>
      </c>
      <c r="K669">
        <f t="shared" si="10"/>
        <v>256000</v>
      </c>
    </row>
    <row r="670" spans="1:11">
      <c r="A670" t="s">
        <v>104</v>
      </c>
      <c r="B670" t="s">
        <v>35</v>
      </c>
      <c r="C670" t="s">
        <v>36</v>
      </c>
      <c r="D670" t="s">
        <v>29</v>
      </c>
      <c r="E670" t="s">
        <v>30</v>
      </c>
      <c r="F670" t="s">
        <v>54</v>
      </c>
      <c r="G670" t="s">
        <v>39</v>
      </c>
      <c r="H670">
        <v>180000</v>
      </c>
      <c r="I670">
        <v>1</v>
      </c>
      <c r="J670" t="s">
        <v>65</v>
      </c>
      <c r="K670">
        <f t="shared" si="10"/>
        <v>144000</v>
      </c>
    </row>
    <row r="671" spans="1:11">
      <c r="A671" t="s">
        <v>93</v>
      </c>
      <c r="B671" t="s">
        <v>44</v>
      </c>
      <c r="C671" t="s">
        <v>28</v>
      </c>
      <c r="D671" t="s">
        <v>29</v>
      </c>
      <c r="E671" t="s">
        <v>30</v>
      </c>
      <c r="F671" t="s">
        <v>38</v>
      </c>
      <c r="G671" t="s">
        <v>39</v>
      </c>
      <c r="H671">
        <v>30000</v>
      </c>
      <c r="I671">
        <v>7</v>
      </c>
      <c r="J671" t="s">
        <v>47</v>
      </c>
      <c r="K671">
        <f t="shared" si="10"/>
        <v>24000</v>
      </c>
    </row>
    <row r="672" spans="1:11">
      <c r="A672" t="s">
        <v>34</v>
      </c>
      <c r="B672" t="s">
        <v>49</v>
      </c>
      <c r="C672" t="s">
        <v>53</v>
      </c>
      <c r="D672" t="s">
        <v>41</v>
      </c>
      <c r="E672" t="s">
        <v>37</v>
      </c>
      <c r="F672" t="s">
        <v>73</v>
      </c>
      <c r="G672" t="s">
        <v>39</v>
      </c>
      <c r="H672">
        <v>220000</v>
      </c>
      <c r="I672">
        <v>5</v>
      </c>
      <c r="J672" t="s">
        <v>58</v>
      </c>
      <c r="K672">
        <f t="shared" si="10"/>
        <v>176000</v>
      </c>
    </row>
    <row r="673" spans="1:11">
      <c r="A673" t="s">
        <v>79</v>
      </c>
      <c r="B673" t="s">
        <v>49</v>
      </c>
      <c r="C673" t="s">
        <v>53</v>
      </c>
      <c r="D673" t="s">
        <v>41</v>
      </c>
      <c r="E673" t="s">
        <v>30</v>
      </c>
      <c r="F673" t="s">
        <v>54</v>
      </c>
      <c r="G673" t="s">
        <v>39</v>
      </c>
      <c r="H673">
        <v>180000</v>
      </c>
      <c r="I673">
        <v>4</v>
      </c>
      <c r="J673" t="s">
        <v>69</v>
      </c>
      <c r="K673">
        <f t="shared" si="10"/>
        <v>144000</v>
      </c>
    </row>
    <row r="674" spans="1:11">
      <c r="A674" t="s">
        <v>87</v>
      </c>
      <c r="B674" t="s">
        <v>44</v>
      </c>
      <c r="C674" t="s">
        <v>28</v>
      </c>
      <c r="D674" t="s">
        <v>41</v>
      </c>
      <c r="E674" t="s">
        <v>30</v>
      </c>
      <c r="F674" t="s">
        <v>54</v>
      </c>
      <c r="G674" t="s">
        <v>39</v>
      </c>
      <c r="H674">
        <v>180000</v>
      </c>
      <c r="I674">
        <v>2</v>
      </c>
      <c r="J674" t="s">
        <v>47</v>
      </c>
      <c r="K674">
        <f t="shared" si="10"/>
        <v>144000</v>
      </c>
    </row>
    <row r="675" spans="1:11">
      <c r="A675" t="s">
        <v>72</v>
      </c>
      <c r="B675" t="s">
        <v>27</v>
      </c>
      <c r="C675" t="s">
        <v>45</v>
      </c>
      <c r="D675" t="s">
        <v>41</v>
      </c>
      <c r="E675" t="s">
        <v>30</v>
      </c>
      <c r="F675" t="s">
        <v>73</v>
      </c>
      <c r="G675" t="s">
        <v>39</v>
      </c>
      <c r="H675">
        <v>220000</v>
      </c>
      <c r="I675">
        <v>2</v>
      </c>
      <c r="J675" t="s">
        <v>65</v>
      </c>
      <c r="K675">
        <f t="shared" si="10"/>
        <v>176000</v>
      </c>
    </row>
    <row r="676" spans="1:11">
      <c r="A676" t="s">
        <v>143</v>
      </c>
      <c r="B676" t="s">
        <v>27</v>
      </c>
      <c r="C676" t="s">
        <v>36</v>
      </c>
      <c r="D676" t="s">
        <v>41</v>
      </c>
      <c r="E676" t="s">
        <v>37</v>
      </c>
      <c r="F676" t="s">
        <v>46</v>
      </c>
      <c r="G676" t="s">
        <v>39</v>
      </c>
      <c r="H676">
        <v>60000</v>
      </c>
      <c r="I676">
        <v>10</v>
      </c>
      <c r="J676" t="s">
        <v>65</v>
      </c>
      <c r="K676">
        <f t="shared" si="10"/>
        <v>48000</v>
      </c>
    </row>
    <row r="677" spans="1:11">
      <c r="A677" t="s">
        <v>111</v>
      </c>
      <c r="B677" t="s">
        <v>49</v>
      </c>
      <c r="C677" t="s">
        <v>28</v>
      </c>
      <c r="D677" t="s">
        <v>29</v>
      </c>
      <c r="E677" t="s">
        <v>37</v>
      </c>
      <c r="F677" t="s">
        <v>38</v>
      </c>
      <c r="G677" t="s">
        <v>39</v>
      </c>
      <c r="H677">
        <v>30000</v>
      </c>
      <c r="I677">
        <v>2</v>
      </c>
      <c r="J677" t="s">
        <v>69</v>
      </c>
      <c r="K677">
        <f t="shared" si="10"/>
        <v>24000</v>
      </c>
    </row>
    <row r="678" spans="1:11">
      <c r="A678" t="s">
        <v>158</v>
      </c>
      <c r="B678" t="s">
        <v>35</v>
      </c>
      <c r="C678" t="s">
        <v>36</v>
      </c>
      <c r="D678" t="s">
        <v>41</v>
      </c>
      <c r="E678" t="s">
        <v>30</v>
      </c>
      <c r="F678" t="s">
        <v>50</v>
      </c>
      <c r="G678" t="s">
        <v>51</v>
      </c>
      <c r="H678">
        <v>300000</v>
      </c>
      <c r="I678">
        <v>3</v>
      </c>
      <c r="J678" t="s">
        <v>42</v>
      </c>
      <c r="K678">
        <f t="shared" si="10"/>
        <v>240000</v>
      </c>
    </row>
    <row r="679" spans="1:11">
      <c r="A679" t="s">
        <v>87</v>
      </c>
      <c r="B679" t="s">
        <v>44</v>
      </c>
      <c r="C679" t="s">
        <v>45</v>
      </c>
      <c r="D679" t="s">
        <v>29</v>
      </c>
      <c r="E679" t="s">
        <v>37</v>
      </c>
      <c r="F679" t="s">
        <v>38</v>
      </c>
      <c r="G679" t="s">
        <v>39</v>
      </c>
      <c r="H679">
        <v>30000</v>
      </c>
      <c r="I679">
        <v>8</v>
      </c>
      <c r="J679" t="s">
        <v>33</v>
      </c>
      <c r="K679">
        <f t="shared" si="10"/>
        <v>24000</v>
      </c>
    </row>
    <row r="680" spans="1:11">
      <c r="A680" t="s">
        <v>75</v>
      </c>
      <c r="B680" t="s">
        <v>49</v>
      </c>
      <c r="C680" t="s">
        <v>28</v>
      </c>
      <c r="D680" t="s">
        <v>29</v>
      </c>
      <c r="E680" t="s">
        <v>30</v>
      </c>
      <c r="F680" t="s">
        <v>50</v>
      </c>
      <c r="G680" t="s">
        <v>51</v>
      </c>
      <c r="H680">
        <v>300000</v>
      </c>
      <c r="I680">
        <v>7</v>
      </c>
      <c r="J680" t="s">
        <v>33</v>
      </c>
      <c r="K680">
        <f t="shared" si="10"/>
        <v>240000</v>
      </c>
    </row>
    <row r="681" spans="1:11">
      <c r="A681" t="s">
        <v>132</v>
      </c>
      <c r="B681" t="s">
        <v>35</v>
      </c>
      <c r="C681" t="s">
        <v>28</v>
      </c>
      <c r="D681" t="s">
        <v>29</v>
      </c>
      <c r="E681" t="s">
        <v>30</v>
      </c>
      <c r="F681" t="s">
        <v>38</v>
      </c>
      <c r="G681" t="s">
        <v>39</v>
      </c>
      <c r="H681">
        <v>30000</v>
      </c>
      <c r="I681">
        <v>2</v>
      </c>
      <c r="J681" t="s">
        <v>58</v>
      </c>
      <c r="K681">
        <f t="shared" si="10"/>
        <v>24000</v>
      </c>
    </row>
    <row r="682" spans="1:11">
      <c r="A682" t="s">
        <v>104</v>
      </c>
      <c r="B682" t="s">
        <v>35</v>
      </c>
      <c r="C682" t="s">
        <v>28</v>
      </c>
      <c r="D682" t="s">
        <v>41</v>
      </c>
      <c r="E682" t="s">
        <v>37</v>
      </c>
      <c r="F682" t="s">
        <v>73</v>
      </c>
      <c r="G682" t="s">
        <v>39</v>
      </c>
      <c r="H682">
        <v>220000</v>
      </c>
      <c r="I682">
        <v>8</v>
      </c>
      <c r="J682" t="s">
        <v>47</v>
      </c>
      <c r="K682">
        <f t="shared" si="10"/>
        <v>176000</v>
      </c>
    </row>
    <row r="683" spans="1:11">
      <c r="A683" t="s">
        <v>165</v>
      </c>
      <c r="B683" t="s">
        <v>27</v>
      </c>
      <c r="C683" t="s">
        <v>45</v>
      </c>
      <c r="D683" t="s">
        <v>29</v>
      </c>
      <c r="E683" t="s">
        <v>30</v>
      </c>
      <c r="F683" t="s">
        <v>46</v>
      </c>
      <c r="G683" t="s">
        <v>39</v>
      </c>
      <c r="H683">
        <v>60000</v>
      </c>
      <c r="I683">
        <v>1</v>
      </c>
      <c r="J683" t="s">
        <v>33</v>
      </c>
      <c r="K683">
        <f t="shared" si="10"/>
        <v>48000</v>
      </c>
    </row>
    <row r="684" spans="1:11">
      <c r="A684" t="s">
        <v>82</v>
      </c>
      <c r="B684" t="s">
        <v>44</v>
      </c>
      <c r="C684" t="s">
        <v>45</v>
      </c>
      <c r="D684" t="s">
        <v>41</v>
      </c>
      <c r="E684" t="s">
        <v>30</v>
      </c>
      <c r="F684" t="s">
        <v>31</v>
      </c>
      <c r="G684" t="s">
        <v>32</v>
      </c>
      <c r="H684">
        <v>85000</v>
      </c>
      <c r="I684">
        <v>9</v>
      </c>
      <c r="J684" t="s">
        <v>65</v>
      </c>
      <c r="K684">
        <f t="shared" si="10"/>
        <v>68000</v>
      </c>
    </row>
    <row r="685" spans="1:11">
      <c r="A685" t="s">
        <v>79</v>
      </c>
      <c r="B685" t="s">
        <v>35</v>
      </c>
      <c r="C685" t="s">
        <v>36</v>
      </c>
      <c r="D685" t="s">
        <v>29</v>
      </c>
      <c r="E685" t="s">
        <v>37</v>
      </c>
      <c r="F685" t="s">
        <v>31</v>
      </c>
      <c r="G685" t="s">
        <v>32</v>
      </c>
      <c r="H685">
        <v>85000</v>
      </c>
      <c r="I685">
        <v>4</v>
      </c>
      <c r="J685" t="s">
        <v>58</v>
      </c>
      <c r="K685">
        <f t="shared" si="10"/>
        <v>68000</v>
      </c>
    </row>
    <row r="686" spans="1:11">
      <c r="A686" t="s">
        <v>152</v>
      </c>
      <c r="B686" t="s">
        <v>35</v>
      </c>
      <c r="C686" t="s">
        <v>53</v>
      </c>
      <c r="D686" t="s">
        <v>41</v>
      </c>
      <c r="E686" t="s">
        <v>37</v>
      </c>
      <c r="F686" t="s">
        <v>54</v>
      </c>
      <c r="G686" t="s">
        <v>39</v>
      </c>
      <c r="H686">
        <v>180000</v>
      </c>
      <c r="I686">
        <v>6</v>
      </c>
      <c r="J686" t="s">
        <v>33</v>
      </c>
      <c r="K686">
        <f t="shared" si="10"/>
        <v>144000</v>
      </c>
    </row>
    <row r="687" spans="1:11">
      <c r="A687" t="s">
        <v>81</v>
      </c>
      <c r="B687" t="s">
        <v>27</v>
      </c>
      <c r="C687" t="s">
        <v>53</v>
      </c>
      <c r="D687" t="s">
        <v>29</v>
      </c>
      <c r="E687" t="s">
        <v>30</v>
      </c>
      <c r="F687" t="s">
        <v>54</v>
      </c>
      <c r="G687" t="s">
        <v>39</v>
      </c>
      <c r="H687">
        <v>180000</v>
      </c>
      <c r="I687">
        <v>2</v>
      </c>
      <c r="J687" t="s">
        <v>69</v>
      </c>
      <c r="K687">
        <f t="shared" si="10"/>
        <v>144000</v>
      </c>
    </row>
    <row r="688" spans="1:11">
      <c r="A688" t="s">
        <v>146</v>
      </c>
      <c r="B688" t="s">
        <v>49</v>
      </c>
      <c r="C688" t="s">
        <v>28</v>
      </c>
      <c r="D688" t="s">
        <v>29</v>
      </c>
      <c r="E688" t="s">
        <v>30</v>
      </c>
      <c r="F688" t="s">
        <v>46</v>
      </c>
      <c r="G688" t="s">
        <v>39</v>
      </c>
      <c r="H688">
        <v>60000</v>
      </c>
      <c r="I688">
        <v>8</v>
      </c>
      <c r="J688" t="s">
        <v>47</v>
      </c>
      <c r="K688">
        <f t="shared" si="10"/>
        <v>48000</v>
      </c>
    </row>
    <row r="689" spans="1:11">
      <c r="A689" t="s">
        <v>84</v>
      </c>
      <c r="B689" t="s">
        <v>49</v>
      </c>
      <c r="C689" t="s">
        <v>53</v>
      </c>
      <c r="D689" t="s">
        <v>29</v>
      </c>
      <c r="E689" t="s">
        <v>30</v>
      </c>
      <c r="F689" t="s">
        <v>56</v>
      </c>
      <c r="G689" t="s">
        <v>32</v>
      </c>
      <c r="H689">
        <v>320000</v>
      </c>
      <c r="I689">
        <v>4</v>
      </c>
      <c r="J689" t="s">
        <v>58</v>
      </c>
      <c r="K689">
        <f t="shared" si="10"/>
        <v>256000</v>
      </c>
    </row>
    <row r="690" spans="1:11">
      <c r="A690" t="s">
        <v>137</v>
      </c>
      <c r="B690" t="s">
        <v>35</v>
      </c>
      <c r="C690" t="s">
        <v>36</v>
      </c>
      <c r="D690" t="s">
        <v>41</v>
      </c>
      <c r="E690" t="s">
        <v>30</v>
      </c>
      <c r="F690" t="s">
        <v>54</v>
      </c>
      <c r="G690" t="s">
        <v>39</v>
      </c>
      <c r="H690">
        <v>180000</v>
      </c>
      <c r="I690">
        <v>3</v>
      </c>
      <c r="J690" t="s">
        <v>42</v>
      </c>
      <c r="K690">
        <f t="shared" si="10"/>
        <v>144000</v>
      </c>
    </row>
    <row r="691" spans="1:11">
      <c r="A691" t="s">
        <v>122</v>
      </c>
      <c r="B691" t="s">
        <v>35</v>
      </c>
      <c r="C691" t="s">
        <v>28</v>
      </c>
      <c r="D691" t="s">
        <v>29</v>
      </c>
      <c r="E691" t="s">
        <v>37</v>
      </c>
      <c r="F691" t="s">
        <v>62</v>
      </c>
      <c r="G691" t="s">
        <v>51</v>
      </c>
      <c r="H691">
        <v>150000</v>
      </c>
      <c r="I691">
        <v>9</v>
      </c>
      <c r="J691" t="s">
        <v>47</v>
      </c>
      <c r="K691">
        <f t="shared" si="10"/>
        <v>120000</v>
      </c>
    </row>
    <row r="692" spans="1:11">
      <c r="A692" t="s">
        <v>140</v>
      </c>
      <c r="B692" t="s">
        <v>35</v>
      </c>
      <c r="C692" t="s">
        <v>36</v>
      </c>
      <c r="D692" t="s">
        <v>41</v>
      </c>
      <c r="E692" t="s">
        <v>37</v>
      </c>
      <c r="F692" t="s">
        <v>31</v>
      </c>
      <c r="G692" t="s">
        <v>32</v>
      </c>
      <c r="H692">
        <v>85000</v>
      </c>
      <c r="I692">
        <v>4</v>
      </c>
      <c r="J692" t="s">
        <v>33</v>
      </c>
      <c r="K692">
        <f t="shared" si="10"/>
        <v>68000</v>
      </c>
    </row>
    <row r="693" spans="1:11">
      <c r="A693" t="s">
        <v>143</v>
      </c>
      <c r="B693" t="s">
        <v>44</v>
      </c>
      <c r="C693" t="s">
        <v>45</v>
      </c>
      <c r="D693" t="s">
        <v>29</v>
      </c>
      <c r="E693" t="s">
        <v>30</v>
      </c>
      <c r="F693" t="s">
        <v>73</v>
      </c>
      <c r="G693" t="s">
        <v>39</v>
      </c>
      <c r="H693">
        <v>220000</v>
      </c>
      <c r="I693">
        <v>4</v>
      </c>
      <c r="J693" t="s">
        <v>33</v>
      </c>
      <c r="K693">
        <f t="shared" si="10"/>
        <v>176000</v>
      </c>
    </row>
    <row r="694" spans="1:11">
      <c r="A694" t="s">
        <v>90</v>
      </c>
      <c r="B694" t="s">
        <v>49</v>
      </c>
      <c r="C694" t="s">
        <v>28</v>
      </c>
      <c r="D694" t="s">
        <v>29</v>
      </c>
      <c r="E694" t="s">
        <v>30</v>
      </c>
      <c r="F694" t="s">
        <v>38</v>
      </c>
      <c r="G694" t="s">
        <v>39</v>
      </c>
      <c r="H694">
        <v>30000</v>
      </c>
      <c r="I694">
        <v>8</v>
      </c>
      <c r="J694" t="s">
        <v>65</v>
      </c>
      <c r="K694">
        <f t="shared" si="10"/>
        <v>24000</v>
      </c>
    </row>
    <row r="695" spans="1:11">
      <c r="A695" t="s">
        <v>158</v>
      </c>
      <c r="B695" t="s">
        <v>44</v>
      </c>
      <c r="C695" t="s">
        <v>28</v>
      </c>
      <c r="D695" t="s">
        <v>29</v>
      </c>
      <c r="E695" t="s">
        <v>30</v>
      </c>
      <c r="F695" t="s">
        <v>31</v>
      </c>
      <c r="G695" t="s">
        <v>32</v>
      </c>
      <c r="H695">
        <v>85000</v>
      </c>
      <c r="I695">
        <v>4</v>
      </c>
      <c r="J695" t="s">
        <v>33</v>
      </c>
      <c r="K695">
        <f t="shared" si="10"/>
        <v>68000</v>
      </c>
    </row>
    <row r="696" spans="1:11">
      <c r="A696" t="s">
        <v>89</v>
      </c>
      <c r="B696" t="s">
        <v>49</v>
      </c>
      <c r="C696" t="s">
        <v>28</v>
      </c>
      <c r="D696" t="s">
        <v>29</v>
      </c>
      <c r="E696" t="s">
        <v>30</v>
      </c>
      <c r="F696" t="s">
        <v>50</v>
      </c>
      <c r="G696" t="s">
        <v>51</v>
      </c>
      <c r="H696">
        <v>300000</v>
      </c>
      <c r="I696">
        <v>2</v>
      </c>
      <c r="J696" t="s">
        <v>47</v>
      </c>
      <c r="K696">
        <f t="shared" si="10"/>
        <v>240000</v>
      </c>
    </row>
    <row r="697" spans="1:11">
      <c r="A697" t="s">
        <v>172</v>
      </c>
      <c r="B697" t="s">
        <v>27</v>
      </c>
      <c r="C697" t="s">
        <v>45</v>
      </c>
      <c r="D697" t="s">
        <v>41</v>
      </c>
      <c r="E697" t="s">
        <v>37</v>
      </c>
      <c r="F697" t="s">
        <v>31</v>
      </c>
      <c r="G697" t="s">
        <v>32</v>
      </c>
      <c r="H697">
        <v>85000</v>
      </c>
      <c r="I697">
        <v>2</v>
      </c>
      <c r="J697" t="s">
        <v>65</v>
      </c>
      <c r="K697">
        <f t="shared" si="10"/>
        <v>68000</v>
      </c>
    </row>
    <row r="698" spans="1:11">
      <c r="A698" t="s">
        <v>43</v>
      </c>
      <c r="B698" t="s">
        <v>27</v>
      </c>
      <c r="C698" t="s">
        <v>28</v>
      </c>
      <c r="D698" t="s">
        <v>41</v>
      </c>
      <c r="E698" t="s">
        <v>30</v>
      </c>
      <c r="F698" t="s">
        <v>67</v>
      </c>
      <c r="G698" t="s">
        <v>51</v>
      </c>
      <c r="H698">
        <v>420000</v>
      </c>
      <c r="I698">
        <v>5</v>
      </c>
      <c r="J698" t="s">
        <v>33</v>
      </c>
      <c r="K698">
        <f t="shared" si="10"/>
        <v>336000</v>
      </c>
    </row>
    <row r="699" spans="1:11">
      <c r="A699" t="s">
        <v>142</v>
      </c>
      <c r="B699" t="s">
        <v>44</v>
      </c>
      <c r="C699" t="s">
        <v>45</v>
      </c>
      <c r="D699" t="s">
        <v>41</v>
      </c>
      <c r="E699" t="s">
        <v>30</v>
      </c>
      <c r="F699" t="s">
        <v>50</v>
      </c>
      <c r="G699" t="s">
        <v>51</v>
      </c>
      <c r="H699">
        <v>300000</v>
      </c>
      <c r="I699">
        <v>8</v>
      </c>
      <c r="J699" t="s">
        <v>42</v>
      </c>
      <c r="K699">
        <f t="shared" si="10"/>
        <v>240000</v>
      </c>
    </row>
    <row r="700" spans="1:11">
      <c r="A700" t="s">
        <v>143</v>
      </c>
      <c r="B700" t="s">
        <v>27</v>
      </c>
      <c r="C700" t="s">
        <v>36</v>
      </c>
      <c r="D700" t="s">
        <v>41</v>
      </c>
      <c r="E700" t="s">
        <v>37</v>
      </c>
      <c r="F700" t="s">
        <v>46</v>
      </c>
      <c r="G700" t="s">
        <v>39</v>
      </c>
      <c r="H700">
        <v>60000</v>
      </c>
      <c r="I700">
        <v>1</v>
      </c>
      <c r="J700" t="s">
        <v>33</v>
      </c>
      <c r="K700">
        <f t="shared" si="10"/>
        <v>48000</v>
      </c>
    </row>
    <row r="701" spans="1:11">
      <c r="A701" t="s">
        <v>40</v>
      </c>
      <c r="B701" t="s">
        <v>27</v>
      </c>
      <c r="C701" t="s">
        <v>45</v>
      </c>
      <c r="D701" t="s">
        <v>29</v>
      </c>
      <c r="E701" t="s">
        <v>30</v>
      </c>
      <c r="F701" t="s">
        <v>71</v>
      </c>
      <c r="G701" t="s">
        <v>51</v>
      </c>
      <c r="H701">
        <v>250000</v>
      </c>
      <c r="I701">
        <v>8</v>
      </c>
      <c r="J701" t="s">
        <v>33</v>
      </c>
      <c r="K701">
        <f t="shared" si="10"/>
        <v>200000</v>
      </c>
    </row>
    <row r="702" spans="1:11">
      <c r="A702" t="s">
        <v>138</v>
      </c>
      <c r="B702" t="s">
        <v>27</v>
      </c>
      <c r="C702" t="s">
        <v>36</v>
      </c>
      <c r="D702" t="s">
        <v>41</v>
      </c>
      <c r="E702" t="s">
        <v>30</v>
      </c>
      <c r="F702" t="s">
        <v>50</v>
      </c>
      <c r="G702" t="s">
        <v>51</v>
      </c>
      <c r="H702">
        <v>300000</v>
      </c>
      <c r="I702">
        <v>4</v>
      </c>
      <c r="J702" t="s">
        <v>33</v>
      </c>
      <c r="K702">
        <f t="shared" si="10"/>
        <v>240000</v>
      </c>
    </row>
    <row r="703" spans="1:11">
      <c r="A703" t="s">
        <v>136</v>
      </c>
      <c r="B703" t="s">
        <v>35</v>
      </c>
      <c r="C703" t="s">
        <v>45</v>
      </c>
      <c r="D703" t="s">
        <v>41</v>
      </c>
      <c r="E703" t="s">
        <v>30</v>
      </c>
      <c r="F703" t="s">
        <v>50</v>
      </c>
      <c r="G703" t="s">
        <v>51</v>
      </c>
      <c r="H703">
        <v>300000</v>
      </c>
      <c r="I703">
        <v>10</v>
      </c>
      <c r="J703" t="s">
        <v>65</v>
      </c>
      <c r="K703">
        <f t="shared" si="10"/>
        <v>240000</v>
      </c>
    </row>
    <row r="704" spans="1:11">
      <c r="A704" t="s">
        <v>146</v>
      </c>
      <c r="B704" t="s">
        <v>44</v>
      </c>
      <c r="C704" t="s">
        <v>36</v>
      </c>
      <c r="D704" t="s">
        <v>29</v>
      </c>
      <c r="E704" t="s">
        <v>30</v>
      </c>
      <c r="F704" t="s">
        <v>50</v>
      </c>
      <c r="G704" t="s">
        <v>51</v>
      </c>
      <c r="H704">
        <v>300000</v>
      </c>
      <c r="I704">
        <v>2</v>
      </c>
      <c r="J704" t="s">
        <v>69</v>
      </c>
      <c r="K704">
        <f t="shared" si="10"/>
        <v>240000</v>
      </c>
    </row>
    <row r="705" spans="1:11">
      <c r="A705" t="s">
        <v>174</v>
      </c>
      <c r="B705" t="s">
        <v>27</v>
      </c>
      <c r="C705" t="s">
        <v>53</v>
      </c>
      <c r="D705" t="s">
        <v>29</v>
      </c>
      <c r="E705" t="s">
        <v>37</v>
      </c>
      <c r="F705" t="s">
        <v>31</v>
      </c>
      <c r="G705" t="s">
        <v>32</v>
      </c>
      <c r="H705">
        <v>85000</v>
      </c>
      <c r="I705">
        <v>2</v>
      </c>
      <c r="J705" t="s">
        <v>58</v>
      </c>
      <c r="K705">
        <f t="shared" si="10"/>
        <v>68000</v>
      </c>
    </row>
    <row r="706" spans="1:11">
      <c r="A706" t="s">
        <v>99</v>
      </c>
      <c r="B706" t="s">
        <v>49</v>
      </c>
      <c r="C706" t="s">
        <v>36</v>
      </c>
      <c r="D706" t="s">
        <v>29</v>
      </c>
      <c r="E706" t="s">
        <v>30</v>
      </c>
      <c r="F706" t="s">
        <v>56</v>
      </c>
      <c r="G706" t="s">
        <v>32</v>
      </c>
      <c r="H706">
        <v>320000</v>
      </c>
      <c r="I706">
        <v>3</v>
      </c>
      <c r="J706" t="s">
        <v>47</v>
      </c>
      <c r="K706">
        <f t="shared" ref="K706:K769" si="11">H706-H706*0.2</f>
        <v>256000</v>
      </c>
    </row>
    <row r="707" spans="1:11">
      <c r="A707" t="s">
        <v>124</v>
      </c>
      <c r="B707" t="s">
        <v>27</v>
      </c>
      <c r="C707" t="s">
        <v>45</v>
      </c>
      <c r="D707" t="s">
        <v>29</v>
      </c>
      <c r="E707" t="s">
        <v>37</v>
      </c>
      <c r="F707" t="s">
        <v>62</v>
      </c>
      <c r="G707" t="s">
        <v>51</v>
      </c>
      <c r="H707">
        <v>150000</v>
      </c>
      <c r="I707">
        <v>4</v>
      </c>
      <c r="J707" t="s">
        <v>33</v>
      </c>
      <c r="K707">
        <f t="shared" si="11"/>
        <v>120000</v>
      </c>
    </row>
    <row r="708" spans="1:11">
      <c r="A708" t="s">
        <v>147</v>
      </c>
      <c r="B708" t="s">
        <v>27</v>
      </c>
      <c r="C708" t="s">
        <v>45</v>
      </c>
      <c r="D708" t="s">
        <v>41</v>
      </c>
      <c r="E708" t="s">
        <v>37</v>
      </c>
      <c r="F708" t="s">
        <v>46</v>
      </c>
      <c r="G708" t="s">
        <v>39</v>
      </c>
      <c r="H708">
        <v>60000</v>
      </c>
      <c r="I708">
        <v>8</v>
      </c>
      <c r="J708" t="s">
        <v>47</v>
      </c>
      <c r="K708">
        <f t="shared" si="11"/>
        <v>48000</v>
      </c>
    </row>
    <row r="709" spans="1:11">
      <c r="A709" t="s">
        <v>81</v>
      </c>
      <c r="B709" t="s">
        <v>49</v>
      </c>
      <c r="C709" t="s">
        <v>28</v>
      </c>
      <c r="D709" t="s">
        <v>41</v>
      </c>
      <c r="E709" t="s">
        <v>37</v>
      </c>
      <c r="F709" t="s">
        <v>31</v>
      </c>
      <c r="G709" t="s">
        <v>32</v>
      </c>
      <c r="H709">
        <v>85000</v>
      </c>
      <c r="I709">
        <v>2</v>
      </c>
      <c r="J709" t="s">
        <v>33</v>
      </c>
      <c r="K709">
        <f t="shared" si="11"/>
        <v>68000</v>
      </c>
    </row>
    <row r="710" spans="1:11">
      <c r="A710" t="s">
        <v>34</v>
      </c>
      <c r="B710" t="s">
        <v>49</v>
      </c>
      <c r="C710" t="s">
        <v>36</v>
      </c>
      <c r="D710" t="s">
        <v>41</v>
      </c>
      <c r="E710" t="s">
        <v>37</v>
      </c>
      <c r="F710" t="s">
        <v>50</v>
      </c>
      <c r="G710" t="s">
        <v>51</v>
      </c>
      <c r="H710">
        <v>300000</v>
      </c>
      <c r="I710">
        <v>8</v>
      </c>
      <c r="J710" t="s">
        <v>42</v>
      </c>
      <c r="K710">
        <f t="shared" si="11"/>
        <v>240000</v>
      </c>
    </row>
    <row r="711" spans="1:11">
      <c r="A711" t="s">
        <v>123</v>
      </c>
      <c r="B711" t="s">
        <v>49</v>
      </c>
      <c r="C711" t="s">
        <v>28</v>
      </c>
      <c r="D711" t="s">
        <v>29</v>
      </c>
      <c r="E711" t="s">
        <v>30</v>
      </c>
      <c r="F711" t="s">
        <v>56</v>
      </c>
      <c r="G711" t="s">
        <v>32</v>
      </c>
      <c r="H711">
        <v>320000</v>
      </c>
      <c r="I711">
        <v>5</v>
      </c>
      <c r="J711" t="s">
        <v>65</v>
      </c>
      <c r="K711">
        <f t="shared" si="11"/>
        <v>256000</v>
      </c>
    </row>
    <row r="712" spans="1:11">
      <c r="A712" t="s">
        <v>146</v>
      </c>
      <c r="B712" t="s">
        <v>27</v>
      </c>
      <c r="C712" t="s">
        <v>36</v>
      </c>
      <c r="D712" t="s">
        <v>41</v>
      </c>
      <c r="E712" t="s">
        <v>37</v>
      </c>
      <c r="F712" t="s">
        <v>38</v>
      </c>
      <c r="G712" t="s">
        <v>39</v>
      </c>
      <c r="H712">
        <v>30000</v>
      </c>
      <c r="I712">
        <v>3</v>
      </c>
      <c r="J712" t="s">
        <v>42</v>
      </c>
      <c r="K712">
        <f t="shared" si="11"/>
        <v>24000</v>
      </c>
    </row>
    <row r="713" spans="1:11">
      <c r="A713" t="s">
        <v>76</v>
      </c>
      <c r="B713" t="s">
        <v>44</v>
      </c>
      <c r="C713" t="s">
        <v>28</v>
      </c>
      <c r="D713" t="s">
        <v>29</v>
      </c>
      <c r="E713" t="s">
        <v>37</v>
      </c>
      <c r="F713" t="s">
        <v>38</v>
      </c>
      <c r="G713" t="s">
        <v>39</v>
      </c>
      <c r="H713">
        <v>30000</v>
      </c>
      <c r="I713">
        <v>1</v>
      </c>
      <c r="J713" t="s">
        <v>42</v>
      </c>
      <c r="K713">
        <f t="shared" si="11"/>
        <v>24000</v>
      </c>
    </row>
    <row r="714" spans="1:11">
      <c r="A714" t="s">
        <v>87</v>
      </c>
      <c r="B714" t="s">
        <v>44</v>
      </c>
      <c r="C714" t="s">
        <v>53</v>
      </c>
      <c r="D714" t="s">
        <v>41</v>
      </c>
      <c r="E714" t="s">
        <v>37</v>
      </c>
      <c r="F714" t="s">
        <v>62</v>
      </c>
      <c r="G714" t="s">
        <v>51</v>
      </c>
      <c r="H714">
        <v>150000</v>
      </c>
      <c r="I714">
        <v>3</v>
      </c>
      <c r="J714" t="s">
        <v>42</v>
      </c>
      <c r="K714">
        <f t="shared" si="11"/>
        <v>120000</v>
      </c>
    </row>
    <row r="715" spans="1:11">
      <c r="A715" t="s">
        <v>77</v>
      </c>
      <c r="B715" t="s">
        <v>44</v>
      </c>
      <c r="C715" t="s">
        <v>45</v>
      </c>
      <c r="D715" t="s">
        <v>29</v>
      </c>
      <c r="E715" t="s">
        <v>30</v>
      </c>
      <c r="F715" t="s">
        <v>38</v>
      </c>
      <c r="G715" t="s">
        <v>39</v>
      </c>
      <c r="H715">
        <v>30000</v>
      </c>
      <c r="I715">
        <v>5</v>
      </c>
      <c r="J715" t="s">
        <v>58</v>
      </c>
      <c r="K715">
        <f t="shared" si="11"/>
        <v>24000</v>
      </c>
    </row>
    <row r="716" spans="1:11">
      <c r="A716" t="s">
        <v>57</v>
      </c>
      <c r="B716" t="s">
        <v>49</v>
      </c>
      <c r="C716" t="s">
        <v>53</v>
      </c>
      <c r="D716" t="s">
        <v>41</v>
      </c>
      <c r="E716" t="s">
        <v>37</v>
      </c>
      <c r="F716" t="s">
        <v>54</v>
      </c>
      <c r="G716" t="s">
        <v>39</v>
      </c>
      <c r="H716">
        <v>180000</v>
      </c>
      <c r="I716">
        <v>4</v>
      </c>
      <c r="J716" t="s">
        <v>42</v>
      </c>
      <c r="K716">
        <f t="shared" si="11"/>
        <v>144000</v>
      </c>
    </row>
    <row r="717" spans="1:11">
      <c r="A717" t="s">
        <v>160</v>
      </c>
      <c r="B717" t="s">
        <v>44</v>
      </c>
      <c r="C717" t="s">
        <v>45</v>
      </c>
      <c r="D717" t="s">
        <v>41</v>
      </c>
      <c r="E717" t="s">
        <v>37</v>
      </c>
      <c r="F717" t="s">
        <v>54</v>
      </c>
      <c r="G717" t="s">
        <v>39</v>
      </c>
      <c r="H717">
        <v>180000</v>
      </c>
      <c r="I717">
        <v>3</v>
      </c>
      <c r="J717" t="s">
        <v>69</v>
      </c>
      <c r="K717">
        <f t="shared" si="11"/>
        <v>144000</v>
      </c>
    </row>
    <row r="718" spans="1:11">
      <c r="A718" t="s">
        <v>125</v>
      </c>
      <c r="B718" t="s">
        <v>35</v>
      </c>
      <c r="C718" t="s">
        <v>36</v>
      </c>
      <c r="D718" t="s">
        <v>41</v>
      </c>
      <c r="E718" t="s">
        <v>37</v>
      </c>
      <c r="F718" t="s">
        <v>50</v>
      </c>
      <c r="G718" t="s">
        <v>51</v>
      </c>
      <c r="H718">
        <v>300000</v>
      </c>
      <c r="I718">
        <v>8</v>
      </c>
      <c r="J718" t="s">
        <v>33</v>
      </c>
      <c r="K718">
        <f t="shared" si="11"/>
        <v>240000</v>
      </c>
    </row>
    <row r="719" spans="1:11">
      <c r="A719" t="s">
        <v>79</v>
      </c>
      <c r="B719" t="s">
        <v>35</v>
      </c>
      <c r="C719" t="s">
        <v>53</v>
      </c>
      <c r="D719" t="s">
        <v>41</v>
      </c>
      <c r="E719" t="s">
        <v>30</v>
      </c>
      <c r="F719" t="s">
        <v>31</v>
      </c>
      <c r="G719" t="s">
        <v>32</v>
      </c>
      <c r="H719">
        <v>85000</v>
      </c>
      <c r="I719">
        <v>8</v>
      </c>
      <c r="J719" t="s">
        <v>42</v>
      </c>
      <c r="K719">
        <f t="shared" si="11"/>
        <v>68000</v>
      </c>
    </row>
    <row r="720" spans="1:11">
      <c r="A720" t="s">
        <v>90</v>
      </c>
      <c r="B720" t="s">
        <v>49</v>
      </c>
      <c r="C720" t="s">
        <v>36</v>
      </c>
      <c r="D720" t="s">
        <v>29</v>
      </c>
      <c r="E720" t="s">
        <v>37</v>
      </c>
      <c r="F720" t="s">
        <v>54</v>
      </c>
      <c r="G720" t="s">
        <v>39</v>
      </c>
      <c r="H720">
        <v>180000</v>
      </c>
      <c r="I720">
        <v>1</v>
      </c>
      <c r="J720" t="s">
        <v>33</v>
      </c>
      <c r="K720">
        <f t="shared" si="11"/>
        <v>144000</v>
      </c>
    </row>
    <row r="721" spans="1:11">
      <c r="A721" t="s">
        <v>108</v>
      </c>
      <c r="B721" t="s">
        <v>44</v>
      </c>
      <c r="C721" t="s">
        <v>28</v>
      </c>
      <c r="D721" t="s">
        <v>41</v>
      </c>
      <c r="E721" t="s">
        <v>30</v>
      </c>
      <c r="F721" t="s">
        <v>67</v>
      </c>
      <c r="G721" t="s">
        <v>51</v>
      </c>
      <c r="H721">
        <v>420000</v>
      </c>
      <c r="I721">
        <v>6</v>
      </c>
      <c r="J721" t="s">
        <v>42</v>
      </c>
      <c r="K721">
        <f t="shared" si="11"/>
        <v>336000</v>
      </c>
    </row>
    <row r="722" spans="1:11">
      <c r="A722" t="s">
        <v>140</v>
      </c>
      <c r="B722" t="s">
        <v>27</v>
      </c>
      <c r="C722" t="s">
        <v>53</v>
      </c>
      <c r="D722" t="s">
        <v>29</v>
      </c>
      <c r="E722" t="s">
        <v>37</v>
      </c>
      <c r="F722" t="s">
        <v>67</v>
      </c>
      <c r="G722" t="s">
        <v>51</v>
      </c>
      <c r="H722">
        <v>420000</v>
      </c>
      <c r="I722">
        <v>4</v>
      </c>
      <c r="J722" t="s">
        <v>65</v>
      </c>
      <c r="K722">
        <f t="shared" si="11"/>
        <v>336000</v>
      </c>
    </row>
    <row r="723" spans="1:11">
      <c r="A723" t="s">
        <v>102</v>
      </c>
      <c r="B723" t="s">
        <v>35</v>
      </c>
      <c r="C723" t="s">
        <v>53</v>
      </c>
      <c r="D723" t="s">
        <v>41</v>
      </c>
      <c r="E723" t="s">
        <v>37</v>
      </c>
      <c r="F723" t="s">
        <v>54</v>
      </c>
      <c r="G723" t="s">
        <v>39</v>
      </c>
      <c r="H723">
        <v>180000</v>
      </c>
      <c r="I723">
        <v>3</v>
      </c>
      <c r="J723" t="s">
        <v>42</v>
      </c>
      <c r="K723">
        <f t="shared" si="11"/>
        <v>144000</v>
      </c>
    </row>
    <row r="724" spans="1:11">
      <c r="A724" t="s">
        <v>66</v>
      </c>
      <c r="B724" t="s">
        <v>44</v>
      </c>
      <c r="C724" t="s">
        <v>36</v>
      </c>
      <c r="D724" t="s">
        <v>29</v>
      </c>
      <c r="E724" t="s">
        <v>30</v>
      </c>
      <c r="F724" t="s">
        <v>46</v>
      </c>
      <c r="G724" t="s">
        <v>39</v>
      </c>
      <c r="H724">
        <v>60000</v>
      </c>
      <c r="I724">
        <v>3</v>
      </c>
      <c r="J724" t="s">
        <v>42</v>
      </c>
      <c r="K724">
        <f t="shared" si="11"/>
        <v>48000</v>
      </c>
    </row>
    <row r="725" spans="1:11">
      <c r="A725" t="s">
        <v>98</v>
      </c>
      <c r="B725" t="s">
        <v>35</v>
      </c>
      <c r="C725" t="s">
        <v>53</v>
      </c>
      <c r="D725" t="s">
        <v>29</v>
      </c>
      <c r="E725" t="s">
        <v>37</v>
      </c>
      <c r="F725" t="s">
        <v>62</v>
      </c>
      <c r="G725" t="s">
        <v>51</v>
      </c>
      <c r="H725">
        <v>150000</v>
      </c>
      <c r="I725">
        <v>1</v>
      </c>
      <c r="J725" t="s">
        <v>47</v>
      </c>
      <c r="K725">
        <f t="shared" si="11"/>
        <v>120000</v>
      </c>
    </row>
    <row r="726" spans="1:11">
      <c r="A726" t="s">
        <v>133</v>
      </c>
      <c r="B726" t="s">
        <v>44</v>
      </c>
      <c r="C726" t="s">
        <v>28</v>
      </c>
      <c r="D726" t="s">
        <v>41</v>
      </c>
      <c r="E726" t="s">
        <v>30</v>
      </c>
      <c r="F726" t="s">
        <v>67</v>
      </c>
      <c r="G726" t="s">
        <v>51</v>
      </c>
      <c r="H726">
        <v>420000</v>
      </c>
      <c r="I726">
        <v>4</v>
      </c>
      <c r="J726" t="s">
        <v>42</v>
      </c>
      <c r="K726">
        <f t="shared" si="11"/>
        <v>336000</v>
      </c>
    </row>
    <row r="727" spans="1:11">
      <c r="A727" t="s">
        <v>114</v>
      </c>
      <c r="B727" t="s">
        <v>49</v>
      </c>
      <c r="C727" t="s">
        <v>36</v>
      </c>
      <c r="D727" t="s">
        <v>41</v>
      </c>
      <c r="E727" t="s">
        <v>30</v>
      </c>
      <c r="F727" t="s">
        <v>71</v>
      </c>
      <c r="G727" t="s">
        <v>51</v>
      </c>
      <c r="H727">
        <v>250000</v>
      </c>
      <c r="I727">
        <v>6</v>
      </c>
      <c r="J727" t="s">
        <v>47</v>
      </c>
      <c r="K727">
        <f t="shared" si="11"/>
        <v>200000</v>
      </c>
    </row>
    <row r="728" spans="1:11">
      <c r="A728" t="s">
        <v>118</v>
      </c>
      <c r="B728" t="s">
        <v>44</v>
      </c>
      <c r="C728" t="s">
        <v>28</v>
      </c>
      <c r="D728" t="s">
        <v>41</v>
      </c>
      <c r="E728" t="s">
        <v>37</v>
      </c>
      <c r="F728" t="s">
        <v>56</v>
      </c>
      <c r="G728" t="s">
        <v>32</v>
      </c>
      <c r="H728">
        <v>320000</v>
      </c>
      <c r="I728">
        <v>1</v>
      </c>
      <c r="J728" t="s">
        <v>58</v>
      </c>
      <c r="K728">
        <f t="shared" si="11"/>
        <v>256000</v>
      </c>
    </row>
    <row r="729" spans="1:11">
      <c r="A729" t="s">
        <v>115</v>
      </c>
      <c r="B729" t="s">
        <v>49</v>
      </c>
      <c r="C729" t="s">
        <v>53</v>
      </c>
      <c r="D729" t="s">
        <v>41</v>
      </c>
      <c r="E729" t="s">
        <v>37</v>
      </c>
      <c r="F729" t="s">
        <v>73</v>
      </c>
      <c r="G729" t="s">
        <v>39</v>
      </c>
      <c r="H729">
        <v>220000</v>
      </c>
      <c r="I729">
        <v>10</v>
      </c>
      <c r="J729" t="s">
        <v>69</v>
      </c>
      <c r="K729">
        <f t="shared" si="11"/>
        <v>176000</v>
      </c>
    </row>
    <row r="730" spans="1:11">
      <c r="A730" t="s">
        <v>78</v>
      </c>
      <c r="B730" t="s">
        <v>49</v>
      </c>
      <c r="C730" t="s">
        <v>36</v>
      </c>
      <c r="D730" t="s">
        <v>29</v>
      </c>
      <c r="E730" t="s">
        <v>30</v>
      </c>
      <c r="F730" t="s">
        <v>73</v>
      </c>
      <c r="G730" t="s">
        <v>39</v>
      </c>
      <c r="H730">
        <v>220000</v>
      </c>
      <c r="I730">
        <v>5</v>
      </c>
      <c r="J730" t="s">
        <v>42</v>
      </c>
      <c r="K730">
        <f t="shared" si="11"/>
        <v>176000</v>
      </c>
    </row>
    <row r="731" spans="1:11">
      <c r="A731" t="s">
        <v>110</v>
      </c>
      <c r="B731" t="s">
        <v>44</v>
      </c>
      <c r="C731" t="s">
        <v>45</v>
      </c>
      <c r="D731" t="s">
        <v>41</v>
      </c>
      <c r="E731" t="s">
        <v>37</v>
      </c>
      <c r="F731" t="s">
        <v>73</v>
      </c>
      <c r="G731" t="s">
        <v>39</v>
      </c>
      <c r="H731">
        <v>220000</v>
      </c>
      <c r="I731">
        <v>8</v>
      </c>
      <c r="J731" t="s">
        <v>69</v>
      </c>
      <c r="K731">
        <f t="shared" si="11"/>
        <v>176000</v>
      </c>
    </row>
    <row r="732" spans="1:11">
      <c r="A732" t="s">
        <v>164</v>
      </c>
      <c r="B732" t="s">
        <v>35</v>
      </c>
      <c r="C732" t="s">
        <v>28</v>
      </c>
      <c r="D732" t="s">
        <v>29</v>
      </c>
      <c r="E732" t="s">
        <v>30</v>
      </c>
      <c r="F732" t="s">
        <v>73</v>
      </c>
      <c r="G732" t="s">
        <v>39</v>
      </c>
      <c r="H732">
        <v>220000</v>
      </c>
      <c r="I732">
        <v>9</v>
      </c>
      <c r="J732" t="s">
        <v>47</v>
      </c>
      <c r="K732">
        <f t="shared" si="11"/>
        <v>176000</v>
      </c>
    </row>
    <row r="733" spans="1:11">
      <c r="A733" t="s">
        <v>120</v>
      </c>
      <c r="B733" t="s">
        <v>49</v>
      </c>
      <c r="C733" t="s">
        <v>45</v>
      </c>
      <c r="D733" t="s">
        <v>41</v>
      </c>
      <c r="E733" t="s">
        <v>30</v>
      </c>
      <c r="F733" t="s">
        <v>50</v>
      </c>
      <c r="G733" t="s">
        <v>51</v>
      </c>
      <c r="H733">
        <v>300000</v>
      </c>
      <c r="I733">
        <v>7</v>
      </c>
      <c r="J733" t="s">
        <v>69</v>
      </c>
      <c r="K733">
        <f t="shared" si="11"/>
        <v>240000</v>
      </c>
    </row>
    <row r="734" spans="1:11">
      <c r="A734" t="s">
        <v>104</v>
      </c>
      <c r="B734" t="s">
        <v>27</v>
      </c>
      <c r="C734" t="s">
        <v>53</v>
      </c>
      <c r="D734" t="s">
        <v>29</v>
      </c>
      <c r="E734" t="s">
        <v>30</v>
      </c>
      <c r="F734" t="s">
        <v>67</v>
      </c>
      <c r="G734" t="s">
        <v>51</v>
      </c>
      <c r="H734">
        <v>420000</v>
      </c>
      <c r="I734">
        <v>1</v>
      </c>
      <c r="J734" t="s">
        <v>47</v>
      </c>
      <c r="K734">
        <f t="shared" si="11"/>
        <v>336000</v>
      </c>
    </row>
    <row r="735" spans="1:11">
      <c r="A735" t="s">
        <v>89</v>
      </c>
      <c r="B735" t="s">
        <v>27</v>
      </c>
      <c r="C735" t="s">
        <v>36</v>
      </c>
      <c r="D735" t="s">
        <v>41</v>
      </c>
      <c r="E735" t="s">
        <v>37</v>
      </c>
      <c r="F735" t="s">
        <v>54</v>
      </c>
      <c r="G735" t="s">
        <v>39</v>
      </c>
      <c r="H735">
        <v>180000</v>
      </c>
      <c r="I735">
        <v>6</v>
      </c>
      <c r="J735" t="s">
        <v>47</v>
      </c>
      <c r="K735">
        <f t="shared" si="11"/>
        <v>144000</v>
      </c>
    </row>
    <row r="736" spans="1:11">
      <c r="A736" t="s">
        <v>99</v>
      </c>
      <c r="B736" t="s">
        <v>49</v>
      </c>
      <c r="C736" t="s">
        <v>28</v>
      </c>
      <c r="D736" t="s">
        <v>29</v>
      </c>
      <c r="E736" t="s">
        <v>30</v>
      </c>
      <c r="F736" t="s">
        <v>71</v>
      </c>
      <c r="G736" t="s">
        <v>51</v>
      </c>
      <c r="H736">
        <v>250000</v>
      </c>
      <c r="I736">
        <v>3</v>
      </c>
      <c r="J736" t="s">
        <v>47</v>
      </c>
      <c r="K736">
        <f t="shared" si="11"/>
        <v>200000</v>
      </c>
    </row>
    <row r="737" spans="1:11">
      <c r="A737" t="s">
        <v>138</v>
      </c>
      <c r="B737" t="s">
        <v>49</v>
      </c>
      <c r="C737" t="s">
        <v>53</v>
      </c>
      <c r="D737" t="s">
        <v>29</v>
      </c>
      <c r="E737" t="s">
        <v>30</v>
      </c>
      <c r="F737" t="s">
        <v>56</v>
      </c>
      <c r="G737" t="s">
        <v>32</v>
      </c>
      <c r="H737">
        <v>320000</v>
      </c>
      <c r="I737">
        <v>2</v>
      </c>
      <c r="J737" t="s">
        <v>33</v>
      </c>
      <c r="K737">
        <f t="shared" si="11"/>
        <v>256000</v>
      </c>
    </row>
    <row r="738" spans="1:11">
      <c r="A738" t="s">
        <v>64</v>
      </c>
      <c r="B738" t="s">
        <v>35</v>
      </c>
      <c r="C738" t="s">
        <v>36</v>
      </c>
      <c r="D738" t="s">
        <v>41</v>
      </c>
      <c r="E738" t="s">
        <v>30</v>
      </c>
      <c r="F738" t="s">
        <v>46</v>
      </c>
      <c r="G738" t="s">
        <v>39</v>
      </c>
      <c r="H738">
        <v>60000</v>
      </c>
      <c r="I738">
        <v>3</v>
      </c>
      <c r="J738" t="s">
        <v>42</v>
      </c>
      <c r="K738">
        <f t="shared" si="11"/>
        <v>48000</v>
      </c>
    </row>
    <row r="739" spans="1:11">
      <c r="A739" t="s">
        <v>143</v>
      </c>
      <c r="B739" t="s">
        <v>44</v>
      </c>
      <c r="C739" t="s">
        <v>53</v>
      </c>
      <c r="D739" t="s">
        <v>41</v>
      </c>
      <c r="E739" t="s">
        <v>37</v>
      </c>
      <c r="F739" t="s">
        <v>38</v>
      </c>
      <c r="G739" t="s">
        <v>39</v>
      </c>
      <c r="H739">
        <v>30000</v>
      </c>
      <c r="I739">
        <v>9</v>
      </c>
      <c r="J739" t="s">
        <v>42</v>
      </c>
      <c r="K739">
        <f t="shared" si="11"/>
        <v>24000</v>
      </c>
    </row>
    <row r="740" spans="1:11">
      <c r="A740" t="s">
        <v>57</v>
      </c>
      <c r="B740" t="s">
        <v>35</v>
      </c>
      <c r="C740" t="s">
        <v>45</v>
      </c>
      <c r="D740" t="s">
        <v>41</v>
      </c>
      <c r="E740" t="s">
        <v>37</v>
      </c>
      <c r="F740" t="s">
        <v>54</v>
      </c>
      <c r="G740" t="s">
        <v>39</v>
      </c>
      <c r="H740">
        <v>180000</v>
      </c>
      <c r="I740">
        <v>6</v>
      </c>
      <c r="J740" t="s">
        <v>42</v>
      </c>
      <c r="K740">
        <f t="shared" si="11"/>
        <v>144000</v>
      </c>
    </row>
    <row r="741" spans="1:11">
      <c r="A741" t="s">
        <v>99</v>
      </c>
      <c r="B741" t="s">
        <v>44</v>
      </c>
      <c r="C741" t="s">
        <v>45</v>
      </c>
      <c r="D741" t="s">
        <v>41</v>
      </c>
      <c r="E741" t="s">
        <v>30</v>
      </c>
      <c r="F741" t="s">
        <v>46</v>
      </c>
      <c r="G741" t="s">
        <v>39</v>
      </c>
      <c r="H741">
        <v>60000</v>
      </c>
      <c r="I741">
        <v>8</v>
      </c>
      <c r="J741" t="s">
        <v>65</v>
      </c>
      <c r="K741">
        <f t="shared" si="11"/>
        <v>48000</v>
      </c>
    </row>
    <row r="742" spans="1:11">
      <c r="A742" t="s">
        <v>97</v>
      </c>
      <c r="B742" t="s">
        <v>44</v>
      </c>
      <c r="C742" t="s">
        <v>45</v>
      </c>
      <c r="D742" t="s">
        <v>41</v>
      </c>
      <c r="E742" t="s">
        <v>30</v>
      </c>
      <c r="F742" t="s">
        <v>46</v>
      </c>
      <c r="G742" t="s">
        <v>39</v>
      </c>
      <c r="H742">
        <v>60000</v>
      </c>
      <c r="I742">
        <v>8</v>
      </c>
      <c r="J742" t="s">
        <v>69</v>
      </c>
      <c r="K742">
        <f t="shared" si="11"/>
        <v>48000</v>
      </c>
    </row>
    <row r="743" spans="1:11">
      <c r="A743" t="s">
        <v>106</v>
      </c>
      <c r="B743" t="s">
        <v>44</v>
      </c>
      <c r="C743" t="s">
        <v>45</v>
      </c>
      <c r="D743" t="s">
        <v>41</v>
      </c>
      <c r="E743" t="s">
        <v>37</v>
      </c>
      <c r="F743" t="s">
        <v>71</v>
      </c>
      <c r="G743" t="s">
        <v>51</v>
      </c>
      <c r="H743">
        <v>250000</v>
      </c>
      <c r="I743">
        <v>3</v>
      </c>
      <c r="J743" t="s">
        <v>58</v>
      </c>
      <c r="K743">
        <f t="shared" si="11"/>
        <v>200000</v>
      </c>
    </row>
    <row r="744" spans="1:11">
      <c r="A744" t="s">
        <v>133</v>
      </c>
      <c r="B744" t="s">
        <v>49</v>
      </c>
      <c r="C744" t="s">
        <v>45</v>
      </c>
      <c r="D744" t="s">
        <v>41</v>
      </c>
      <c r="E744" t="s">
        <v>37</v>
      </c>
      <c r="F744" t="s">
        <v>31</v>
      </c>
      <c r="G744" t="s">
        <v>32</v>
      </c>
      <c r="H744">
        <v>85000</v>
      </c>
      <c r="I744">
        <v>6</v>
      </c>
      <c r="J744" t="s">
        <v>65</v>
      </c>
      <c r="K744">
        <f t="shared" si="11"/>
        <v>68000</v>
      </c>
    </row>
    <row r="745" spans="1:11">
      <c r="A745" t="s">
        <v>117</v>
      </c>
      <c r="B745" t="s">
        <v>35</v>
      </c>
      <c r="C745" t="s">
        <v>53</v>
      </c>
      <c r="D745" t="s">
        <v>41</v>
      </c>
      <c r="E745" t="s">
        <v>30</v>
      </c>
      <c r="F745" t="s">
        <v>73</v>
      </c>
      <c r="G745" t="s">
        <v>39</v>
      </c>
      <c r="H745">
        <v>220000</v>
      </c>
      <c r="I745">
        <v>9</v>
      </c>
      <c r="J745" t="s">
        <v>47</v>
      </c>
      <c r="K745">
        <f t="shared" si="11"/>
        <v>176000</v>
      </c>
    </row>
    <row r="746" spans="1:11">
      <c r="A746" t="s">
        <v>94</v>
      </c>
      <c r="B746" t="s">
        <v>49</v>
      </c>
      <c r="C746" t="s">
        <v>53</v>
      </c>
      <c r="D746" t="s">
        <v>41</v>
      </c>
      <c r="E746" t="s">
        <v>37</v>
      </c>
      <c r="F746" t="s">
        <v>71</v>
      </c>
      <c r="G746" t="s">
        <v>51</v>
      </c>
      <c r="H746">
        <v>250000</v>
      </c>
      <c r="I746">
        <v>4</v>
      </c>
      <c r="J746" t="s">
        <v>47</v>
      </c>
      <c r="K746">
        <f t="shared" si="11"/>
        <v>200000</v>
      </c>
    </row>
    <row r="747" spans="1:11">
      <c r="A747" t="s">
        <v>68</v>
      </c>
      <c r="B747" t="s">
        <v>44</v>
      </c>
      <c r="C747" t="s">
        <v>45</v>
      </c>
      <c r="D747" t="s">
        <v>41</v>
      </c>
      <c r="E747" t="s">
        <v>37</v>
      </c>
      <c r="F747" t="s">
        <v>71</v>
      </c>
      <c r="G747" t="s">
        <v>51</v>
      </c>
      <c r="H747">
        <v>250000</v>
      </c>
      <c r="I747">
        <v>3</v>
      </c>
      <c r="J747" t="s">
        <v>33</v>
      </c>
      <c r="K747">
        <f t="shared" si="11"/>
        <v>200000</v>
      </c>
    </row>
    <row r="748" spans="1:11">
      <c r="A748" t="s">
        <v>61</v>
      </c>
      <c r="B748" t="s">
        <v>44</v>
      </c>
      <c r="C748" t="s">
        <v>53</v>
      </c>
      <c r="D748" t="s">
        <v>41</v>
      </c>
      <c r="E748" t="s">
        <v>37</v>
      </c>
      <c r="F748" t="s">
        <v>38</v>
      </c>
      <c r="G748" t="s">
        <v>39</v>
      </c>
      <c r="H748">
        <v>30000</v>
      </c>
      <c r="I748">
        <v>10</v>
      </c>
      <c r="J748" t="s">
        <v>33</v>
      </c>
      <c r="K748">
        <f t="shared" si="11"/>
        <v>24000</v>
      </c>
    </row>
    <row r="749" spans="1:11">
      <c r="A749" t="s">
        <v>76</v>
      </c>
      <c r="B749" t="s">
        <v>49</v>
      </c>
      <c r="C749" t="s">
        <v>45</v>
      </c>
      <c r="D749" t="s">
        <v>41</v>
      </c>
      <c r="E749" t="s">
        <v>37</v>
      </c>
      <c r="F749" t="s">
        <v>50</v>
      </c>
      <c r="G749" t="s">
        <v>51</v>
      </c>
      <c r="H749">
        <v>300000</v>
      </c>
      <c r="I749">
        <v>4</v>
      </c>
      <c r="J749" t="s">
        <v>69</v>
      </c>
      <c r="K749">
        <f t="shared" si="11"/>
        <v>240000</v>
      </c>
    </row>
    <row r="750" spans="1:11">
      <c r="A750" t="s">
        <v>106</v>
      </c>
      <c r="B750" t="s">
        <v>44</v>
      </c>
      <c r="C750" t="s">
        <v>28</v>
      </c>
      <c r="D750" t="s">
        <v>41</v>
      </c>
      <c r="E750" t="s">
        <v>37</v>
      </c>
      <c r="F750" t="s">
        <v>56</v>
      </c>
      <c r="G750" t="s">
        <v>32</v>
      </c>
      <c r="H750">
        <v>320000</v>
      </c>
      <c r="I750">
        <v>2</v>
      </c>
      <c r="J750" t="s">
        <v>58</v>
      </c>
      <c r="K750">
        <f t="shared" si="11"/>
        <v>256000</v>
      </c>
    </row>
    <row r="751" spans="1:11">
      <c r="A751" t="s">
        <v>100</v>
      </c>
      <c r="B751" t="s">
        <v>44</v>
      </c>
      <c r="C751" t="s">
        <v>53</v>
      </c>
      <c r="D751" t="s">
        <v>41</v>
      </c>
      <c r="E751" t="s">
        <v>37</v>
      </c>
      <c r="F751" t="s">
        <v>67</v>
      </c>
      <c r="G751" t="s">
        <v>51</v>
      </c>
      <c r="H751">
        <v>420000</v>
      </c>
      <c r="I751">
        <v>8</v>
      </c>
      <c r="J751" t="s">
        <v>69</v>
      </c>
      <c r="K751">
        <f t="shared" si="11"/>
        <v>336000</v>
      </c>
    </row>
    <row r="752" spans="1:11">
      <c r="A752" t="s">
        <v>124</v>
      </c>
      <c r="B752" t="s">
        <v>44</v>
      </c>
      <c r="C752" t="s">
        <v>53</v>
      </c>
      <c r="D752" t="s">
        <v>41</v>
      </c>
      <c r="E752" t="s">
        <v>37</v>
      </c>
      <c r="F752" t="s">
        <v>38</v>
      </c>
      <c r="G752" t="s">
        <v>39</v>
      </c>
      <c r="H752">
        <v>30000</v>
      </c>
      <c r="I752">
        <v>2</v>
      </c>
      <c r="J752" t="s">
        <v>42</v>
      </c>
      <c r="K752">
        <f t="shared" si="11"/>
        <v>24000</v>
      </c>
    </row>
    <row r="753" spans="1:11">
      <c r="A753" t="s">
        <v>88</v>
      </c>
      <c r="B753" t="s">
        <v>49</v>
      </c>
      <c r="C753" t="s">
        <v>53</v>
      </c>
      <c r="D753" t="s">
        <v>41</v>
      </c>
      <c r="E753" t="s">
        <v>37</v>
      </c>
      <c r="F753" t="s">
        <v>62</v>
      </c>
      <c r="G753" t="s">
        <v>51</v>
      </c>
      <c r="H753">
        <v>150000</v>
      </c>
      <c r="I753">
        <v>3</v>
      </c>
      <c r="J753" t="s">
        <v>33</v>
      </c>
      <c r="K753">
        <f t="shared" si="11"/>
        <v>120000</v>
      </c>
    </row>
    <row r="754" spans="1:11">
      <c r="A754" t="s">
        <v>118</v>
      </c>
      <c r="B754" t="s">
        <v>44</v>
      </c>
      <c r="C754" t="s">
        <v>36</v>
      </c>
      <c r="D754" t="s">
        <v>41</v>
      </c>
      <c r="E754" t="s">
        <v>37</v>
      </c>
      <c r="F754" t="s">
        <v>73</v>
      </c>
      <c r="G754" t="s">
        <v>39</v>
      </c>
      <c r="H754">
        <v>220000</v>
      </c>
      <c r="I754">
        <v>6</v>
      </c>
      <c r="J754" t="s">
        <v>42</v>
      </c>
      <c r="K754">
        <f t="shared" si="11"/>
        <v>176000</v>
      </c>
    </row>
    <row r="755" spans="1:11">
      <c r="A755" t="s">
        <v>99</v>
      </c>
      <c r="B755" t="s">
        <v>27</v>
      </c>
      <c r="C755" t="s">
        <v>28</v>
      </c>
      <c r="D755" t="s">
        <v>41</v>
      </c>
      <c r="E755" t="s">
        <v>30</v>
      </c>
      <c r="F755" t="s">
        <v>46</v>
      </c>
      <c r="G755" t="s">
        <v>39</v>
      </c>
      <c r="H755">
        <v>60000</v>
      </c>
      <c r="I755">
        <v>7</v>
      </c>
      <c r="J755" t="s">
        <v>58</v>
      </c>
      <c r="K755">
        <f t="shared" si="11"/>
        <v>48000</v>
      </c>
    </row>
    <row r="756" spans="1:11">
      <c r="A756" t="s">
        <v>159</v>
      </c>
      <c r="B756" t="s">
        <v>44</v>
      </c>
      <c r="C756" t="s">
        <v>28</v>
      </c>
      <c r="D756" t="s">
        <v>29</v>
      </c>
      <c r="E756" t="s">
        <v>30</v>
      </c>
      <c r="F756" t="s">
        <v>31</v>
      </c>
      <c r="G756" t="s">
        <v>32</v>
      </c>
      <c r="H756">
        <v>85000</v>
      </c>
      <c r="I756">
        <v>7</v>
      </c>
      <c r="J756" t="s">
        <v>58</v>
      </c>
      <c r="K756">
        <f t="shared" si="11"/>
        <v>68000</v>
      </c>
    </row>
    <row r="757" spans="1:11">
      <c r="A757" t="s">
        <v>83</v>
      </c>
      <c r="B757" t="s">
        <v>27</v>
      </c>
      <c r="C757" t="s">
        <v>36</v>
      </c>
      <c r="D757" t="s">
        <v>29</v>
      </c>
      <c r="E757" t="s">
        <v>30</v>
      </c>
      <c r="F757" t="s">
        <v>67</v>
      </c>
      <c r="G757" t="s">
        <v>51</v>
      </c>
      <c r="H757">
        <v>420000</v>
      </c>
      <c r="I757">
        <v>6</v>
      </c>
      <c r="J757" t="s">
        <v>33</v>
      </c>
      <c r="K757">
        <f t="shared" si="11"/>
        <v>336000</v>
      </c>
    </row>
    <row r="758" spans="1:11">
      <c r="A758" t="s">
        <v>78</v>
      </c>
      <c r="B758" t="s">
        <v>27</v>
      </c>
      <c r="C758" t="s">
        <v>28</v>
      </c>
      <c r="D758" t="s">
        <v>29</v>
      </c>
      <c r="E758" t="s">
        <v>37</v>
      </c>
      <c r="F758" t="s">
        <v>50</v>
      </c>
      <c r="G758" t="s">
        <v>51</v>
      </c>
      <c r="H758">
        <v>300000</v>
      </c>
      <c r="I758">
        <v>3</v>
      </c>
      <c r="J758" t="s">
        <v>47</v>
      </c>
      <c r="K758">
        <f t="shared" si="11"/>
        <v>240000</v>
      </c>
    </row>
    <row r="759" spans="1:11">
      <c r="A759" t="s">
        <v>176</v>
      </c>
      <c r="B759" t="s">
        <v>49</v>
      </c>
      <c r="C759" t="s">
        <v>53</v>
      </c>
      <c r="D759" t="s">
        <v>29</v>
      </c>
      <c r="E759" t="s">
        <v>30</v>
      </c>
      <c r="F759" t="s">
        <v>73</v>
      </c>
      <c r="G759" t="s">
        <v>39</v>
      </c>
      <c r="H759">
        <v>220000</v>
      </c>
      <c r="I759">
        <v>10</v>
      </c>
      <c r="J759" t="s">
        <v>33</v>
      </c>
      <c r="K759">
        <f t="shared" si="11"/>
        <v>176000</v>
      </c>
    </row>
    <row r="760" spans="1:11">
      <c r="A760" t="s">
        <v>40</v>
      </c>
      <c r="B760" t="s">
        <v>49</v>
      </c>
      <c r="C760" t="s">
        <v>28</v>
      </c>
      <c r="D760" t="s">
        <v>41</v>
      </c>
      <c r="E760" t="s">
        <v>37</v>
      </c>
      <c r="F760" t="s">
        <v>31</v>
      </c>
      <c r="G760" t="s">
        <v>32</v>
      </c>
      <c r="H760">
        <v>85000</v>
      </c>
      <c r="I760">
        <v>4</v>
      </c>
      <c r="J760" t="s">
        <v>58</v>
      </c>
      <c r="K760">
        <f t="shared" si="11"/>
        <v>68000</v>
      </c>
    </row>
    <row r="761" spans="1:11">
      <c r="A761" t="s">
        <v>171</v>
      </c>
      <c r="B761" t="s">
        <v>49</v>
      </c>
      <c r="C761" t="s">
        <v>36</v>
      </c>
      <c r="D761" t="s">
        <v>29</v>
      </c>
      <c r="E761" t="s">
        <v>37</v>
      </c>
      <c r="F761" t="s">
        <v>56</v>
      </c>
      <c r="G761" t="s">
        <v>32</v>
      </c>
      <c r="H761">
        <v>320000</v>
      </c>
      <c r="I761">
        <v>4</v>
      </c>
      <c r="J761" t="s">
        <v>69</v>
      </c>
      <c r="K761">
        <f t="shared" si="11"/>
        <v>256000</v>
      </c>
    </row>
    <row r="762" spans="1:11">
      <c r="A762" t="s">
        <v>139</v>
      </c>
      <c r="B762" t="s">
        <v>44</v>
      </c>
      <c r="C762" t="s">
        <v>53</v>
      </c>
      <c r="D762" t="s">
        <v>29</v>
      </c>
      <c r="E762" t="s">
        <v>37</v>
      </c>
      <c r="F762" t="s">
        <v>62</v>
      </c>
      <c r="G762" t="s">
        <v>51</v>
      </c>
      <c r="H762">
        <v>150000</v>
      </c>
      <c r="I762">
        <v>6</v>
      </c>
      <c r="J762" t="s">
        <v>69</v>
      </c>
      <c r="K762">
        <f t="shared" si="11"/>
        <v>120000</v>
      </c>
    </row>
    <row r="763" spans="1:11">
      <c r="A763" t="s">
        <v>139</v>
      </c>
      <c r="B763" t="s">
        <v>27</v>
      </c>
      <c r="C763" t="s">
        <v>36</v>
      </c>
      <c r="D763" t="s">
        <v>29</v>
      </c>
      <c r="E763" t="s">
        <v>37</v>
      </c>
      <c r="F763" t="s">
        <v>56</v>
      </c>
      <c r="G763" t="s">
        <v>32</v>
      </c>
      <c r="H763">
        <v>320000</v>
      </c>
      <c r="I763">
        <v>2</v>
      </c>
      <c r="J763" t="s">
        <v>69</v>
      </c>
      <c r="K763">
        <f t="shared" si="11"/>
        <v>256000</v>
      </c>
    </row>
    <row r="764" spans="1:11">
      <c r="A764" t="s">
        <v>148</v>
      </c>
      <c r="B764" t="s">
        <v>49</v>
      </c>
      <c r="C764" t="s">
        <v>45</v>
      </c>
      <c r="D764" t="s">
        <v>29</v>
      </c>
      <c r="E764" t="s">
        <v>30</v>
      </c>
      <c r="F764" t="s">
        <v>56</v>
      </c>
      <c r="G764" t="s">
        <v>32</v>
      </c>
      <c r="H764">
        <v>320000</v>
      </c>
      <c r="I764">
        <v>10</v>
      </c>
      <c r="J764" t="s">
        <v>69</v>
      </c>
      <c r="K764">
        <f t="shared" si="11"/>
        <v>256000</v>
      </c>
    </row>
    <row r="765" spans="1:11">
      <c r="A765" t="s">
        <v>156</v>
      </c>
      <c r="B765" t="s">
        <v>44</v>
      </c>
      <c r="C765" t="s">
        <v>36</v>
      </c>
      <c r="D765" t="s">
        <v>41</v>
      </c>
      <c r="E765" t="s">
        <v>30</v>
      </c>
      <c r="F765" t="s">
        <v>67</v>
      </c>
      <c r="G765" t="s">
        <v>51</v>
      </c>
      <c r="H765">
        <v>420000</v>
      </c>
      <c r="I765">
        <v>8</v>
      </c>
      <c r="J765" t="s">
        <v>33</v>
      </c>
      <c r="K765">
        <f t="shared" si="11"/>
        <v>336000</v>
      </c>
    </row>
    <row r="766" spans="1:11">
      <c r="A766" t="s">
        <v>82</v>
      </c>
      <c r="B766" t="s">
        <v>49</v>
      </c>
      <c r="C766" t="s">
        <v>28</v>
      </c>
      <c r="D766" t="s">
        <v>41</v>
      </c>
      <c r="E766" t="s">
        <v>30</v>
      </c>
      <c r="F766" t="s">
        <v>62</v>
      </c>
      <c r="G766" t="s">
        <v>51</v>
      </c>
      <c r="H766">
        <v>150000</v>
      </c>
      <c r="I766">
        <v>5</v>
      </c>
      <c r="J766" t="s">
        <v>65</v>
      </c>
      <c r="K766">
        <f t="shared" si="11"/>
        <v>120000</v>
      </c>
    </row>
    <row r="767" spans="1:11">
      <c r="A767" t="s">
        <v>114</v>
      </c>
      <c r="B767" t="s">
        <v>27</v>
      </c>
      <c r="C767" t="s">
        <v>45</v>
      </c>
      <c r="D767" t="s">
        <v>41</v>
      </c>
      <c r="E767" t="s">
        <v>37</v>
      </c>
      <c r="F767" t="s">
        <v>31</v>
      </c>
      <c r="G767" t="s">
        <v>32</v>
      </c>
      <c r="H767">
        <v>85000</v>
      </c>
      <c r="I767">
        <v>1</v>
      </c>
      <c r="J767" t="s">
        <v>65</v>
      </c>
      <c r="K767">
        <f t="shared" si="11"/>
        <v>68000</v>
      </c>
    </row>
    <row r="768" spans="1:11">
      <c r="A768" t="s">
        <v>113</v>
      </c>
      <c r="B768" t="s">
        <v>35</v>
      </c>
      <c r="C768" t="s">
        <v>53</v>
      </c>
      <c r="D768" t="s">
        <v>41</v>
      </c>
      <c r="E768" t="s">
        <v>37</v>
      </c>
      <c r="F768" t="s">
        <v>67</v>
      </c>
      <c r="G768" t="s">
        <v>51</v>
      </c>
      <c r="H768">
        <v>420000</v>
      </c>
      <c r="I768">
        <v>2</v>
      </c>
      <c r="J768" t="s">
        <v>69</v>
      </c>
      <c r="K768">
        <f t="shared" si="11"/>
        <v>336000</v>
      </c>
    </row>
    <row r="769" spans="1:11">
      <c r="A769" t="s">
        <v>115</v>
      </c>
      <c r="B769" t="s">
        <v>35</v>
      </c>
      <c r="C769" t="s">
        <v>53</v>
      </c>
      <c r="D769" t="s">
        <v>29</v>
      </c>
      <c r="E769" t="s">
        <v>37</v>
      </c>
      <c r="F769" t="s">
        <v>54</v>
      </c>
      <c r="G769" t="s">
        <v>39</v>
      </c>
      <c r="H769">
        <v>180000</v>
      </c>
      <c r="I769">
        <v>6</v>
      </c>
      <c r="J769" t="s">
        <v>69</v>
      </c>
      <c r="K769">
        <f t="shared" si="11"/>
        <v>144000</v>
      </c>
    </row>
    <row r="770" spans="1:11">
      <c r="A770" t="s">
        <v>154</v>
      </c>
      <c r="B770" t="s">
        <v>35</v>
      </c>
      <c r="C770" t="s">
        <v>28</v>
      </c>
      <c r="D770" t="s">
        <v>29</v>
      </c>
      <c r="E770" t="s">
        <v>37</v>
      </c>
      <c r="F770" t="s">
        <v>73</v>
      </c>
      <c r="G770" t="s">
        <v>39</v>
      </c>
      <c r="H770">
        <v>220000</v>
      </c>
      <c r="I770">
        <v>7</v>
      </c>
      <c r="J770" t="s">
        <v>33</v>
      </c>
      <c r="K770">
        <f t="shared" ref="K770:K833" si="12">H770-H770*0.2</f>
        <v>176000</v>
      </c>
    </row>
    <row r="771" spans="1:11">
      <c r="A771" t="s">
        <v>48</v>
      </c>
      <c r="B771" t="s">
        <v>35</v>
      </c>
      <c r="C771" t="s">
        <v>28</v>
      </c>
      <c r="D771" t="s">
        <v>29</v>
      </c>
      <c r="E771" t="s">
        <v>30</v>
      </c>
      <c r="F771" t="s">
        <v>73</v>
      </c>
      <c r="G771" t="s">
        <v>39</v>
      </c>
      <c r="H771">
        <v>220000</v>
      </c>
      <c r="I771">
        <v>5</v>
      </c>
      <c r="J771" t="s">
        <v>42</v>
      </c>
      <c r="K771">
        <f t="shared" si="12"/>
        <v>176000</v>
      </c>
    </row>
    <row r="772" spans="1:11">
      <c r="A772" t="s">
        <v>68</v>
      </c>
      <c r="B772" t="s">
        <v>49</v>
      </c>
      <c r="C772" t="s">
        <v>28</v>
      </c>
      <c r="D772" t="s">
        <v>29</v>
      </c>
      <c r="E772" t="s">
        <v>37</v>
      </c>
      <c r="F772" t="s">
        <v>50</v>
      </c>
      <c r="G772" t="s">
        <v>51</v>
      </c>
      <c r="H772">
        <v>300000</v>
      </c>
      <c r="I772">
        <v>6</v>
      </c>
      <c r="J772" t="s">
        <v>47</v>
      </c>
      <c r="K772">
        <f t="shared" si="12"/>
        <v>240000</v>
      </c>
    </row>
    <row r="773" spans="1:11">
      <c r="A773" t="s">
        <v>155</v>
      </c>
      <c r="B773" t="s">
        <v>27</v>
      </c>
      <c r="C773" t="s">
        <v>45</v>
      </c>
      <c r="D773" t="s">
        <v>29</v>
      </c>
      <c r="E773" t="s">
        <v>37</v>
      </c>
      <c r="F773" t="s">
        <v>71</v>
      </c>
      <c r="G773" t="s">
        <v>51</v>
      </c>
      <c r="H773">
        <v>250000</v>
      </c>
      <c r="I773">
        <v>4</v>
      </c>
      <c r="J773" t="s">
        <v>47</v>
      </c>
      <c r="K773">
        <f t="shared" si="12"/>
        <v>200000</v>
      </c>
    </row>
    <row r="774" spans="1:11">
      <c r="A774" t="s">
        <v>99</v>
      </c>
      <c r="B774" t="s">
        <v>49</v>
      </c>
      <c r="C774" t="s">
        <v>36</v>
      </c>
      <c r="D774" t="s">
        <v>41</v>
      </c>
      <c r="E774" t="s">
        <v>30</v>
      </c>
      <c r="F774" t="s">
        <v>56</v>
      </c>
      <c r="G774" t="s">
        <v>32</v>
      </c>
      <c r="H774">
        <v>320000</v>
      </c>
      <c r="I774">
        <v>5</v>
      </c>
      <c r="J774" t="s">
        <v>42</v>
      </c>
      <c r="K774">
        <f t="shared" si="12"/>
        <v>256000</v>
      </c>
    </row>
    <row r="775" spans="1:11">
      <c r="A775" t="s">
        <v>164</v>
      </c>
      <c r="B775" t="s">
        <v>49</v>
      </c>
      <c r="C775" t="s">
        <v>28</v>
      </c>
      <c r="D775" t="s">
        <v>29</v>
      </c>
      <c r="E775" t="s">
        <v>37</v>
      </c>
      <c r="F775" t="s">
        <v>50</v>
      </c>
      <c r="G775" t="s">
        <v>51</v>
      </c>
      <c r="H775">
        <v>300000</v>
      </c>
      <c r="I775">
        <v>10</v>
      </c>
      <c r="J775" t="s">
        <v>69</v>
      </c>
      <c r="K775">
        <f t="shared" si="12"/>
        <v>240000</v>
      </c>
    </row>
    <row r="776" spans="1:11">
      <c r="A776" t="s">
        <v>87</v>
      </c>
      <c r="B776" t="s">
        <v>49</v>
      </c>
      <c r="C776" t="s">
        <v>28</v>
      </c>
      <c r="D776" t="s">
        <v>29</v>
      </c>
      <c r="E776" t="s">
        <v>37</v>
      </c>
      <c r="F776" t="s">
        <v>46</v>
      </c>
      <c r="G776" t="s">
        <v>39</v>
      </c>
      <c r="H776">
        <v>60000</v>
      </c>
      <c r="I776">
        <v>5</v>
      </c>
      <c r="J776" t="s">
        <v>65</v>
      </c>
      <c r="K776">
        <f t="shared" si="12"/>
        <v>48000</v>
      </c>
    </row>
    <row r="777" spans="1:11">
      <c r="A777" t="s">
        <v>137</v>
      </c>
      <c r="B777" t="s">
        <v>49</v>
      </c>
      <c r="C777" t="s">
        <v>45</v>
      </c>
      <c r="D777" t="s">
        <v>29</v>
      </c>
      <c r="E777" t="s">
        <v>30</v>
      </c>
      <c r="F777" t="s">
        <v>67</v>
      </c>
      <c r="G777" t="s">
        <v>51</v>
      </c>
      <c r="H777">
        <v>420000</v>
      </c>
      <c r="I777">
        <v>8</v>
      </c>
      <c r="J777" t="s">
        <v>58</v>
      </c>
      <c r="K777">
        <f t="shared" si="12"/>
        <v>336000</v>
      </c>
    </row>
    <row r="778" spans="1:11">
      <c r="A778" t="s">
        <v>115</v>
      </c>
      <c r="B778" t="s">
        <v>27</v>
      </c>
      <c r="C778" t="s">
        <v>53</v>
      </c>
      <c r="D778" t="s">
        <v>41</v>
      </c>
      <c r="E778" t="s">
        <v>30</v>
      </c>
      <c r="F778" t="s">
        <v>50</v>
      </c>
      <c r="G778" t="s">
        <v>51</v>
      </c>
      <c r="H778">
        <v>300000</v>
      </c>
      <c r="I778">
        <v>1</v>
      </c>
      <c r="J778" t="s">
        <v>42</v>
      </c>
      <c r="K778">
        <f t="shared" si="12"/>
        <v>240000</v>
      </c>
    </row>
    <row r="779" spans="1:11">
      <c r="A779" t="s">
        <v>87</v>
      </c>
      <c r="B779" t="s">
        <v>27</v>
      </c>
      <c r="C779" t="s">
        <v>45</v>
      </c>
      <c r="D779" t="s">
        <v>41</v>
      </c>
      <c r="E779" t="s">
        <v>37</v>
      </c>
      <c r="F779" t="s">
        <v>67</v>
      </c>
      <c r="G779" t="s">
        <v>51</v>
      </c>
      <c r="H779">
        <v>420000</v>
      </c>
      <c r="I779">
        <v>2</v>
      </c>
      <c r="J779" t="s">
        <v>65</v>
      </c>
      <c r="K779">
        <f t="shared" si="12"/>
        <v>336000</v>
      </c>
    </row>
    <row r="780" spans="1:11">
      <c r="A780" t="s">
        <v>176</v>
      </c>
      <c r="B780" t="s">
        <v>44</v>
      </c>
      <c r="C780" t="s">
        <v>36</v>
      </c>
      <c r="D780" t="s">
        <v>41</v>
      </c>
      <c r="E780" t="s">
        <v>30</v>
      </c>
      <c r="F780" t="s">
        <v>67</v>
      </c>
      <c r="G780" t="s">
        <v>51</v>
      </c>
      <c r="H780">
        <v>420000</v>
      </c>
      <c r="I780">
        <v>7</v>
      </c>
      <c r="J780" t="s">
        <v>58</v>
      </c>
      <c r="K780">
        <f t="shared" si="12"/>
        <v>336000</v>
      </c>
    </row>
    <row r="781" spans="1:11">
      <c r="A781" t="s">
        <v>152</v>
      </c>
      <c r="B781" t="s">
        <v>27</v>
      </c>
      <c r="C781" t="s">
        <v>45</v>
      </c>
      <c r="D781" t="s">
        <v>41</v>
      </c>
      <c r="E781" t="s">
        <v>30</v>
      </c>
      <c r="F781" t="s">
        <v>54</v>
      </c>
      <c r="G781" t="s">
        <v>39</v>
      </c>
      <c r="H781">
        <v>180000</v>
      </c>
      <c r="I781">
        <v>8</v>
      </c>
      <c r="J781" t="s">
        <v>47</v>
      </c>
      <c r="K781">
        <f t="shared" si="12"/>
        <v>144000</v>
      </c>
    </row>
    <row r="782" spans="1:11">
      <c r="A782" t="s">
        <v>134</v>
      </c>
      <c r="B782" t="s">
        <v>27</v>
      </c>
      <c r="C782" t="s">
        <v>45</v>
      </c>
      <c r="D782" t="s">
        <v>29</v>
      </c>
      <c r="E782" t="s">
        <v>30</v>
      </c>
      <c r="F782" t="s">
        <v>46</v>
      </c>
      <c r="G782" t="s">
        <v>39</v>
      </c>
      <c r="H782">
        <v>60000</v>
      </c>
      <c r="I782">
        <v>7</v>
      </c>
      <c r="J782" t="s">
        <v>47</v>
      </c>
      <c r="K782">
        <f t="shared" si="12"/>
        <v>48000</v>
      </c>
    </row>
    <row r="783" spans="1:11">
      <c r="A783" t="s">
        <v>93</v>
      </c>
      <c r="B783" t="s">
        <v>35</v>
      </c>
      <c r="C783" t="s">
        <v>36</v>
      </c>
      <c r="D783" t="s">
        <v>41</v>
      </c>
      <c r="E783" t="s">
        <v>30</v>
      </c>
      <c r="F783" t="s">
        <v>67</v>
      </c>
      <c r="G783" t="s">
        <v>51</v>
      </c>
      <c r="H783">
        <v>420000</v>
      </c>
      <c r="I783">
        <v>7</v>
      </c>
      <c r="J783" t="s">
        <v>47</v>
      </c>
      <c r="K783">
        <f t="shared" si="12"/>
        <v>336000</v>
      </c>
    </row>
    <row r="784" spans="1:11">
      <c r="A784" t="s">
        <v>90</v>
      </c>
      <c r="B784" t="s">
        <v>35</v>
      </c>
      <c r="C784" t="s">
        <v>28</v>
      </c>
      <c r="D784" t="s">
        <v>29</v>
      </c>
      <c r="E784" t="s">
        <v>30</v>
      </c>
      <c r="F784" t="s">
        <v>54</v>
      </c>
      <c r="G784" t="s">
        <v>39</v>
      </c>
      <c r="H784">
        <v>180000</v>
      </c>
      <c r="I784">
        <v>5</v>
      </c>
      <c r="J784" t="s">
        <v>69</v>
      </c>
      <c r="K784">
        <f t="shared" si="12"/>
        <v>144000</v>
      </c>
    </row>
    <row r="785" spans="1:11">
      <c r="A785" t="s">
        <v>161</v>
      </c>
      <c r="B785" t="s">
        <v>35</v>
      </c>
      <c r="C785" t="s">
        <v>45</v>
      </c>
      <c r="D785" t="s">
        <v>41</v>
      </c>
      <c r="E785" t="s">
        <v>37</v>
      </c>
      <c r="F785" t="s">
        <v>67</v>
      </c>
      <c r="G785" t="s">
        <v>51</v>
      </c>
      <c r="H785">
        <v>420000</v>
      </c>
      <c r="I785">
        <v>9</v>
      </c>
      <c r="J785" t="s">
        <v>69</v>
      </c>
      <c r="K785">
        <f t="shared" si="12"/>
        <v>336000</v>
      </c>
    </row>
    <row r="786" spans="1:11">
      <c r="A786" t="s">
        <v>74</v>
      </c>
      <c r="B786" t="s">
        <v>35</v>
      </c>
      <c r="C786" t="s">
        <v>45</v>
      </c>
      <c r="D786" t="s">
        <v>41</v>
      </c>
      <c r="E786" t="s">
        <v>37</v>
      </c>
      <c r="F786" t="s">
        <v>50</v>
      </c>
      <c r="G786" t="s">
        <v>51</v>
      </c>
      <c r="H786">
        <v>300000</v>
      </c>
      <c r="I786">
        <v>7</v>
      </c>
      <c r="J786" t="s">
        <v>58</v>
      </c>
      <c r="K786">
        <f t="shared" si="12"/>
        <v>240000</v>
      </c>
    </row>
    <row r="787" spans="1:11">
      <c r="A787" t="s">
        <v>78</v>
      </c>
      <c r="B787" t="s">
        <v>27</v>
      </c>
      <c r="C787" t="s">
        <v>53</v>
      </c>
      <c r="D787" t="s">
        <v>29</v>
      </c>
      <c r="E787" t="s">
        <v>37</v>
      </c>
      <c r="F787" t="s">
        <v>62</v>
      </c>
      <c r="G787" t="s">
        <v>51</v>
      </c>
      <c r="H787">
        <v>150000</v>
      </c>
      <c r="I787">
        <v>3</v>
      </c>
      <c r="J787" t="s">
        <v>42</v>
      </c>
      <c r="K787">
        <f t="shared" si="12"/>
        <v>120000</v>
      </c>
    </row>
    <row r="788" spans="1:11">
      <c r="A788" t="s">
        <v>127</v>
      </c>
      <c r="B788" t="s">
        <v>27</v>
      </c>
      <c r="C788" t="s">
        <v>36</v>
      </c>
      <c r="D788" t="s">
        <v>29</v>
      </c>
      <c r="E788" t="s">
        <v>37</v>
      </c>
      <c r="F788" t="s">
        <v>50</v>
      </c>
      <c r="G788" t="s">
        <v>51</v>
      </c>
      <c r="H788">
        <v>300000</v>
      </c>
      <c r="I788">
        <v>10</v>
      </c>
      <c r="J788" t="s">
        <v>69</v>
      </c>
      <c r="K788">
        <f t="shared" si="12"/>
        <v>240000</v>
      </c>
    </row>
    <row r="789" spans="1:11">
      <c r="A789" t="s">
        <v>111</v>
      </c>
      <c r="B789" t="s">
        <v>35</v>
      </c>
      <c r="C789" t="s">
        <v>28</v>
      </c>
      <c r="D789" t="s">
        <v>29</v>
      </c>
      <c r="E789" t="s">
        <v>30</v>
      </c>
      <c r="F789" t="s">
        <v>67</v>
      </c>
      <c r="G789" t="s">
        <v>51</v>
      </c>
      <c r="H789">
        <v>420000</v>
      </c>
      <c r="I789">
        <v>8</v>
      </c>
      <c r="J789" t="s">
        <v>69</v>
      </c>
      <c r="K789">
        <f t="shared" si="12"/>
        <v>336000</v>
      </c>
    </row>
    <row r="790" spans="1:11">
      <c r="A790" t="s">
        <v>171</v>
      </c>
      <c r="B790" t="s">
        <v>27</v>
      </c>
      <c r="C790" t="s">
        <v>45</v>
      </c>
      <c r="D790" t="s">
        <v>41</v>
      </c>
      <c r="E790" t="s">
        <v>37</v>
      </c>
      <c r="F790" t="s">
        <v>73</v>
      </c>
      <c r="G790" t="s">
        <v>39</v>
      </c>
      <c r="H790">
        <v>220000</v>
      </c>
      <c r="I790">
        <v>2</v>
      </c>
      <c r="J790" t="s">
        <v>47</v>
      </c>
      <c r="K790">
        <f t="shared" si="12"/>
        <v>176000</v>
      </c>
    </row>
    <row r="791" spans="1:11">
      <c r="A791" t="s">
        <v>148</v>
      </c>
      <c r="B791" t="s">
        <v>27</v>
      </c>
      <c r="C791" t="s">
        <v>53</v>
      </c>
      <c r="D791" t="s">
        <v>29</v>
      </c>
      <c r="E791" t="s">
        <v>30</v>
      </c>
      <c r="F791" t="s">
        <v>62</v>
      </c>
      <c r="G791" t="s">
        <v>51</v>
      </c>
      <c r="H791">
        <v>150000</v>
      </c>
      <c r="I791">
        <v>4</v>
      </c>
      <c r="J791" t="s">
        <v>33</v>
      </c>
      <c r="K791">
        <f t="shared" si="12"/>
        <v>120000</v>
      </c>
    </row>
    <row r="792" spans="1:11">
      <c r="A792" t="s">
        <v>133</v>
      </c>
      <c r="B792" t="s">
        <v>27</v>
      </c>
      <c r="C792" t="s">
        <v>36</v>
      </c>
      <c r="D792" t="s">
        <v>29</v>
      </c>
      <c r="E792" t="s">
        <v>30</v>
      </c>
      <c r="F792" t="s">
        <v>38</v>
      </c>
      <c r="G792" t="s">
        <v>39</v>
      </c>
      <c r="H792">
        <v>30000</v>
      </c>
      <c r="I792">
        <v>8</v>
      </c>
      <c r="J792" t="s">
        <v>58</v>
      </c>
      <c r="K792">
        <f t="shared" si="12"/>
        <v>24000</v>
      </c>
    </row>
    <row r="793" spans="1:11">
      <c r="A793" t="s">
        <v>95</v>
      </c>
      <c r="B793" t="s">
        <v>27</v>
      </c>
      <c r="C793" t="s">
        <v>45</v>
      </c>
      <c r="D793" t="s">
        <v>41</v>
      </c>
      <c r="E793" t="s">
        <v>37</v>
      </c>
      <c r="F793" t="s">
        <v>67</v>
      </c>
      <c r="G793" t="s">
        <v>51</v>
      </c>
      <c r="H793">
        <v>420000</v>
      </c>
      <c r="I793">
        <v>3</v>
      </c>
      <c r="J793" t="s">
        <v>65</v>
      </c>
      <c r="K793">
        <f t="shared" si="12"/>
        <v>336000</v>
      </c>
    </row>
    <row r="794" spans="1:11">
      <c r="A794" t="s">
        <v>127</v>
      </c>
      <c r="B794" t="s">
        <v>27</v>
      </c>
      <c r="C794" t="s">
        <v>28</v>
      </c>
      <c r="D794" t="s">
        <v>41</v>
      </c>
      <c r="E794" t="s">
        <v>37</v>
      </c>
      <c r="F794" t="s">
        <v>50</v>
      </c>
      <c r="G794" t="s">
        <v>51</v>
      </c>
      <c r="H794">
        <v>300000</v>
      </c>
      <c r="I794">
        <v>4</v>
      </c>
      <c r="J794" t="s">
        <v>69</v>
      </c>
      <c r="K794">
        <f t="shared" si="12"/>
        <v>240000</v>
      </c>
    </row>
    <row r="795" spans="1:11">
      <c r="A795" t="s">
        <v>122</v>
      </c>
      <c r="B795" t="s">
        <v>27</v>
      </c>
      <c r="C795" t="s">
        <v>36</v>
      </c>
      <c r="D795" t="s">
        <v>29</v>
      </c>
      <c r="E795" t="s">
        <v>30</v>
      </c>
      <c r="F795" t="s">
        <v>71</v>
      </c>
      <c r="G795" t="s">
        <v>51</v>
      </c>
      <c r="H795">
        <v>250000</v>
      </c>
      <c r="I795">
        <v>6</v>
      </c>
      <c r="J795" t="s">
        <v>42</v>
      </c>
      <c r="K795">
        <f t="shared" si="12"/>
        <v>200000</v>
      </c>
    </row>
    <row r="796" spans="1:11">
      <c r="A796" t="s">
        <v>155</v>
      </c>
      <c r="B796" t="s">
        <v>27</v>
      </c>
      <c r="C796" t="s">
        <v>45</v>
      </c>
      <c r="D796" t="s">
        <v>41</v>
      </c>
      <c r="E796" t="s">
        <v>37</v>
      </c>
      <c r="F796" t="s">
        <v>56</v>
      </c>
      <c r="G796" t="s">
        <v>32</v>
      </c>
      <c r="H796">
        <v>320000</v>
      </c>
      <c r="I796">
        <v>6</v>
      </c>
      <c r="J796" t="s">
        <v>58</v>
      </c>
      <c r="K796">
        <f t="shared" si="12"/>
        <v>256000</v>
      </c>
    </row>
    <row r="797" spans="1:11">
      <c r="A797" t="s">
        <v>158</v>
      </c>
      <c r="B797" t="s">
        <v>27</v>
      </c>
      <c r="C797" t="s">
        <v>45</v>
      </c>
      <c r="D797" t="s">
        <v>29</v>
      </c>
      <c r="E797" t="s">
        <v>30</v>
      </c>
      <c r="F797" t="s">
        <v>54</v>
      </c>
      <c r="G797" t="s">
        <v>39</v>
      </c>
      <c r="H797">
        <v>180000</v>
      </c>
      <c r="I797">
        <v>5</v>
      </c>
      <c r="J797" t="s">
        <v>58</v>
      </c>
      <c r="K797">
        <f t="shared" si="12"/>
        <v>144000</v>
      </c>
    </row>
    <row r="798" spans="1:11">
      <c r="A798" t="s">
        <v>174</v>
      </c>
      <c r="B798" t="s">
        <v>27</v>
      </c>
      <c r="C798" t="s">
        <v>28</v>
      </c>
      <c r="D798" t="s">
        <v>29</v>
      </c>
      <c r="E798" t="s">
        <v>30</v>
      </c>
      <c r="F798" t="s">
        <v>62</v>
      </c>
      <c r="G798" t="s">
        <v>51</v>
      </c>
      <c r="H798">
        <v>150000</v>
      </c>
      <c r="I798">
        <v>1</v>
      </c>
      <c r="J798" t="s">
        <v>47</v>
      </c>
      <c r="K798">
        <f t="shared" si="12"/>
        <v>120000</v>
      </c>
    </row>
    <row r="799" spans="1:11">
      <c r="A799" t="s">
        <v>101</v>
      </c>
      <c r="B799" t="s">
        <v>27</v>
      </c>
      <c r="C799" t="s">
        <v>28</v>
      </c>
      <c r="D799" t="s">
        <v>29</v>
      </c>
      <c r="E799" t="s">
        <v>37</v>
      </c>
      <c r="F799" t="s">
        <v>46</v>
      </c>
      <c r="G799" t="s">
        <v>39</v>
      </c>
      <c r="H799">
        <v>60000</v>
      </c>
      <c r="I799">
        <v>3</v>
      </c>
      <c r="J799" t="s">
        <v>69</v>
      </c>
      <c r="K799">
        <f t="shared" si="12"/>
        <v>48000</v>
      </c>
    </row>
    <row r="800" spans="1:11">
      <c r="A800" t="s">
        <v>103</v>
      </c>
      <c r="B800" t="s">
        <v>35</v>
      </c>
      <c r="C800" t="s">
        <v>53</v>
      </c>
      <c r="D800" t="s">
        <v>41</v>
      </c>
      <c r="E800" t="s">
        <v>30</v>
      </c>
      <c r="F800" t="s">
        <v>31</v>
      </c>
      <c r="G800" t="s">
        <v>32</v>
      </c>
      <c r="H800">
        <v>85000</v>
      </c>
      <c r="I800">
        <v>10</v>
      </c>
      <c r="J800" t="s">
        <v>42</v>
      </c>
      <c r="K800">
        <f t="shared" si="12"/>
        <v>68000</v>
      </c>
    </row>
    <row r="801" spans="1:11">
      <c r="A801" t="s">
        <v>137</v>
      </c>
      <c r="B801" t="s">
        <v>27</v>
      </c>
      <c r="C801" t="s">
        <v>53</v>
      </c>
      <c r="D801" t="s">
        <v>41</v>
      </c>
      <c r="E801" t="s">
        <v>37</v>
      </c>
      <c r="F801" t="s">
        <v>62</v>
      </c>
      <c r="G801" t="s">
        <v>51</v>
      </c>
      <c r="H801">
        <v>150000</v>
      </c>
      <c r="I801">
        <v>3</v>
      </c>
      <c r="J801" t="s">
        <v>65</v>
      </c>
      <c r="K801">
        <f t="shared" si="12"/>
        <v>120000</v>
      </c>
    </row>
    <row r="802" spans="1:11">
      <c r="A802" t="s">
        <v>57</v>
      </c>
      <c r="B802" t="s">
        <v>44</v>
      </c>
      <c r="C802" t="s">
        <v>28</v>
      </c>
      <c r="D802" t="s">
        <v>41</v>
      </c>
      <c r="E802" t="s">
        <v>37</v>
      </c>
      <c r="F802" t="s">
        <v>67</v>
      </c>
      <c r="G802" t="s">
        <v>51</v>
      </c>
      <c r="H802">
        <v>420000</v>
      </c>
      <c r="I802">
        <v>9</v>
      </c>
      <c r="J802" t="s">
        <v>65</v>
      </c>
      <c r="K802">
        <f t="shared" si="12"/>
        <v>336000</v>
      </c>
    </row>
    <row r="803" spans="1:11">
      <c r="A803" t="s">
        <v>70</v>
      </c>
      <c r="B803" t="s">
        <v>44</v>
      </c>
      <c r="C803" t="s">
        <v>53</v>
      </c>
      <c r="D803" t="s">
        <v>29</v>
      </c>
      <c r="E803" t="s">
        <v>37</v>
      </c>
      <c r="F803" t="s">
        <v>73</v>
      </c>
      <c r="G803" t="s">
        <v>39</v>
      </c>
      <c r="H803">
        <v>220000</v>
      </c>
      <c r="I803">
        <v>1</v>
      </c>
      <c r="J803" t="s">
        <v>58</v>
      </c>
      <c r="K803">
        <f t="shared" si="12"/>
        <v>176000</v>
      </c>
    </row>
    <row r="804" spans="1:11">
      <c r="A804" t="s">
        <v>144</v>
      </c>
      <c r="B804" t="s">
        <v>35</v>
      </c>
      <c r="C804" t="s">
        <v>53</v>
      </c>
      <c r="D804" t="s">
        <v>41</v>
      </c>
      <c r="E804" t="s">
        <v>30</v>
      </c>
      <c r="F804" t="s">
        <v>31</v>
      </c>
      <c r="G804" t="s">
        <v>32</v>
      </c>
      <c r="H804">
        <v>85000</v>
      </c>
      <c r="I804">
        <v>4</v>
      </c>
      <c r="J804" t="s">
        <v>42</v>
      </c>
      <c r="K804">
        <f t="shared" si="12"/>
        <v>68000</v>
      </c>
    </row>
    <row r="805" spans="1:11">
      <c r="A805" t="s">
        <v>143</v>
      </c>
      <c r="B805" t="s">
        <v>27</v>
      </c>
      <c r="C805" t="s">
        <v>28</v>
      </c>
      <c r="D805" t="s">
        <v>29</v>
      </c>
      <c r="E805" t="s">
        <v>30</v>
      </c>
      <c r="F805" t="s">
        <v>67</v>
      </c>
      <c r="G805" t="s">
        <v>51</v>
      </c>
      <c r="H805">
        <v>420000</v>
      </c>
      <c r="I805">
        <v>6</v>
      </c>
      <c r="J805" t="s">
        <v>65</v>
      </c>
      <c r="K805">
        <f t="shared" si="12"/>
        <v>336000</v>
      </c>
    </row>
    <row r="806" spans="1:11">
      <c r="A806" t="s">
        <v>132</v>
      </c>
      <c r="B806" t="s">
        <v>49</v>
      </c>
      <c r="C806" t="s">
        <v>53</v>
      </c>
      <c r="D806" t="s">
        <v>41</v>
      </c>
      <c r="E806" t="s">
        <v>30</v>
      </c>
      <c r="F806" t="s">
        <v>67</v>
      </c>
      <c r="G806" t="s">
        <v>51</v>
      </c>
      <c r="H806">
        <v>420000</v>
      </c>
      <c r="I806">
        <v>6</v>
      </c>
      <c r="J806" t="s">
        <v>47</v>
      </c>
      <c r="K806">
        <f t="shared" si="12"/>
        <v>336000</v>
      </c>
    </row>
    <row r="807" spans="1:11">
      <c r="A807" t="s">
        <v>101</v>
      </c>
      <c r="B807" t="s">
        <v>35</v>
      </c>
      <c r="C807" t="s">
        <v>28</v>
      </c>
      <c r="D807" t="s">
        <v>29</v>
      </c>
      <c r="E807" t="s">
        <v>30</v>
      </c>
      <c r="F807" t="s">
        <v>50</v>
      </c>
      <c r="G807" t="s">
        <v>51</v>
      </c>
      <c r="H807">
        <v>300000</v>
      </c>
      <c r="I807">
        <v>10</v>
      </c>
      <c r="J807" t="s">
        <v>58</v>
      </c>
      <c r="K807">
        <f t="shared" si="12"/>
        <v>240000</v>
      </c>
    </row>
    <row r="808" spans="1:11">
      <c r="A808" t="s">
        <v>146</v>
      </c>
      <c r="B808" t="s">
        <v>44</v>
      </c>
      <c r="C808" t="s">
        <v>36</v>
      </c>
      <c r="D808" t="s">
        <v>29</v>
      </c>
      <c r="E808" t="s">
        <v>37</v>
      </c>
      <c r="F808" t="s">
        <v>73</v>
      </c>
      <c r="G808" t="s">
        <v>39</v>
      </c>
      <c r="H808">
        <v>220000</v>
      </c>
      <c r="I808">
        <v>4</v>
      </c>
      <c r="J808" t="s">
        <v>47</v>
      </c>
      <c r="K808">
        <f t="shared" si="12"/>
        <v>176000</v>
      </c>
    </row>
    <row r="809" spans="1:11">
      <c r="A809" t="s">
        <v>102</v>
      </c>
      <c r="B809" t="s">
        <v>27</v>
      </c>
      <c r="C809" t="s">
        <v>53</v>
      </c>
      <c r="D809" t="s">
        <v>29</v>
      </c>
      <c r="E809" t="s">
        <v>37</v>
      </c>
      <c r="F809" t="s">
        <v>54</v>
      </c>
      <c r="G809" t="s">
        <v>39</v>
      </c>
      <c r="H809">
        <v>180000</v>
      </c>
      <c r="I809">
        <v>8</v>
      </c>
      <c r="J809" t="s">
        <v>65</v>
      </c>
      <c r="K809">
        <f t="shared" si="12"/>
        <v>144000</v>
      </c>
    </row>
    <row r="810" spans="1:11">
      <c r="A810" t="s">
        <v>108</v>
      </c>
      <c r="B810" t="s">
        <v>27</v>
      </c>
      <c r="C810" t="s">
        <v>53</v>
      </c>
      <c r="D810" t="s">
        <v>29</v>
      </c>
      <c r="E810" t="s">
        <v>30</v>
      </c>
      <c r="F810" t="s">
        <v>71</v>
      </c>
      <c r="G810" t="s">
        <v>51</v>
      </c>
      <c r="H810">
        <v>250000</v>
      </c>
      <c r="I810">
        <v>3</v>
      </c>
      <c r="J810" t="s">
        <v>33</v>
      </c>
      <c r="K810">
        <f t="shared" si="12"/>
        <v>200000</v>
      </c>
    </row>
    <row r="811" spans="1:11">
      <c r="A811" t="s">
        <v>170</v>
      </c>
      <c r="B811" t="s">
        <v>49</v>
      </c>
      <c r="C811" t="s">
        <v>45</v>
      </c>
      <c r="D811" t="s">
        <v>41</v>
      </c>
      <c r="E811" t="s">
        <v>30</v>
      </c>
      <c r="F811" t="s">
        <v>50</v>
      </c>
      <c r="G811" t="s">
        <v>51</v>
      </c>
      <c r="H811">
        <v>300000</v>
      </c>
      <c r="I811">
        <v>7</v>
      </c>
      <c r="J811" t="s">
        <v>33</v>
      </c>
      <c r="K811">
        <f t="shared" si="12"/>
        <v>240000</v>
      </c>
    </row>
    <row r="812" spans="1:11">
      <c r="A812" t="s">
        <v>170</v>
      </c>
      <c r="B812" t="s">
        <v>49</v>
      </c>
      <c r="C812" t="s">
        <v>53</v>
      </c>
      <c r="D812" t="s">
        <v>29</v>
      </c>
      <c r="E812" t="s">
        <v>37</v>
      </c>
      <c r="F812" t="s">
        <v>50</v>
      </c>
      <c r="G812" t="s">
        <v>51</v>
      </c>
      <c r="H812">
        <v>300000</v>
      </c>
      <c r="I812">
        <v>7</v>
      </c>
      <c r="J812" t="s">
        <v>69</v>
      </c>
      <c r="K812">
        <f t="shared" si="12"/>
        <v>240000</v>
      </c>
    </row>
    <row r="813" spans="1:11">
      <c r="A813" t="s">
        <v>149</v>
      </c>
      <c r="B813" t="s">
        <v>49</v>
      </c>
      <c r="C813" t="s">
        <v>53</v>
      </c>
      <c r="D813" t="s">
        <v>41</v>
      </c>
      <c r="E813" t="s">
        <v>37</v>
      </c>
      <c r="F813" t="s">
        <v>71</v>
      </c>
      <c r="G813" t="s">
        <v>51</v>
      </c>
      <c r="H813">
        <v>250000</v>
      </c>
      <c r="I813">
        <v>1</v>
      </c>
      <c r="J813" t="s">
        <v>65</v>
      </c>
      <c r="K813">
        <f t="shared" si="12"/>
        <v>200000</v>
      </c>
    </row>
    <row r="814" spans="1:11">
      <c r="A814" t="s">
        <v>148</v>
      </c>
      <c r="B814" t="s">
        <v>27</v>
      </c>
      <c r="C814" t="s">
        <v>36</v>
      </c>
      <c r="D814" t="s">
        <v>41</v>
      </c>
      <c r="E814" t="s">
        <v>30</v>
      </c>
      <c r="F814" t="s">
        <v>50</v>
      </c>
      <c r="G814" t="s">
        <v>51</v>
      </c>
      <c r="H814">
        <v>300000</v>
      </c>
      <c r="I814">
        <v>3</v>
      </c>
      <c r="J814" t="s">
        <v>58</v>
      </c>
      <c r="K814">
        <f t="shared" si="12"/>
        <v>240000</v>
      </c>
    </row>
    <row r="815" spans="1:11">
      <c r="A815" t="s">
        <v>157</v>
      </c>
      <c r="B815" t="s">
        <v>44</v>
      </c>
      <c r="C815" t="s">
        <v>28</v>
      </c>
      <c r="D815" t="s">
        <v>29</v>
      </c>
      <c r="E815" t="s">
        <v>30</v>
      </c>
      <c r="F815" t="s">
        <v>67</v>
      </c>
      <c r="G815" t="s">
        <v>51</v>
      </c>
      <c r="H815">
        <v>420000</v>
      </c>
      <c r="I815">
        <v>10</v>
      </c>
      <c r="J815" t="s">
        <v>47</v>
      </c>
      <c r="K815">
        <f t="shared" si="12"/>
        <v>336000</v>
      </c>
    </row>
    <row r="816" spans="1:11">
      <c r="A816" t="s">
        <v>113</v>
      </c>
      <c r="B816" t="s">
        <v>49</v>
      </c>
      <c r="C816" t="s">
        <v>45</v>
      </c>
      <c r="D816" t="s">
        <v>41</v>
      </c>
      <c r="E816" t="s">
        <v>30</v>
      </c>
      <c r="F816" t="s">
        <v>46</v>
      </c>
      <c r="G816" t="s">
        <v>39</v>
      </c>
      <c r="H816">
        <v>60000</v>
      </c>
      <c r="I816">
        <v>9</v>
      </c>
      <c r="J816" t="s">
        <v>58</v>
      </c>
      <c r="K816">
        <f t="shared" si="12"/>
        <v>48000</v>
      </c>
    </row>
    <row r="817" spans="1:11">
      <c r="A817" t="s">
        <v>121</v>
      </c>
      <c r="B817" t="s">
        <v>27</v>
      </c>
      <c r="C817" t="s">
        <v>28</v>
      </c>
      <c r="D817" t="s">
        <v>29</v>
      </c>
      <c r="E817" t="s">
        <v>30</v>
      </c>
      <c r="F817" t="s">
        <v>71</v>
      </c>
      <c r="G817" t="s">
        <v>51</v>
      </c>
      <c r="H817">
        <v>250000</v>
      </c>
      <c r="I817">
        <v>4</v>
      </c>
      <c r="J817" t="s">
        <v>47</v>
      </c>
      <c r="K817">
        <f t="shared" si="12"/>
        <v>200000</v>
      </c>
    </row>
    <row r="818" spans="1:11">
      <c r="A818" t="s">
        <v>34</v>
      </c>
      <c r="B818" t="s">
        <v>35</v>
      </c>
      <c r="C818" t="s">
        <v>45</v>
      </c>
      <c r="D818" t="s">
        <v>29</v>
      </c>
      <c r="E818" t="s">
        <v>30</v>
      </c>
      <c r="F818" t="s">
        <v>71</v>
      </c>
      <c r="G818" t="s">
        <v>51</v>
      </c>
      <c r="H818">
        <v>250000</v>
      </c>
      <c r="I818">
        <v>3</v>
      </c>
      <c r="J818" t="s">
        <v>65</v>
      </c>
      <c r="K818">
        <f t="shared" si="12"/>
        <v>200000</v>
      </c>
    </row>
    <row r="819" spans="1:11">
      <c r="A819" t="s">
        <v>119</v>
      </c>
      <c r="B819" t="s">
        <v>27</v>
      </c>
      <c r="C819" t="s">
        <v>53</v>
      </c>
      <c r="D819" t="s">
        <v>29</v>
      </c>
      <c r="E819" t="s">
        <v>37</v>
      </c>
      <c r="F819" t="s">
        <v>46</v>
      </c>
      <c r="G819" t="s">
        <v>39</v>
      </c>
      <c r="H819">
        <v>60000</v>
      </c>
      <c r="I819">
        <v>3</v>
      </c>
      <c r="J819" t="s">
        <v>33</v>
      </c>
      <c r="K819">
        <f t="shared" si="12"/>
        <v>48000</v>
      </c>
    </row>
    <row r="820" spans="1:11">
      <c r="A820" t="s">
        <v>88</v>
      </c>
      <c r="B820" t="s">
        <v>27</v>
      </c>
      <c r="C820" t="s">
        <v>36</v>
      </c>
      <c r="D820" t="s">
        <v>41</v>
      </c>
      <c r="E820" t="s">
        <v>30</v>
      </c>
      <c r="F820" t="s">
        <v>56</v>
      </c>
      <c r="G820" t="s">
        <v>32</v>
      </c>
      <c r="H820">
        <v>320000</v>
      </c>
      <c r="I820">
        <v>1</v>
      </c>
      <c r="J820" t="s">
        <v>42</v>
      </c>
      <c r="K820">
        <f t="shared" si="12"/>
        <v>256000</v>
      </c>
    </row>
    <row r="821" spans="1:11">
      <c r="A821" t="s">
        <v>136</v>
      </c>
      <c r="B821" t="s">
        <v>49</v>
      </c>
      <c r="C821" t="s">
        <v>53</v>
      </c>
      <c r="D821" t="s">
        <v>41</v>
      </c>
      <c r="E821" t="s">
        <v>37</v>
      </c>
      <c r="F821" t="s">
        <v>46</v>
      </c>
      <c r="G821" t="s">
        <v>39</v>
      </c>
      <c r="H821">
        <v>60000</v>
      </c>
      <c r="I821">
        <v>8</v>
      </c>
      <c r="J821" t="s">
        <v>42</v>
      </c>
      <c r="K821">
        <f t="shared" si="12"/>
        <v>48000</v>
      </c>
    </row>
    <row r="822" spans="1:11">
      <c r="A822" t="s">
        <v>156</v>
      </c>
      <c r="B822" t="s">
        <v>35</v>
      </c>
      <c r="C822" t="s">
        <v>45</v>
      </c>
      <c r="D822" t="s">
        <v>41</v>
      </c>
      <c r="E822" t="s">
        <v>37</v>
      </c>
      <c r="F822" t="s">
        <v>71</v>
      </c>
      <c r="G822" t="s">
        <v>51</v>
      </c>
      <c r="H822">
        <v>250000</v>
      </c>
      <c r="I822">
        <v>5</v>
      </c>
      <c r="J822" t="s">
        <v>58</v>
      </c>
      <c r="K822">
        <f t="shared" si="12"/>
        <v>200000</v>
      </c>
    </row>
    <row r="823" spans="1:11">
      <c r="A823" t="s">
        <v>118</v>
      </c>
      <c r="B823" t="s">
        <v>27</v>
      </c>
      <c r="C823" t="s">
        <v>28</v>
      </c>
      <c r="D823" t="s">
        <v>41</v>
      </c>
      <c r="E823" t="s">
        <v>37</v>
      </c>
      <c r="F823" t="s">
        <v>56</v>
      </c>
      <c r="G823" t="s">
        <v>32</v>
      </c>
      <c r="H823">
        <v>320000</v>
      </c>
      <c r="I823">
        <v>2</v>
      </c>
      <c r="J823" t="s">
        <v>69</v>
      </c>
      <c r="K823">
        <f t="shared" si="12"/>
        <v>256000</v>
      </c>
    </row>
    <row r="824" spans="1:11">
      <c r="A824" t="s">
        <v>124</v>
      </c>
      <c r="B824" t="s">
        <v>44</v>
      </c>
      <c r="C824" t="s">
        <v>45</v>
      </c>
      <c r="D824" t="s">
        <v>41</v>
      </c>
      <c r="E824" t="s">
        <v>30</v>
      </c>
      <c r="F824" t="s">
        <v>73</v>
      </c>
      <c r="G824" t="s">
        <v>39</v>
      </c>
      <c r="H824">
        <v>220000</v>
      </c>
      <c r="I824">
        <v>5</v>
      </c>
      <c r="J824" t="s">
        <v>42</v>
      </c>
      <c r="K824">
        <f t="shared" si="12"/>
        <v>176000</v>
      </c>
    </row>
    <row r="825" spans="1:11">
      <c r="A825" t="s">
        <v>96</v>
      </c>
      <c r="B825" t="s">
        <v>27</v>
      </c>
      <c r="C825" t="s">
        <v>36</v>
      </c>
      <c r="D825" t="s">
        <v>41</v>
      </c>
      <c r="E825" t="s">
        <v>37</v>
      </c>
      <c r="F825" t="s">
        <v>71</v>
      </c>
      <c r="G825" t="s">
        <v>51</v>
      </c>
      <c r="H825">
        <v>250000</v>
      </c>
      <c r="I825">
        <v>3</v>
      </c>
      <c r="J825" t="s">
        <v>33</v>
      </c>
      <c r="K825">
        <f t="shared" si="12"/>
        <v>200000</v>
      </c>
    </row>
    <row r="826" spans="1:11">
      <c r="A826" t="s">
        <v>135</v>
      </c>
      <c r="B826" t="s">
        <v>27</v>
      </c>
      <c r="C826" t="s">
        <v>45</v>
      </c>
      <c r="D826" t="s">
        <v>29</v>
      </c>
      <c r="E826" t="s">
        <v>37</v>
      </c>
      <c r="F826" t="s">
        <v>31</v>
      </c>
      <c r="G826" t="s">
        <v>32</v>
      </c>
      <c r="H826">
        <v>85000</v>
      </c>
      <c r="I826">
        <v>10</v>
      </c>
      <c r="J826" t="s">
        <v>47</v>
      </c>
      <c r="K826">
        <f t="shared" si="12"/>
        <v>68000</v>
      </c>
    </row>
    <row r="827" spans="1:11">
      <c r="A827" t="s">
        <v>144</v>
      </c>
      <c r="B827" t="s">
        <v>44</v>
      </c>
      <c r="C827" t="s">
        <v>28</v>
      </c>
      <c r="D827" t="s">
        <v>29</v>
      </c>
      <c r="E827" t="s">
        <v>37</v>
      </c>
      <c r="F827" t="s">
        <v>67</v>
      </c>
      <c r="G827" t="s">
        <v>51</v>
      </c>
      <c r="H827">
        <v>420000</v>
      </c>
      <c r="I827">
        <v>6</v>
      </c>
      <c r="J827" t="s">
        <v>58</v>
      </c>
      <c r="K827">
        <f t="shared" si="12"/>
        <v>336000</v>
      </c>
    </row>
    <row r="828" spans="1:11">
      <c r="A828" t="s">
        <v>108</v>
      </c>
      <c r="B828" t="s">
        <v>49</v>
      </c>
      <c r="C828" t="s">
        <v>36</v>
      </c>
      <c r="D828" t="s">
        <v>29</v>
      </c>
      <c r="E828" t="s">
        <v>37</v>
      </c>
      <c r="F828" t="s">
        <v>62</v>
      </c>
      <c r="G828" t="s">
        <v>51</v>
      </c>
      <c r="H828">
        <v>150000</v>
      </c>
      <c r="I828">
        <v>5</v>
      </c>
      <c r="J828" t="s">
        <v>42</v>
      </c>
      <c r="K828">
        <f t="shared" si="12"/>
        <v>120000</v>
      </c>
    </row>
    <row r="829" spans="1:11">
      <c r="A829" t="s">
        <v>149</v>
      </c>
      <c r="B829" t="s">
        <v>49</v>
      </c>
      <c r="C829" t="s">
        <v>28</v>
      </c>
      <c r="D829" t="s">
        <v>29</v>
      </c>
      <c r="E829" t="s">
        <v>37</v>
      </c>
      <c r="F829" t="s">
        <v>56</v>
      </c>
      <c r="G829" t="s">
        <v>32</v>
      </c>
      <c r="H829">
        <v>320000</v>
      </c>
      <c r="I829">
        <v>3</v>
      </c>
      <c r="J829" t="s">
        <v>65</v>
      </c>
      <c r="K829">
        <f t="shared" si="12"/>
        <v>256000</v>
      </c>
    </row>
    <row r="830" spans="1:11">
      <c r="A830" t="s">
        <v>149</v>
      </c>
      <c r="B830" t="s">
        <v>49</v>
      </c>
      <c r="C830" t="s">
        <v>53</v>
      </c>
      <c r="D830" t="s">
        <v>41</v>
      </c>
      <c r="E830" t="s">
        <v>30</v>
      </c>
      <c r="F830" t="s">
        <v>38</v>
      </c>
      <c r="G830" t="s">
        <v>39</v>
      </c>
      <c r="H830">
        <v>30000</v>
      </c>
      <c r="I830">
        <v>1</v>
      </c>
      <c r="J830" t="s">
        <v>58</v>
      </c>
      <c r="K830">
        <f t="shared" si="12"/>
        <v>24000</v>
      </c>
    </row>
    <row r="831" spans="1:11">
      <c r="A831" t="s">
        <v>88</v>
      </c>
      <c r="B831" t="s">
        <v>27</v>
      </c>
      <c r="C831" t="s">
        <v>45</v>
      </c>
      <c r="D831" t="s">
        <v>29</v>
      </c>
      <c r="E831" t="s">
        <v>30</v>
      </c>
      <c r="F831" t="s">
        <v>54</v>
      </c>
      <c r="G831" t="s">
        <v>39</v>
      </c>
      <c r="H831">
        <v>180000</v>
      </c>
      <c r="I831">
        <v>10</v>
      </c>
      <c r="J831" t="s">
        <v>58</v>
      </c>
      <c r="K831">
        <f t="shared" si="12"/>
        <v>144000</v>
      </c>
    </row>
    <row r="832" spans="1:11">
      <c r="A832" t="s">
        <v>158</v>
      </c>
      <c r="B832" t="s">
        <v>44</v>
      </c>
      <c r="C832" t="s">
        <v>28</v>
      </c>
      <c r="D832" t="s">
        <v>41</v>
      </c>
      <c r="E832" t="s">
        <v>37</v>
      </c>
      <c r="F832" t="s">
        <v>54</v>
      </c>
      <c r="G832" t="s">
        <v>39</v>
      </c>
      <c r="H832">
        <v>180000</v>
      </c>
      <c r="I832">
        <v>3</v>
      </c>
      <c r="J832" t="s">
        <v>33</v>
      </c>
      <c r="K832">
        <f t="shared" si="12"/>
        <v>144000</v>
      </c>
    </row>
    <row r="833" spans="1:11">
      <c r="A833" t="s">
        <v>148</v>
      </c>
      <c r="B833" t="s">
        <v>35</v>
      </c>
      <c r="C833" t="s">
        <v>28</v>
      </c>
      <c r="D833" t="s">
        <v>41</v>
      </c>
      <c r="E833" t="s">
        <v>30</v>
      </c>
      <c r="F833" t="s">
        <v>67</v>
      </c>
      <c r="G833" t="s">
        <v>51</v>
      </c>
      <c r="H833">
        <v>420000</v>
      </c>
      <c r="I833">
        <v>3</v>
      </c>
      <c r="J833" t="s">
        <v>42</v>
      </c>
      <c r="K833">
        <f t="shared" si="12"/>
        <v>336000</v>
      </c>
    </row>
    <row r="834" spans="1:11">
      <c r="A834" t="s">
        <v>168</v>
      </c>
      <c r="B834" t="s">
        <v>35</v>
      </c>
      <c r="C834" t="s">
        <v>36</v>
      </c>
      <c r="D834" t="s">
        <v>29</v>
      </c>
      <c r="E834" t="s">
        <v>30</v>
      </c>
      <c r="F834" t="s">
        <v>73</v>
      </c>
      <c r="G834" t="s">
        <v>39</v>
      </c>
      <c r="H834">
        <v>220000</v>
      </c>
      <c r="I834">
        <v>6</v>
      </c>
      <c r="J834" t="s">
        <v>65</v>
      </c>
      <c r="K834">
        <f t="shared" ref="K834:K897" si="13">H834-H834*0.2</f>
        <v>176000</v>
      </c>
    </row>
    <row r="835" spans="1:11">
      <c r="A835" t="s">
        <v>97</v>
      </c>
      <c r="B835" t="s">
        <v>44</v>
      </c>
      <c r="C835" t="s">
        <v>45</v>
      </c>
      <c r="D835" t="s">
        <v>29</v>
      </c>
      <c r="E835" t="s">
        <v>30</v>
      </c>
      <c r="F835" t="s">
        <v>46</v>
      </c>
      <c r="G835" t="s">
        <v>39</v>
      </c>
      <c r="H835">
        <v>60000</v>
      </c>
      <c r="I835">
        <v>10</v>
      </c>
      <c r="J835" t="s">
        <v>58</v>
      </c>
      <c r="K835">
        <f t="shared" si="13"/>
        <v>48000</v>
      </c>
    </row>
    <row r="836" spans="1:11">
      <c r="A836" t="s">
        <v>82</v>
      </c>
      <c r="B836" t="s">
        <v>44</v>
      </c>
      <c r="C836" t="s">
        <v>36</v>
      </c>
      <c r="D836" t="s">
        <v>29</v>
      </c>
      <c r="E836" t="s">
        <v>37</v>
      </c>
      <c r="F836" t="s">
        <v>54</v>
      </c>
      <c r="G836" t="s">
        <v>39</v>
      </c>
      <c r="H836">
        <v>180000</v>
      </c>
      <c r="I836">
        <v>10</v>
      </c>
      <c r="J836" t="s">
        <v>47</v>
      </c>
      <c r="K836">
        <f t="shared" si="13"/>
        <v>144000</v>
      </c>
    </row>
    <row r="837" spans="1:11">
      <c r="A837" t="s">
        <v>121</v>
      </c>
      <c r="B837" t="s">
        <v>35</v>
      </c>
      <c r="C837" t="s">
        <v>28</v>
      </c>
      <c r="D837" t="s">
        <v>41</v>
      </c>
      <c r="E837" t="s">
        <v>37</v>
      </c>
      <c r="F837" t="s">
        <v>73</v>
      </c>
      <c r="G837" t="s">
        <v>39</v>
      </c>
      <c r="H837">
        <v>220000</v>
      </c>
      <c r="I837">
        <v>4</v>
      </c>
      <c r="J837" t="s">
        <v>42</v>
      </c>
      <c r="K837">
        <f t="shared" si="13"/>
        <v>176000</v>
      </c>
    </row>
    <row r="838" spans="1:11">
      <c r="A838" t="s">
        <v>87</v>
      </c>
      <c r="B838" t="s">
        <v>44</v>
      </c>
      <c r="C838" t="s">
        <v>53</v>
      </c>
      <c r="D838" t="s">
        <v>41</v>
      </c>
      <c r="E838" t="s">
        <v>37</v>
      </c>
      <c r="F838" t="s">
        <v>71</v>
      </c>
      <c r="G838" t="s">
        <v>51</v>
      </c>
      <c r="H838">
        <v>250000</v>
      </c>
      <c r="I838">
        <v>4</v>
      </c>
      <c r="J838" t="s">
        <v>58</v>
      </c>
      <c r="K838">
        <f t="shared" si="13"/>
        <v>200000</v>
      </c>
    </row>
    <row r="839" spans="1:11">
      <c r="A839" t="s">
        <v>105</v>
      </c>
      <c r="B839" t="s">
        <v>44</v>
      </c>
      <c r="C839" t="s">
        <v>36</v>
      </c>
      <c r="D839" t="s">
        <v>41</v>
      </c>
      <c r="E839" t="s">
        <v>37</v>
      </c>
      <c r="F839" t="s">
        <v>38</v>
      </c>
      <c r="G839" t="s">
        <v>39</v>
      </c>
      <c r="H839">
        <v>30000</v>
      </c>
      <c r="I839">
        <v>2</v>
      </c>
      <c r="J839" t="s">
        <v>69</v>
      </c>
      <c r="K839">
        <f t="shared" si="13"/>
        <v>24000</v>
      </c>
    </row>
    <row r="840" spans="1:11">
      <c r="A840" t="s">
        <v>48</v>
      </c>
      <c r="B840" t="s">
        <v>27</v>
      </c>
      <c r="C840" t="s">
        <v>45</v>
      </c>
      <c r="D840" t="s">
        <v>29</v>
      </c>
      <c r="E840" t="s">
        <v>37</v>
      </c>
      <c r="F840" t="s">
        <v>54</v>
      </c>
      <c r="G840" t="s">
        <v>39</v>
      </c>
      <c r="H840">
        <v>180000</v>
      </c>
      <c r="I840">
        <v>6</v>
      </c>
      <c r="J840" t="s">
        <v>47</v>
      </c>
      <c r="K840">
        <f t="shared" si="13"/>
        <v>144000</v>
      </c>
    </row>
    <row r="841" spans="1:11">
      <c r="A841" t="s">
        <v>146</v>
      </c>
      <c r="B841" t="s">
        <v>44</v>
      </c>
      <c r="C841" t="s">
        <v>53</v>
      </c>
      <c r="D841" t="s">
        <v>41</v>
      </c>
      <c r="E841" t="s">
        <v>37</v>
      </c>
      <c r="F841" t="s">
        <v>54</v>
      </c>
      <c r="G841" t="s">
        <v>39</v>
      </c>
      <c r="H841">
        <v>180000</v>
      </c>
      <c r="I841">
        <v>8</v>
      </c>
      <c r="J841" t="s">
        <v>69</v>
      </c>
      <c r="K841">
        <f t="shared" si="13"/>
        <v>144000</v>
      </c>
    </row>
    <row r="842" spans="1:11">
      <c r="A842" t="s">
        <v>82</v>
      </c>
      <c r="B842" t="s">
        <v>27</v>
      </c>
      <c r="C842" t="s">
        <v>36</v>
      </c>
      <c r="D842" t="s">
        <v>41</v>
      </c>
      <c r="E842" t="s">
        <v>37</v>
      </c>
      <c r="F842" t="s">
        <v>67</v>
      </c>
      <c r="G842" t="s">
        <v>51</v>
      </c>
      <c r="H842">
        <v>420000</v>
      </c>
      <c r="I842">
        <v>3</v>
      </c>
      <c r="J842" t="s">
        <v>33</v>
      </c>
      <c r="K842">
        <f t="shared" si="13"/>
        <v>336000</v>
      </c>
    </row>
    <row r="843" spans="1:11">
      <c r="A843" t="s">
        <v>108</v>
      </c>
      <c r="B843" t="s">
        <v>49</v>
      </c>
      <c r="C843" t="s">
        <v>45</v>
      </c>
      <c r="D843" t="s">
        <v>41</v>
      </c>
      <c r="E843" t="s">
        <v>30</v>
      </c>
      <c r="F843" t="s">
        <v>38</v>
      </c>
      <c r="G843" t="s">
        <v>39</v>
      </c>
      <c r="H843">
        <v>30000</v>
      </c>
      <c r="I843">
        <v>10</v>
      </c>
      <c r="J843" t="s">
        <v>47</v>
      </c>
      <c r="K843">
        <f t="shared" si="13"/>
        <v>24000</v>
      </c>
    </row>
    <row r="844" spans="1:11">
      <c r="A844" t="s">
        <v>159</v>
      </c>
      <c r="B844" t="s">
        <v>35</v>
      </c>
      <c r="C844" t="s">
        <v>45</v>
      </c>
      <c r="D844" t="s">
        <v>41</v>
      </c>
      <c r="E844" t="s">
        <v>30</v>
      </c>
      <c r="F844" t="s">
        <v>31</v>
      </c>
      <c r="G844" t="s">
        <v>32</v>
      </c>
      <c r="H844">
        <v>85000</v>
      </c>
      <c r="I844">
        <v>7</v>
      </c>
      <c r="J844" t="s">
        <v>69</v>
      </c>
      <c r="K844">
        <f t="shared" si="13"/>
        <v>68000</v>
      </c>
    </row>
    <row r="845" spans="1:11">
      <c r="A845" t="s">
        <v>140</v>
      </c>
      <c r="B845" t="s">
        <v>27</v>
      </c>
      <c r="C845" t="s">
        <v>28</v>
      </c>
      <c r="D845" t="s">
        <v>29</v>
      </c>
      <c r="E845" t="s">
        <v>37</v>
      </c>
      <c r="F845" t="s">
        <v>38</v>
      </c>
      <c r="G845" t="s">
        <v>39</v>
      </c>
      <c r="H845">
        <v>30000</v>
      </c>
      <c r="I845">
        <v>5</v>
      </c>
      <c r="J845" t="s">
        <v>33</v>
      </c>
      <c r="K845">
        <f t="shared" si="13"/>
        <v>24000</v>
      </c>
    </row>
    <row r="846" spans="1:11">
      <c r="A846" t="s">
        <v>82</v>
      </c>
      <c r="B846" t="s">
        <v>49</v>
      </c>
      <c r="C846" t="s">
        <v>28</v>
      </c>
      <c r="D846" t="s">
        <v>29</v>
      </c>
      <c r="E846" t="s">
        <v>37</v>
      </c>
      <c r="F846" t="s">
        <v>50</v>
      </c>
      <c r="G846" t="s">
        <v>51</v>
      </c>
      <c r="H846">
        <v>300000</v>
      </c>
      <c r="I846">
        <v>5</v>
      </c>
      <c r="J846" t="s">
        <v>69</v>
      </c>
      <c r="K846">
        <f t="shared" si="13"/>
        <v>240000</v>
      </c>
    </row>
    <row r="847" spans="1:11">
      <c r="A847" t="s">
        <v>139</v>
      </c>
      <c r="B847" t="s">
        <v>27</v>
      </c>
      <c r="C847" t="s">
        <v>45</v>
      </c>
      <c r="D847" t="s">
        <v>41</v>
      </c>
      <c r="E847" t="s">
        <v>37</v>
      </c>
      <c r="F847" t="s">
        <v>31</v>
      </c>
      <c r="G847" t="s">
        <v>32</v>
      </c>
      <c r="H847">
        <v>85000</v>
      </c>
      <c r="I847">
        <v>8</v>
      </c>
      <c r="J847" t="s">
        <v>47</v>
      </c>
      <c r="K847">
        <f t="shared" si="13"/>
        <v>68000</v>
      </c>
    </row>
    <row r="848" spans="1:11">
      <c r="A848" t="s">
        <v>70</v>
      </c>
      <c r="B848" t="s">
        <v>44</v>
      </c>
      <c r="C848" t="s">
        <v>53</v>
      </c>
      <c r="D848" t="s">
        <v>41</v>
      </c>
      <c r="E848" t="s">
        <v>37</v>
      </c>
      <c r="F848" t="s">
        <v>73</v>
      </c>
      <c r="G848" t="s">
        <v>39</v>
      </c>
      <c r="H848">
        <v>220000</v>
      </c>
      <c r="I848">
        <v>7</v>
      </c>
      <c r="J848" t="s">
        <v>42</v>
      </c>
      <c r="K848">
        <f t="shared" si="13"/>
        <v>176000</v>
      </c>
    </row>
    <row r="849" spans="1:11">
      <c r="A849" t="s">
        <v>95</v>
      </c>
      <c r="B849" t="s">
        <v>49</v>
      </c>
      <c r="C849" t="s">
        <v>36</v>
      </c>
      <c r="D849" t="s">
        <v>29</v>
      </c>
      <c r="E849" t="s">
        <v>30</v>
      </c>
      <c r="F849" t="s">
        <v>31</v>
      </c>
      <c r="G849" t="s">
        <v>32</v>
      </c>
      <c r="H849">
        <v>85000</v>
      </c>
      <c r="I849">
        <v>8</v>
      </c>
      <c r="J849" t="s">
        <v>42</v>
      </c>
      <c r="K849">
        <f t="shared" si="13"/>
        <v>68000</v>
      </c>
    </row>
    <row r="850" spans="1:11">
      <c r="A850" t="s">
        <v>169</v>
      </c>
      <c r="B850" t="s">
        <v>35</v>
      </c>
      <c r="C850" t="s">
        <v>53</v>
      </c>
      <c r="D850" t="s">
        <v>41</v>
      </c>
      <c r="E850" t="s">
        <v>30</v>
      </c>
      <c r="F850" t="s">
        <v>62</v>
      </c>
      <c r="G850" t="s">
        <v>51</v>
      </c>
      <c r="H850">
        <v>150000</v>
      </c>
      <c r="I850">
        <v>5</v>
      </c>
      <c r="J850" t="s">
        <v>58</v>
      </c>
      <c r="K850">
        <f t="shared" si="13"/>
        <v>120000</v>
      </c>
    </row>
    <row r="851" spans="1:11">
      <c r="A851" t="s">
        <v>106</v>
      </c>
      <c r="B851" t="s">
        <v>35</v>
      </c>
      <c r="C851" t="s">
        <v>28</v>
      </c>
      <c r="D851" t="s">
        <v>29</v>
      </c>
      <c r="E851" t="s">
        <v>37</v>
      </c>
      <c r="F851" t="s">
        <v>46</v>
      </c>
      <c r="G851" t="s">
        <v>39</v>
      </c>
      <c r="H851">
        <v>60000</v>
      </c>
      <c r="I851">
        <v>10</v>
      </c>
      <c r="J851" t="s">
        <v>42</v>
      </c>
      <c r="K851">
        <f t="shared" si="13"/>
        <v>48000</v>
      </c>
    </row>
    <row r="852" spans="1:11">
      <c r="A852" t="s">
        <v>167</v>
      </c>
      <c r="B852" t="s">
        <v>27</v>
      </c>
      <c r="C852" t="s">
        <v>45</v>
      </c>
      <c r="D852" t="s">
        <v>41</v>
      </c>
      <c r="E852" t="s">
        <v>30</v>
      </c>
      <c r="F852" t="s">
        <v>73</v>
      </c>
      <c r="G852" t="s">
        <v>39</v>
      </c>
      <c r="H852">
        <v>220000</v>
      </c>
      <c r="I852">
        <v>1</v>
      </c>
      <c r="J852" t="s">
        <v>33</v>
      </c>
      <c r="K852">
        <f t="shared" si="13"/>
        <v>176000</v>
      </c>
    </row>
    <row r="853" spans="1:11">
      <c r="A853" t="s">
        <v>95</v>
      </c>
      <c r="B853" t="s">
        <v>49</v>
      </c>
      <c r="C853" t="s">
        <v>36</v>
      </c>
      <c r="D853" t="s">
        <v>41</v>
      </c>
      <c r="E853" t="s">
        <v>30</v>
      </c>
      <c r="F853" t="s">
        <v>38</v>
      </c>
      <c r="G853" t="s">
        <v>39</v>
      </c>
      <c r="H853">
        <v>30000</v>
      </c>
      <c r="I853">
        <v>3</v>
      </c>
      <c r="J853" t="s">
        <v>47</v>
      </c>
      <c r="K853">
        <f t="shared" si="13"/>
        <v>24000</v>
      </c>
    </row>
    <row r="854" spans="1:11">
      <c r="A854" t="s">
        <v>68</v>
      </c>
      <c r="B854" t="s">
        <v>44</v>
      </c>
      <c r="C854" t="s">
        <v>36</v>
      </c>
      <c r="D854" t="s">
        <v>41</v>
      </c>
      <c r="E854" t="s">
        <v>30</v>
      </c>
      <c r="F854" t="s">
        <v>67</v>
      </c>
      <c r="G854" t="s">
        <v>51</v>
      </c>
      <c r="H854">
        <v>420000</v>
      </c>
      <c r="I854">
        <v>1</v>
      </c>
      <c r="J854" t="s">
        <v>58</v>
      </c>
      <c r="K854">
        <f t="shared" si="13"/>
        <v>336000</v>
      </c>
    </row>
    <row r="855" spans="1:11">
      <c r="A855" t="s">
        <v>105</v>
      </c>
      <c r="B855" t="s">
        <v>35</v>
      </c>
      <c r="C855" t="s">
        <v>28</v>
      </c>
      <c r="D855" t="s">
        <v>29</v>
      </c>
      <c r="E855" t="s">
        <v>37</v>
      </c>
      <c r="F855" t="s">
        <v>38</v>
      </c>
      <c r="G855" t="s">
        <v>39</v>
      </c>
      <c r="H855">
        <v>30000</v>
      </c>
      <c r="I855">
        <v>5</v>
      </c>
      <c r="J855" t="s">
        <v>69</v>
      </c>
      <c r="K855">
        <f t="shared" si="13"/>
        <v>24000</v>
      </c>
    </row>
    <row r="856" spans="1:11">
      <c r="A856" t="s">
        <v>104</v>
      </c>
      <c r="B856" t="s">
        <v>35</v>
      </c>
      <c r="C856" t="s">
        <v>53</v>
      </c>
      <c r="D856" t="s">
        <v>41</v>
      </c>
      <c r="E856" t="s">
        <v>30</v>
      </c>
      <c r="F856" t="s">
        <v>67</v>
      </c>
      <c r="G856" t="s">
        <v>51</v>
      </c>
      <c r="H856">
        <v>420000</v>
      </c>
      <c r="I856">
        <v>7</v>
      </c>
      <c r="J856" t="s">
        <v>33</v>
      </c>
      <c r="K856">
        <f t="shared" si="13"/>
        <v>336000</v>
      </c>
    </row>
    <row r="857" spans="1:11">
      <c r="A857" t="s">
        <v>102</v>
      </c>
      <c r="B857" t="s">
        <v>44</v>
      </c>
      <c r="C857" t="s">
        <v>36</v>
      </c>
      <c r="D857" t="s">
        <v>29</v>
      </c>
      <c r="E857" t="s">
        <v>37</v>
      </c>
      <c r="F857" t="s">
        <v>54</v>
      </c>
      <c r="G857" t="s">
        <v>39</v>
      </c>
      <c r="H857">
        <v>180000</v>
      </c>
      <c r="I857">
        <v>8</v>
      </c>
      <c r="J857" t="s">
        <v>65</v>
      </c>
      <c r="K857">
        <f t="shared" si="13"/>
        <v>144000</v>
      </c>
    </row>
    <row r="858" spans="1:11">
      <c r="A858" t="s">
        <v>138</v>
      </c>
      <c r="B858" t="s">
        <v>27</v>
      </c>
      <c r="C858" t="s">
        <v>53</v>
      </c>
      <c r="D858" t="s">
        <v>41</v>
      </c>
      <c r="E858" t="s">
        <v>37</v>
      </c>
      <c r="F858" t="s">
        <v>73</v>
      </c>
      <c r="G858" t="s">
        <v>39</v>
      </c>
      <c r="H858">
        <v>220000</v>
      </c>
      <c r="I858">
        <v>3</v>
      </c>
      <c r="J858" t="s">
        <v>47</v>
      </c>
      <c r="K858">
        <f t="shared" si="13"/>
        <v>176000</v>
      </c>
    </row>
    <row r="859" spans="1:11">
      <c r="A859" t="s">
        <v>84</v>
      </c>
      <c r="B859" t="s">
        <v>35</v>
      </c>
      <c r="C859" t="s">
        <v>53</v>
      </c>
      <c r="D859" t="s">
        <v>29</v>
      </c>
      <c r="E859" t="s">
        <v>30</v>
      </c>
      <c r="F859" t="s">
        <v>67</v>
      </c>
      <c r="G859" t="s">
        <v>51</v>
      </c>
      <c r="H859">
        <v>420000</v>
      </c>
      <c r="I859">
        <v>3</v>
      </c>
      <c r="J859" t="s">
        <v>33</v>
      </c>
      <c r="K859">
        <f t="shared" si="13"/>
        <v>336000</v>
      </c>
    </row>
    <row r="860" spans="1:11">
      <c r="A860" t="s">
        <v>145</v>
      </c>
      <c r="B860" t="s">
        <v>35</v>
      </c>
      <c r="C860" t="s">
        <v>45</v>
      </c>
      <c r="D860" t="s">
        <v>29</v>
      </c>
      <c r="E860" t="s">
        <v>30</v>
      </c>
      <c r="F860" t="s">
        <v>54</v>
      </c>
      <c r="G860" t="s">
        <v>39</v>
      </c>
      <c r="H860">
        <v>180000</v>
      </c>
      <c r="I860">
        <v>5</v>
      </c>
      <c r="J860" t="s">
        <v>69</v>
      </c>
      <c r="K860">
        <f t="shared" si="13"/>
        <v>144000</v>
      </c>
    </row>
    <row r="861" spans="1:11">
      <c r="A861" t="s">
        <v>152</v>
      </c>
      <c r="B861" t="s">
        <v>27</v>
      </c>
      <c r="C861" t="s">
        <v>45</v>
      </c>
      <c r="D861" t="s">
        <v>41</v>
      </c>
      <c r="E861" t="s">
        <v>30</v>
      </c>
      <c r="F861" t="s">
        <v>73</v>
      </c>
      <c r="G861" t="s">
        <v>39</v>
      </c>
      <c r="H861">
        <v>220000</v>
      </c>
      <c r="I861">
        <v>5</v>
      </c>
      <c r="J861" t="s">
        <v>47</v>
      </c>
      <c r="K861">
        <f t="shared" si="13"/>
        <v>176000</v>
      </c>
    </row>
    <row r="862" spans="1:11">
      <c r="A862" t="s">
        <v>88</v>
      </c>
      <c r="B862" t="s">
        <v>49</v>
      </c>
      <c r="C862" t="s">
        <v>53</v>
      </c>
      <c r="D862" t="s">
        <v>41</v>
      </c>
      <c r="E862" t="s">
        <v>30</v>
      </c>
      <c r="F862" t="s">
        <v>71</v>
      </c>
      <c r="G862" t="s">
        <v>51</v>
      </c>
      <c r="H862">
        <v>250000</v>
      </c>
      <c r="I862">
        <v>2</v>
      </c>
      <c r="J862" t="s">
        <v>58</v>
      </c>
      <c r="K862">
        <f t="shared" si="13"/>
        <v>200000</v>
      </c>
    </row>
    <row r="863" spans="1:11">
      <c r="A863" t="s">
        <v>143</v>
      </c>
      <c r="B863" t="s">
        <v>35</v>
      </c>
      <c r="C863" t="s">
        <v>45</v>
      </c>
      <c r="D863" t="s">
        <v>41</v>
      </c>
      <c r="E863" t="s">
        <v>30</v>
      </c>
      <c r="F863" t="s">
        <v>67</v>
      </c>
      <c r="G863" t="s">
        <v>51</v>
      </c>
      <c r="H863">
        <v>420000</v>
      </c>
      <c r="I863">
        <v>3</v>
      </c>
      <c r="J863" t="s">
        <v>58</v>
      </c>
      <c r="K863">
        <f t="shared" si="13"/>
        <v>336000</v>
      </c>
    </row>
    <row r="864" spans="1:11">
      <c r="A864" t="s">
        <v>146</v>
      </c>
      <c r="B864" t="s">
        <v>35</v>
      </c>
      <c r="C864" t="s">
        <v>36</v>
      </c>
      <c r="D864" t="s">
        <v>41</v>
      </c>
      <c r="E864" t="s">
        <v>30</v>
      </c>
      <c r="F864" t="s">
        <v>67</v>
      </c>
      <c r="G864" t="s">
        <v>51</v>
      </c>
      <c r="H864">
        <v>420000</v>
      </c>
      <c r="I864">
        <v>8</v>
      </c>
      <c r="J864" t="s">
        <v>47</v>
      </c>
      <c r="K864">
        <f t="shared" si="13"/>
        <v>336000</v>
      </c>
    </row>
    <row r="865" spans="1:11">
      <c r="A865" t="s">
        <v>106</v>
      </c>
      <c r="B865" t="s">
        <v>35</v>
      </c>
      <c r="C865" t="s">
        <v>28</v>
      </c>
      <c r="D865" t="s">
        <v>41</v>
      </c>
      <c r="E865" t="s">
        <v>30</v>
      </c>
      <c r="F865" t="s">
        <v>67</v>
      </c>
      <c r="G865" t="s">
        <v>51</v>
      </c>
      <c r="H865">
        <v>420000</v>
      </c>
      <c r="I865">
        <v>7</v>
      </c>
      <c r="J865" t="s">
        <v>33</v>
      </c>
      <c r="K865">
        <f t="shared" si="13"/>
        <v>336000</v>
      </c>
    </row>
    <row r="866" spans="1:11">
      <c r="A866" t="s">
        <v>43</v>
      </c>
      <c r="B866" t="s">
        <v>27</v>
      </c>
      <c r="C866" t="s">
        <v>45</v>
      </c>
      <c r="D866" t="s">
        <v>41</v>
      </c>
      <c r="E866" t="s">
        <v>30</v>
      </c>
      <c r="F866" t="s">
        <v>56</v>
      </c>
      <c r="G866" t="s">
        <v>32</v>
      </c>
      <c r="H866">
        <v>320000</v>
      </c>
      <c r="I866">
        <v>6</v>
      </c>
      <c r="J866" t="s">
        <v>47</v>
      </c>
      <c r="K866">
        <f t="shared" si="13"/>
        <v>256000</v>
      </c>
    </row>
    <row r="867" spans="1:11">
      <c r="A867" t="s">
        <v>79</v>
      </c>
      <c r="B867" t="s">
        <v>49</v>
      </c>
      <c r="C867" t="s">
        <v>45</v>
      </c>
      <c r="D867" t="s">
        <v>41</v>
      </c>
      <c r="E867" t="s">
        <v>30</v>
      </c>
      <c r="F867" t="s">
        <v>46</v>
      </c>
      <c r="G867" t="s">
        <v>39</v>
      </c>
      <c r="H867">
        <v>60000</v>
      </c>
      <c r="I867">
        <v>3</v>
      </c>
      <c r="J867" t="s">
        <v>47</v>
      </c>
      <c r="K867">
        <f t="shared" si="13"/>
        <v>48000</v>
      </c>
    </row>
    <row r="868" spans="1:11">
      <c r="A868" t="s">
        <v>136</v>
      </c>
      <c r="B868" t="s">
        <v>27</v>
      </c>
      <c r="C868" t="s">
        <v>28</v>
      </c>
      <c r="D868" t="s">
        <v>41</v>
      </c>
      <c r="E868" t="s">
        <v>37</v>
      </c>
      <c r="F868" t="s">
        <v>31</v>
      </c>
      <c r="G868" t="s">
        <v>32</v>
      </c>
      <c r="H868">
        <v>85000</v>
      </c>
      <c r="I868">
        <v>8</v>
      </c>
      <c r="J868" t="s">
        <v>33</v>
      </c>
      <c r="K868">
        <f t="shared" si="13"/>
        <v>68000</v>
      </c>
    </row>
    <row r="869" spans="1:11">
      <c r="A869" t="s">
        <v>63</v>
      </c>
      <c r="B869" t="s">
        <v>27</v>
      </c>
      <c r="C869" t="s">
        <v>28</v>
      </c>
      <c r="D869" t="s">
        <v>41</v>
      </c>
      <c r="E869" t="s">
        <v>37</v>
      </c>
      <c r="F869" t="s">
        <v>54</v>
      </c>
      <c r="G869" t="s">
        <v>39</v>
      </c>
      <c r="H869">
        <v>180000</v>
      </c>
      <c r="I869">
        <v>9</v>
      </c>
      <c r="J869" t="s">
        <v>58</v>
      </c>
      <c r="K869">
        <f t="shared" si="13"/>
        <v>144000</v>
      </c>
    </row>
    <row r="870" spans="1:11">
      <c r="A870" t="s">
        <v>124</v>
      </c>
      <c r="B870" t="s">
        <v>27</v>
      </c>
      <c r="C870" t="s">
        <v>45</v>
      </c>
      <c r="D870" t="s">
        <v>41</v>
      </c>
      <c r="E870" t="s">
        <v>37</v>
      </c>
      <c r="F870" t="s">
        <v>73</v>
      </c>
      <c r="G870" t="s">
        <v>39</v>
      </c>
      <c r="H870">
        <v>220000</v>
      </c>
      <c r="I870">
        <v>5</v>
      </c>
      <c r="J870" t="s">
        <v>58</v>
      </c>
      <c r="K870">
        <f t="shared" si="13"/>
        <v>176000</v>
      </c>
    </row>
    <row r="871" spans="1:11">
      <c r="A871" t="s">
        <v>145</v>
      </c>
      <c r="B871" t="s">
        <v>44</v>
      </c>
      <c r="C871" t="s">
        <v>45</v>
      </c>
      <c r="D871" t="s">
        <v>41</v>
      </c>
      <c r="E871" t="s">
        <v>37</v>
      </c>
      <c r="F871" t="s">
        <v>54</v>
      </c>
      <c r="G871" t="s">
        <v>39</v>
      </c>
      <c r="H871">
        <v>180000</v>
      </c>
      <c r="I871">
        <v>5</v>
      </c>
      <c r="J871" t="s">
        <v>58</v>
      </c>
      <c r="K871">
        <f t="shared" si="13"/>
        <v>144000</v>
      </c>
    </row>
    <row r="872" spans="1:11">
      <c r="A872" t="s">
        <v>118</v>
      </c>
      <c r="B872" t="s">
        <v>27</v>
      </c>
      <c r="C872" t="s">
        <v>36</v>
      </c>
      <c r="D872" t="s">
        <v>41</v>
      </c>
      <c r="E872" t="s">
        <v>30</v>
      </c>
      <c r="F872" t="s">
        <v>46</v>
      </c>
      <c r="G872" t="s">
        <v>39</v>
      </c>
      <c r="H872">
        <v>60000</v>
      </c>
      <c r="I872">
        <v>7</v>
      </c>
      <c r="J872" t="s">
        <v>33</v>
      </c>
      <c r="K872">
        <f t="shared" si="13"/>
        <v>48000</v>
      </c>
    </row>
    <row r="873" spans="1:11">
      <c r="A873" t="s">
        <v>106</v>
      </c>
      <c r="B873" t="s">
        <v>44</v>
      </c>
      <c r="C873" t="s">
        <v>45</v>
      </c>
      <c r="D873" t="s">
        <v>41</v>
      </c>
      <c r="E873" t="s">
        <v>37</v>
      </c>
      <c r="F873" t="s">
        <v>62</v>
      </c>
      <c r="G873" t="s">
        <v>51</v>
      </c>
      <c r="H873">
        <v>150000</v>
      </c>
      <c r="I873">
        <v>7</v>
      </c>
      <c r="J873" t="s">
        <v>58</v>
      </c>
      <c r="K873">
        <f t="shared" si="13"/>
        <v>120000</v>
      </c>
    </row>
    <row r="874" spans="1:11">
      <c r="A874" t="s">
        <v>114</v>
      </c>
      <c r="B874" t="s">
        <v>35</v>
      </c>
      <c r="C874" t="s">
        <v>28</v>
      </c>
      <c r="D874" t="s">
        <v>41</v>
      </c>
      <c r="E874" t="s">
        <v>37</v>
      </c>
      <c r="F874" t="s">
        <v>38</v>
      </c>
      <c r="G874" t="s">
        <v>39</v>
      </c>
      <c r="H874">
        <v>30000</v>
      </c>
      <c r="I874">
        <v>4</v>
      </c>
      <c r="J874" t="s">
        <v>65</v>
      </c>
      <c r="K874">
        <f t="shared" si="13"/>
        <v>24000</v>
      </c>
    </row>
    <row r="875" spans="1:11">
      <c r="A875" t="s">
        <v>158</v>
      </c>
      <c r="B875" t="s">
        <v>27</v>
      </c>
      <c r="C875" t="s">
        <v>53</v>
      </c>
      <c r="D875" t="s">
        <v>41</v>
      </c>
      <c r="E875" t="s">
        <v>37</v>
      </c>
      <c r="F875" t="s">
        <v>67</v>
      </c>
      <c r="G875" t="s">
        <v>51</v>
      </c>
      <c r="H875">
        <v>420000</v>
      </c>
      <c r="I875">
        <v>1</v>
      </c>
      <c r="J875" t="s">
        <v>65</v>
      </c>
      <c r="K875">
        <f t="shared" si="13"/>
        <v>336000</v>
      </c>
    </row>
    <row r="876" spans="1:11">
      <c r="A876" t="s">
        <v>125</v>
      </c>
      <c r="B876" t="s">
        <v>27</v>
      </c>
      <c r="C876" t="s">
        <v>45</v>
      </c>
      <c r="D876" t="s">
        <v>41</v>
      </c>
      <c r="E876" t="s">
        <v>37</v>
      </c>
      <c r="F876" t="s">
        <v>67</v>
      </c>
      <c r="G876" t="s">
        <v>51</v>
      </c>
      <c r="H876">
        <v>420000</v>
      </c>
      <c r="I876">
        <v>4</v>
      </c>
      <c r="J876" t="s">
        <v>58</v>
      </c>
      <c r="K876">
        <f t="shared" si="13"/>
        <v>336000</v>
      </c>
    </row>
    <row r="877" spans="1:11">
      <c r="A877" t="s">
        <v>136</v>
      </c>
      <c r="B877" t="s">
        <v>49</v>
      </c>
      <c r="C877" t="s">
        <v>45</v>
      </c>
      <c r="D877" t="s">
        <v>41</v>
      </c>
      <c r="E877" t="s">
        <v>30</v>
      </c>
      <c r="F877" t="s">
        <v>31</v>
      </c>
      <c r="G877" t="s">
        <v>32</v>
      </c>
      <c r="H877">
        <v>85000</v>
      </c>
      <c r="I877">
        <v>4</v>
      </c>
      <c r="J877" t="s">
        <v>58</v>
      </c>
      <c r="K877">
        <f t="shared" si="13"/>
        <v>68000</v>
      </c>
    </row>
    <row r="878" spans="1:11">
      <c r="A878" t="s">
        <v>163</v>
      </c>
      <c r="B878" t="s">
        <v>27</v>
      </c>
      <c r="C878" t="s">
        <v>36</v>
      </c>
      <c r="D878" t="s">
        <v>41</v>
      </c>
      <c r="E878" t="s">
        <v>37</v>
      </c>
      <c r="F878" t="s">
        <v>56</v>
      </c>
      <c r="G878" t="s">
        <v>32</v>
      </c>
      <c r="H878">
        <v>320000</v>
      </c>
      <c r="I878">
        <v>5</v>
      </c>
      <c r="J878" t="s">
        <v>47</v>
      </c>
      <c r="K878">
        <f t="shared" si="13"/>
        <v>256000</v>
      </c>
    </row>
    <row r="879" spans="1:11">
      <c r="A879" t="s">
        <v>85</v>
      </c>
      <c r="B879" t="s">
        <v>35</v>
      </c>
      <c r="C879" t="s">
        <v>28</v>
      </c>
      <c r="D879" t="s">
        <v>41</v>
      </c>
      <c r="E879" t="s">
        <v>37</v>
      </c>
      <c r="F879" t="s">
        <v>31</v>
      </c>
      <c r="G879" t="s">
        <v>32</v>
      </c>
      <c r="H879">
        <v>85000</v>
      </c>
      <c r="I879">
        <v>4</v>
      </c>
      <c r="J879" t="s">
        <v>47</v>
      </c>
      <c r="K879">
        <f t="shared" si="13"/>
        <v>68000</v>
      </c>
    </row>
    <row r="880" spans="1:11">
      <c r="A880" t="s">
        <v>174</v>
      </c>
      <c r="B880" t="s">
        <v>27</v>
      </c>
      <c r="C880" t="s">
        <v>28</v>
      </c>
      <c r="D880" t="s">
        <v>41</v>
      </c>
      <c r="E880" t="s">
        <v>37</v>
      </c>
      <c r="F880" t="s">
        <v>67</v>
      </c>
      <c r="G880" t="s">
        <v>51</v>
      </c>
      <c r="H880">
        <v>420000</v>
      </c>
      <c r="I880">
        <v>7</v>
      </c>
      <c r="J880" t="s">
        <v>69</v>
      </c>
      <c r="K880">
        <f t="shared" si="13"/>
        <v>336000</v>
      </c>
    </row>
    <row r="881" spans="1:11">
      <c r="A881" t="s">
        <v>130</v>
      </c>
      <c r="B881" t="s">
        <v>27</v>
      </c>
      <c r="C881" t="s">
        <v>45</v>
      </c>
      <c r="D881" t="s">
        <v>41</v>
      </c>
      <c r="E881" t="s">
        <v>30</v>
      </c>
      <c r="F881" t="s">
        <v>38</v>
      </c>
      <c r="G881" t="s">
        <v>39</v>
      </c>
      <c r="H881">
        <v>30000</v>
      </c>
      <c r="I881">
        <v>10</v>
      </c>
      <c r="J881" t="s">
        <v>47</v>
      </c>
      <c r="K881">
        <f t="shared" si="13"/>
        <v>24000</v>
      </c>
    </row>
    <row r="882" spans="1:11">
      <c r="A882" t="s">
        <v>59</v>
      </c>
      <c r="B882" t="s">
        <v>27</v>
      </c>
      <c r="C882" t="s">
        <v>45</v>
      </c>
      <c r="D882" t="s">
        <v>41</v>
      </c>
      <c r="E882" t="s">
        <v>30</v>
      </c>
      <c r="F882" t="s">
        <v>62</v>
      </c>
      <c r="G882" t="s">
        <v>51</v>
      </c>
      <c r="H882">
        <v>150000</v>
      </c>
      <c r="I882">
        <v>10</v>
      </c>
      <c r="J882" t="s">
        <v>47</v>
      </c>
      <c r="K882">
        <f t="shared" si="13"/>
        <v>120000</v>
      </c>
    </row>
    <row r="883" spans="1:11">
      <c r="A883" t="s">
        <v>152</v>
      </c>
      <c r="B883" t="s">
        <v>44</v>
      </c>
      <c r="C883" t="s">
        <v>28</v>
      </c>
      <c r="D883" t="s">
        <v>41</v>
      </c>
      <c r="E883" t="s">
        <v>37</v>
      </c>
      <c r="F883" t="s">
        <v>71</v>
      </c>
      <c r="G883" t="s">
        <v>51</v>
      </c>
      <c r="H883">
        <v>250000</v>
      </c>
      <c r="I883">
        <v>4</v>
      </c>
      <c r="J883" t="s">
        <v>65</v>
      </c>
      <c r="K883">
        <f t="shared" si="13"/>
        <v>200000</v>
      </c>
    </row>
    <row r="884" spans="1:11">
      <c r="A884" t="s">
        <v>132</v>
      </c>
      <c r="B884" t="s">
        <v>35</v>
      </c>
      <c r="C884" t="s">
        <v>53</v>
      </c>
      <c r="D884" t="s">
        <v>29</v>
      </c>
      <c r="E884" t="s">
        <v>30</v>
      </c>
      <c r="F884" t="s">
        <v>73</v>
      </c>
      <c r="G884" t="s">
        <v>39</v>
      </c>
      <c r="H884">
        <v>220000</v>
      </c>
      <c r="I884">
        <v>6</v>
      </c>
      <c r="J884" t="s">
        <v>65</v>
      </c>
      <c r="K884">
        <f t="shared" si="13"/>
        <v>176000</v>
      </c>
    </row>
    <row r="885" spans="1:11">
      <c r="A885" t="s">
        <v>126</v>
      </c>
      <c r="B885" t="s">
        <v>49</v>
      </c>
      <c r="C885" t="s">
        <v>28</v>
      </c>
      <c r="D885" t="s">
        <v>29</v>
      </c>
      <c r="E885" t="s">
        <v>37</v>
      </c>
      <c r="F885" t="s">
        <v>62</v>
      </c>
      <c r="G885" t="s">
        <v>51</v>
      </c>
      <c r="H885">
        <v>150000</v>
      </c>
      <c r="I885">
        <v>10</v>
      </c>
      <c r="J885" t="s">
        <v>42</v>
      </c>
      <c r="K885">
        <f t="shared" si="13"/>
        <v>120000</v>
      </c>
    </row>
    <row r="886" spans="1:11">
      <c r="A886" t="s">
        <v>72</v>
      </c>
      <c r="B886" t="s">
        <v>35</v>
      </c>
      <c r="C886" t="s">
        <v>45</v>
      </c>
      <c r="D886" t="s">
        <v>29</v>
      </c>
      <c r="E886" t="s">
        <v>30</v>
      </c>
      <c r="F886" t="s">
        <v>62</v>
      </c>
      <c r="G886" t="s">
        <v>51</v>
      </c>
      <c r="H886">
        <v>150000</v>
      </c>
      <c r="I886">
        <v>2</v>
      </c>
      <c r="J886" t="s">
        <v>47</v>
      </c>
      <c r="K886">
        <f t="shared" si="13"/>
        <v>120000</v>
      </c>
    </row>
    <row r="887" spans="1:11">
      <c r="A887" t="s">
        <v>94</v>
      </c>
      <c r="B887" t="s">
        <v>27</v>
      </c>
      <c r="C887" t="s">
        <v>28</v>
      </c>
      <c r="D887" t="s">
        <v>29</v>
      </c>
      <c r="E887" t="s">
        <v>30</v>
      </c>
      <c r="F887" t="s">
        <v>71</v>
      </c>
      <c r="G887" t="s">
        <v>51</v>
      </c>
      <c r="H887">
        <v>250000</v>
      </c>
      <c r="I887">
        <v>4</v>
      </c>
      <c r="J887" t="s">
        <v>58</v>
      </c>
      <c r="K887">
        <f t="shared" si="13"/>
        <v>200000</v>
      </c>
    </row>
    <row r="888" spans="1:11">
      <c r="A888" t="s">
        <v>77</v>
      </c>
      <c r="B888" t="s">
        <v>35</v>
      </c>
      <c r="C888" t="s">
        <v>28</v>
      </c>
      <c r="D888" t="s">
        <v>29</v>
      </c>
      <c r="E888" t="s">
        <v>37</v>
      </c>
      <c r="F888" t="s">
        <v>62</v>
      </c>
      <c r="G888" t="s">
        <v>51</v>
      </c>
      <c r="H888">
        <v>150000</v>
      </c>
      <c r="I888">
        <v>9</v>
      </c>
      <c r="J888" t="s">
        <v>42</v>
      </c>
      <c r="K888">
        <f t="shared" si="13"/>
        <v>120000</v>
      </c>
    </row>
    <row r="889" spans="1:11">
      <c r="A889" t="s">
        <v>165</v>
      </c>
      <c r="B889" t="s">
        <v>49</v>
      </c>
      <c r="C889" t="s">
        <v>45</v>
      </c>
      <c r="D889" t="s">
        <v>29</v>
      </c>
      <c r="E889" t="s">
        <v>37</v>
      </c>
      <c r="F889" t="s">
        <v>67</v>
      </c>
      <c r="G889" t="s">
        <v>51</v>
      </c>
      <c r="H889">
        <v>420000</v>
      </c>
      <c r="I889">
        <v>7</v>
      </c>
      <c r="J889" t="s">
        <v>58</v>
      </c>
      <c r="K889">
        <f t="shared" si="13"/>
        <v>336000</v>
      </c>
    </row>
    <row r="890" spans="1:11">
      <c r="A890" t="s">
        <v>163</v>
      </c>
      <c r="B890" t="s">
        <v>35</v>
      </c>
      <c r="C890" t="s">
        <v>36</v>
      </c>
      <c r="D890" t="s">
        <v>29</v>
      </c>
      <c r="E890" t="s">
        <v>30</v>
      </c>
      <c r="F890" t="s">
        <v>31</v>
      </c>
      <c r="G890" t="s">
        <v>32</v>
      </c>
      <c r="H890">
        <v>85000</v>
      </c>
      <c r="I890">
        <v>2</v>
      </c>
      <c r="J890" t="s">
        <v>33</v>
      </c>
      <c r="K890">
        <f t="shared" si="13"/>
        <v>68000</v>
      </c>
    </row>
    <row r="891" spans="1:11">
      <c r="A891" t="s">
        <v>172</v>
      </c>
      <c r="B891" t="s">
        <v>44</v>
      </c>
      <c r="C891" t="s">
        <v>36</v>
      </c>
      <c r="D891" t="s">
        <v>41</v>
      </c>
      <c r="E891" t="s">
        <v>37</v>
      </c>
      <c r="F891" t="s">
        <v>31</v>
      </c>
      <c r="G891" t="s">
        <v>32</v>
      </c>
      <c r="H891">
        <v>85000</v>
      </c>
      <c r="I891">
        <v>1</v>
      </c>
      <c r="J891" t="s">
        <v>58</v>
      </c>
      <c r="K891">
        <f t="shared" si="13"/>
        <v>68000</v>
      </c>
    </row>
    <row r="892" spans="1:11">
      <c r="A892" t="s">
        <v>151</v>
      </c>
      <c r="B892" t="s">
        <v>44</v>
      </c>
      <c r="C892" t="s">
        <v>45</v>
      </c>
      <c r="D892" t="s">
        <v>29</v>
      </c>
      <c r="E892" t="s">
        <v>37</v>
      </c>
      <c r="F892" t="s">
        <v>67</v>
      </c>
      <c r="G892" t="s">
        <v>51</v>
      </c>
      <c r="H892">
        <v>420000</v>
      </c>
      <c r="I892">
        <v>9</v>
      </c>
      <c r="J892" t="s">
        <v>33</v>
      </c>
      <c r="K892">
        <f t="shared" si="13"/>
        <v>336000</v>
      </c>
    </row>
    <row r="893" spans="1:11">
      <c r="A893" t="s">
        <v>128</v>
      </c>
      <c r="B893" t="s">
        <v>49</v>
      </c>
      <c r="C893" t="s">
        <v>36</v>
      </c>
      <c r="D893" t="s">
        <v>29</v>
      </c>
      <c r="E893" t="s">
        <v>37</v>
      </c>
      <c r="F893" t="s">
        <v>73</v>
      </c>
      <c r="G893" t="s">
        <v>39</v>
      </c>
      <c r="H893">
        <v>220000</v>
      </c>
      <c r="I893">
        <v>2</v>
      </c>
      <c r="J893" t="s">
        <v>69</v>
      </c>
      <c r="K893">
        <f t="shared" si="13"/>
        <v>176000</v>
      </c>
    </row>
    <row r="894" spans="1:11">
      <c r="A894" t="s">
        <v>171</v>
      </c>
      <c r="B894" t="s">
        <v>27</v>
      </c>
      <c r="C894" t="s">
        <v>45</v>
      </c>
      <c r="D894" t="s">
        <v>41</v>
      </c>
      <c r="E894" t="s">
        <v>37</v>
      </c>
      <c r="F894" t="s">
        <v>73</v>
      </c>
      <c r="G894" t="s">
        <v>39</v>
      </c>
      <c r="H894">
        <v>220000</v>
      </c>
      <c r="I894">
        <v>8</v>
      </c>
      <c r="J894" t="s">
        <v>65</v>
      </c>
      <c r="K894">
        <f t="shared" si="13"/>
        <v>176000</v>
      </c>
    </row>
    <row r="895" spans="1:11">
      <c r="A895" t="s">
        <v>88</v>
      </c>
      <c r="B895" t="s">
        <v>49</v>
      </c>
      <c r="C895" t="s">
        <v>28</v>
      </c>
      <c r="D895" t="s">
        <v>41</v>
      </c>
      <c r="E895" t="s">
        <v>30</v>
      </c>
      <c r="F895" t="s">
        <v>38</v>
      </c>
      <c r="G895" t="s">
        <v>39</v>
      </c>
      <c r="H895">
        <v>30000</v>
      </c>
      <c r="I895">
        <v>9</v>
      </c>
      <c r="J895" t="s">
        <v>33</v>
      </c>
      <c r="K895">
        <f t="shared" si="13"/>
        <v>24000</v>
      </c>
    </row>
    <row r="896" spans="1:11">
      <c r="A896" t="s">
        <v>90</v>
      </c>
      <c r="B896" t="s">
        <v>49</v>
      </c>
      <c r="C896" t="s">
        <v>53</v>
      </c>
      <c r="D896" t="s">
        <v>41</v>
      </c>
      <c r="E896" t="s">
        <v>30</v>
      </c>
      <c r="F896" t="s">
        <v>56</v>
      </c>
      <c r="G896" t="s">
        <v>32</v>
      </c>
      <c r="H896">
        <v>320000</v>
      </c>
      <c r="I896">
        <v>3</v>
      </c>
      <c r="J896" t="s">
        <v>65</v>
      </c>
      <c r="K896">
        <f t="shared" si="13"/>
        <v>256000</v>
      </c>
    </row>
    <row r="897" spans="1:11">
      <c r="A897" t="s">
        <v>98</v>
      </c>
      <c r="B897" t="s">
        <v>49</v>
      </c>
      <c r="C897" t="s">
        <v>28</v>
      </c>
      <c r="D897" t="s">
        <v>29</v>
      </c>
      <c r="E897" t="s">
        <v>30</v>
      </c>
      <c r="F897" t="s">
        <v>38</v>
      </c>
      <c r="G897" t="s">
        <v>39</v>
      </c>
      <c r="H897">
        <v>30000</v>
      </c>
      <c r="I897">
        <v>6</v>
      </c>
      <c r="J897" t="s">
        <v>58</v>
      </c>
      <c r="K897">
        <f t="shared" si="13"/>
        <v>24000</v>
      </c>
    </row>
    <row r="898" spans="1:11">
      <c r="A898" t="s">
        <v>72</v>
      </c>
      <c r="B898" t="s">
        <v>49</v>
      </c>
      <c r="C898" t="s">
        <v>45</v>
      </c>
      <c r="D898" t="s">
        <v>41</v>
      </c>
      <c r="E898" t="s">
        <v>30</v>
      </c>
      <c r="F898" t="s">
        <v>46</v>
      </c>
      <c r="G898" t="s">
        <v>39</v>
      </c>
      <c r="H898">
        <v>60000</v>
      </c>
      <c r="I898">
        <v>7</v>
      </c>
      <c r="J898" t="s">
        <v>47</v>
      </c>
      <c r="K898">
        <f t="shared" ref="K898:K961" si="14">H898-H898*0.2</f>
        <v>48000</v>
      </c>
    </row>
    <row r="899" spans="1:11">
      <c r="A899" t="s">
        <v>97</v>
      </c>
      <c r="B899" t="s">
        <v>44</v>
      </c>
      <c r="C899" t="s">
        <v>45</v>
      </c>
      <c r="D899" t="s">
        <v>29</v>
      </c>
      <c r="E899" t="s">
        <v>30</v>
      </c>
      <c r="F899" t="s">
        <v>54</v>
      </c>
      <c r="G899" t="s">
        <v>39</v>
      </c>
      <c r="H899">
        <v>180000</v>
      </c>
      <c r="I899">
        <v>2</v>
      </c>
      <c r="J899" t="s">
        <v>58</v>
      </c>
      <c r="K899">
        <f t="shared" si="14"/>
        <v>144000</v>
      </c>
    </row>
    <row r="900" spans="1:11">
      <c r="A900" t="s">
        <v>52</v>
      </c>
      <c r="B900" t="s">
        <v>35</v>
      </c>
      <c r="C900" t="s">
        <v>53</v>
      </c>
      <c r="D900" t="s">
        <v>41</v>
      </c>
      <c r="E900" t="s">
        <v>37</v>
      </c>
      <c r="F900" t="s">
        <v>38</v>
      </c>
      <c r="G900" t="s">
        <v>39</v>
      </c>
      <c r="H900">
        <v>30000</v>
      </c>
      <c r="I900">
        <v>5</v>
      </c>
      <c r="J900" t="s">
        <v>33</v>
      </c>
      <c r="K900">
        <f t="shared" si="14"/>
        <v>24000</v>
      </c>
    </row>
    <row r="901" spans="1:11">
      <c r="A901" t="s">
        <v>175</v>
      </c>
      <c r="B901" t="s">
        <v>27</v>
      </c>
      <c r="C901" t="s">
        <v>36</v>
      </c>
      <c r="D901" t="s">
        <v>41</v>
      </c>
      <c r="E901" t="s">
        <v>37</v>
      </c>
      <c r="F901" t="s">
        <v>62</v>
      </c>
      <c r="G901" t="s">
        <v>51</v>
      </c>
      <c r="H901">
        <v>150000</v>
      </c>
      <c r="I901">
        <v>2</v>
      </c>
      <c r="J901" t="s">
        <v>65</v>
      </c>
      <c r="K901">
        <f t="shared" si="14"/>
        <v>120000</v>
      </c>
    </row>
    <row r="902" spans="1:11">
      <c r="A902" t="s">
        <v>123</v>
      </c>
      <c r="B902" t="s">
        <v>44</v>
      </c>
      <c r="C902" t="s">
        <v>28</v>
      </c>
      <c r="D902" t="s">
        <v>29</v>
      </c>
      <c r="E902" t="s">
        <v>30</v>
      </c>
      <c r="F902" t="s">
        <v>38</v>
      </c>
      <c r="G902" t="s">
        <v>39</v>
      </c>
      <c r="H902">
        <v>30000</v>
      </c>
      <c r="I902">
        <v>9</v>
      </c>
      <c r="J902" t="s">
        <v>69</v>
      </c>
      <c r="K902">
        <f t="shared" si="14"/>
        <v>24000</v>
      </c>
    </row>
    <row r="903" spans="1:11">
      <c r="A903" t="s">
        <v>86</v>
      </c>
      <c r="B903" t="s">
        <v>44</v>
      </c>
      <c r="C903" t="s">
        <v>45</v>
      </c>
      <c r="D903" t="s">
        <v>41</v>
      </c>
      <c r="E903" t="s">
        <v>30</v>
      </c>
      <c r="F903" t="s">
        <v>62</v>
      </c>
      <c r="G903" t="s">
        <v>51</v>
      </c>
      <c r="H903">
        <v>150000</v>
      </c>
      <c r="I903">
        <v>5</v>
      </c>
      <c r="J903" t="s">
        <v>58</v>
      </c>
      <c r="K903">
        <f t="shared" si="14"/>
        <v>120000</v>
      </c>
    </row>
    <row r="904" spans="1:11">
      <c r="A904" t="s">
        <v>176</v>
      </c>
      <c r="B904" t="s">
        <v>44</v>
      </c>
      <c r="C904" t="s">
        <v>45</v>
      </c>
      <c r="D904" t="s">
        <v>29</v>
      </c>
      <c r="E904" t="s">
        <v>37</v>
      </c>
      <c r="F904" t="s">
        <v>46</v>
      </c>
      <c r="G904" t="s">
        <v>39</v>
      </c>
      <c r="H904">
        <v>60000</v>
      </c>
      <c r="I904">
        <v>8</v>
      </c>
      <c r="J904" t="s">
        <v>69</v>
      </c>
      <c r="K904">
        <f t="shared" si="14"/>
        <v>48000</v>
      </c>
    </row>
    <row r="905" spans="1:11">
      <c r="A905" t="s">
        <v>114</v>
      </c>
      <c r="B905" t="s">
        <v>35</v>
      </c>
      <c r="C905" t="s">
        <v>36</v>
      </c>
      <c r="D905" t="s">
        <v>29</v>
      </c>
      <c r="E905" t="s">
        <v>30</v>
      </c>
      <c r="F905" t="s">
        <v>62</v>
      </c>
      <c r="G905" t="s">
        <v>51</v>
      </c>
      <c r="H905">
        <v>150000</v>
      </c>
      <c r="I905">
        <v>8</v>
      </c>
      <c r="J905" t="s">
        <v>65</v>
      </c>
      <c r="K905">
        <f t="shared" si="14"/>
        <v>120000</v>
      </c>
    </row>
    <row r="906" spans="1:11">
      <c r="A906" t="s">
        <v>87</v>
      </c>
      <c r="B906" t="s">
        <v>35</v>
      </c>
      <c r="C906" t="s">
        <v>45</v>
      </c>
      <c r="D906" t="s">
        <v>29</v>
      </c>
      <c r="E906" t="s">
        <v>37</v>
      </c>
      <c r="F906" t="s">
        <v>31</v>
      </c>
      <c r="G906" t="s">
        <v>32</v>
      </c>
      <c r="H906">
        <v>85000</v>
      </c>
      <c r="I906">
        <v>3</v>
      </c>
      <c r="J906" t="s">
        <v>69</v>
      </c>
      <c r="K906">
        <f t="shared" si="14"/>
        <v>68000</v>
      </c>
    </row>
    <row r="907" spans="1:11">
      <c r="A907" t="s">
        <v>129</v>
      </c>
      <c r="B907" t="s">
        <v>44</v>
      </c>
      <c r="C907" t="s">
        <v>28</v>
      </c>
      <c r="D907" t="s">
        <v>41</v>
      </c>
      <c r="E907" t="s">
        <v>30</v>
      </c>
      <c r="F907" t="s">
        <v>54</v>
      </c>
      <c r="G907" t="s">
        <v>39</v>
      </c>
      <c r="H907">
        <v>180000</v>
      </c>
      <c r="I907">
        <v>4</v>
      </c>
      <c r="J907" t="s">
        <v>65</v>
      </c>
      <c r="K907">
        <f t="shared" si="14"/>
        <v>144000</v>
      </c>
    </row>
    <row r="908" spans="1:11">
      <c r="A908" t="s">
        <v>166</v>
      </c>
      <c r="B908" t="s">
        <v>49</v>
      </c>
      <c r="C908" t="s">
        <v>28</v>
      </c>
      <c r="D908" t="s">
        <v>29</v>
      </c>
      <c r="E908" t="s">
        <v>30</v>
      </c>
      <c r="F908" t="s">
        <v>67</v>
      </c>
      <c r="G908" t="s">
        <v>51</v>
      </c>
      <c r="H908">
        <v>420000</v>
      </c>
      <c r="I908">
        <v>7</v>
      </c>
      <c r="J908" t="s">
        <v>42</v>
      </c>
      <c r="K908">
        <f t="shared" si="14"/>
        <v>336000</v>
      </c>
    </row>
    <row r="909" spans="1:11">
      <c r="A909" t="s">
        <v>146</v>
      </c>
      <c r="B909" t="s">
        <v>35</v>
      </c>
      <c r="C909" t="s">
        <v>36</v>
      </c>
      <c r="D909" t="s">
        <v>29</v>
      </c>
      <c r="E909" t="s">
        <v>37</v>
      </c>
      <c r="F909" t="s">
        <v>46</v>
      </c>
      <c r="G909" t="s">
        <v>39</v>
      </c>
      <c r="H909">
        <v>60000</v>
      </c>
      <c r="I909">
        <v>8</v>
      </c>
      <c r="J909" t="s">
        <v>42</v>
      </c>
      <c r="K909">
        <f t="shared" si="14"/>
        <v>48000</v>
      </c>
    </row>
    <row r="910" spans="1:11">
      <c r="A910" t="s">
        <v>105</v>
      </c>
      <c r="B910" t="s">
        <v>44</v>
      </c>
      <c r="C910" t="s">
        <v>45</v>
      </c>
      <c r="D910" t="s">
        <v>29</v>
      </c>
      <c r="E910" t="s">
        <v>37</v>
      </c>
      <c r="F910" t="s">
        <v>50</v>
      </c>
      <c r="G910" t="s">
        <v>51</v>
      </c>
      <c r="H910">
        <v>300000</v>
      </c>
      <c r="I910">
        <v>1</v>
      </c>
      <c r="J910" t="s">
        <v>58</v>
      </c>
      <c r="K910">
        <f t="shared" si="14"/>
        <v>240000</v>
      </c>
    </row>
    <row r="911" spans="1:11">
      <c r="A911" t="s">
        <v>149</v>
      </c>
      <c r="B911" t="s">
        <v>35</v>
      </c>
      <c r="C911" t="s">
        <v>45</v>
      </c>
      <c r="D911" t="s">
        <v>29</v>
      </c>
      <c r="E911" t="s">
        <v>30</v>
      </c>
      <c r="F911" t="s">
        <v>38</v>
      </c>
      <c r="G911" t="s">
        <v>39</v>
      </c>
      <c r="H911">
        <v>30000</v>
      </c>
      <c r="I911">
        <v>6</v>
      </c>
      <c r="J911" t="s">
        <v>58</v>
      </c>
      <c r="K911">
        <f t="shared" si="14"/>
        <v>24000</v>
      </c>
    </row>
    <row r="912" spans="1:11">
      <c r="A912" t="s">
        <v>150</v>
      </c>
      <c r="B912" t="s">
        <v>49</v>
      </c>
      <c r="C912" t="s">
        <v>36</v>
      </c>
      <c r="D912" t="s">
        <v>41</v>
      </c>
      <c r="E912" t="s">
        <v>37</v>
      </c>
      <c r="F912" t="s">
        <v>71</v>
      </c>
      <c r="G912" t="s">
        <v>51</v>
      </c>
      <c r="H912">
        <v>250000</v>
      </c>
      <c r="I912">
        <v>9</v>
      </c>
      <c r="J912" t="s">
        <v>65</v>
      </c>
      <c r="K912">
        <f t="shared" si="14"/>
        <v>200000</v>
      </c>
    </row>
    <row r="913" spans="1:11">
      <c r="A913" t="s">
        <v>57</v>
      </c>
      <c r="B913" t="s">
        <v>35</v>
      </c>
      <c r="C913" t="s">
        <v>45</v>
      </c>
      <c r="D913" t="s">
        <v>41</v>
      </c>
      <c r="E913" t="s">
        <v>37</v>
      </c>
      <c r="F913" t="s">
        <v>67</v>
      </c>
      <c r="G913" t="s">
        <v>51</v>
      </c>
      <c r="H913">
        <v>420000</v>
      </c>
      <c r="I913">
        <v>9</v>
      </c>
      <c r="J913" t="s">
        <v>58</v>
      </c>
      <c r="K913">
        <f t="shared" si="14"/>
        <v>336000</v>
      </c>
    </row>
    <row r="914" spans="1:11">
      <c r="A914" t="s">
        <v>135</v>
      </c>
      <c r="B914" t="s">
        <v>35</v>
      </c>
      <c r="C914" t="s">
        <v>45</v>
      </c>
      <c r="D914" t="s">
        <v>41</v>
      </c>
      <c r="E914" t="s">
        <v>37</v>
      </c>
      <c r="F914" t="s">
        <v>62</v>
      </c>
      <c r="G914" t="s">
        <v>51</v>
      </c>
      <c r="H914">
        <v>150000</v>
      </c>
      <c r="I914">
        <v>9</v>
      </c>
      <c r="J914" t="s">
        <v>58</v>
      </c>
      <c r="K914">
        <f t="shared" si="14"/>
        <v>120000</v>
      </c>
    </row>
    <row r="915" spans="1:11">
      <c r="A915" t="s">
        <v>154</v>
      </c>
      <c r="B915" t="s">
        <v>35</v>
      </c>
      <c r="C915" t="s">
        <v>36</v>
      </c>
      <c r="D915" t="s">
        <v>41</v>
      </c>
      <c r="E915" t="s">
        <v>30</v>
      </c>
      <c r="F915" t="s">
        <v>50</v>
      </c>
      <c r="G915" t="s">
        <v>51</v>
      </c>
      <c r="H915">
        <v>300000</v>
      </c>
      <c r="I915">
        <v>5</v>
      </c>
      <c r="J915" t="s">
        <v>69</v>
      </c>
      <c r="K915">
        <f t="shared" si="14"/>
        <v>240000</v>
      </c>
    </row>
    <row r="916" spans="1:11">
      <c r="A916" t="s">
        <v>60</v>
      </c>
      <c r="B916" t="s">
        <v>49</v>
      </c>
      <c r="C916" t="s">
        <v>53</v>
      </c>
      <c r="D916" t="s">
        <v>29</v>
      </c>
      <c r="E916" t="s">
        <v>30</v>
      </c>
      <c r="F916" t="s">
        <v>38</v>
      </c>
      <c r="G916" t="s">
        <v>39</v>
      </c>
      <c r="H916">
        <v>30000</v>
      </c>
      <c r="I916">
        <v>4</v>
      </c>
      <c r="J916" t="s">
        <v>58</v>
      </c>
      <c r="K916">
        <f t="shared" si="14"/>
        <v>24000</v>
      </c>
    </row>
    <row r="917" spans="1:11">
      <c r="A917" t="s">
        <v>55</v>
      </c>
      <c r="B917" t="s">
        <v>27</v>
      </c>
      <c r="C917" t="s">
        <v>53</v>
      </c>
      <c r="D917" t="s">
        <v>29</v>
      </c>
      <c r="E917" t="s">
        <v>37</v>
      </c>
      <c r="F917" t="s">
        <v>67</v>
      </c>
      <c r="G917" t="s">
        <v>51</v>
      </c>
      <c r="H917">
        <v>420000</v>
      </c>
      <c r="I917">
        <v>7</v>
      </c>
      <c r="J917" t="s">
        <v>69</v>
      </c>
      <c r="K917">
        <f t="shared" si="14"/>
        <v>336000</v>
      </c>
    </row>
    <row r="918" spans="1:11">
      <c r="A918" t="s">
        <v>154</v>
      </c>
      <c r="B918" t="s">
        <v>35</v>
      </c>
      <c r="C918" t="s">
        <v>36</v>
      </c>
      <c r="D918" t="s">
        <v>41</v>
      </c>
      <c r="E918" t="s">
        <v>37</v>
      </c>
      <c r="F918" t="s">
        <v>56</v>
      </c>
      <c r="G918" t="s">
        <v>32</v>
      </c>
      <c r="H918">
        <v>320000</v>
      </c>
      <c r="I918">
        <v>6</v>
      </c>
      <c r="J918" t="s">
        <v>58</v>
      </c>
      <c r="K918">
        <f t="shared" si="14"/>
        <v>256000</v>
      </c>
    </row>
    <row r="919" spans="1:11">
      <c r="A919" t="s">
        <v>108</v>
      </c>
      <c r="B919" t="s">
        <v>44</v>
      </c>
      <c r="C919" t="s">
        <v>53</v>
      </c>
      <c r="D919" t="s">
        <v>29</v>
      </c>
      <c r="E919" t="s">
        <v>30</v>
      </c>
      <c r="F919" t="s">
        <v>31</v>
      </c>
      <c r="G919" t="s">
        <v>32</v>
      </c>
      <c r="H919">
        <v>85000</v>
      </c>
      <c r="I919">
        <v>2</v>
      </c>
      <c r="J919" t="s">
        <v>69</v>
      </c>
      <c r="K919">
        <f t="shared" si="14"/>
        <v>68000</v>
      </c>
    </row>
    <row r="920" spans="1:11">
      <c r="A920" t="s">
        <v>100</v>
      </c>
      <c r="B920" t="s">
        <v>27</v>
      </c>
      <c r="C920" t="s">
        <v>36</v>
      </c>
      <c r="D920" t="s">
        <v>29</v>
      </c>
      <c r="E920" t="s">
        <v>30</v>
      </c>
      <c r="F920" t="s">
        <v>62</v>
      </c>
      <c r="G920" t="s">
        <v>51</v>
      </c>
      <c r="H920">
        <v>150000</v>
      </c>
      <c r="I920">
        <v>1</v>
      </c>
      <c r="J920" t="s">
        <v>69</v>
      </c>
      <c r="K920">
        <f t="shared" si="14"/>
        <v>120000</v>
      </c>
    </row>
    <row r="921" spans="1:11">
      <c r="A921" t="s">
        <v>125</v>
      </c>
      <c r="B921" t="s">
        <v>27</v>
      </c>
      <c r="C921" t="s">
        <v>28</v>
      </c>
      <c r="D921" t="s">
        <v>41</v>
      </c>
      <c r="E921" t="s">
        <v>37</v>
      </c>
      <c r="F921" t="s">
        <v>31</v>
      </c>
      <c r="G921" t="s">
        <v>32</v>
      </c>
      <c r="H921">
        <v>85000</v>
      </c>
      <c r="I921">
        <v>2</v>
      </c>
      <c r="J921" t="s">
        <v>65</v>
      </c>
      <c r="K921">
        <f t="shared" si="14"/>
        <v>68000</v>
      </c>
    </row>
    <row r="922" spans="1:11">
      <c r="A922" t="s">
        <v>43</v>
      </c>
      <c r="B922" t="s">
        <v>27</v>
      </c>
      <c r="C922" t="s">
        <v>53</v>
      </c>
      <c r="D922" t="s">
        <v>41</v>
      </c>
      <c r="E922" t="s">
        <v>30</v>
      </c>
      <c r="F922" t="s">
        <v>31</v>
      </c>
      <c r="G922" t="s">
        <v>32</v>
      </c>
      <c r="H922">
        <v>85000</v>
      </c>
      <c r="I922">
        <v>1</v>
      </c>
      <c r="J922" t="s">
        <v>47</v>
      </c>
      <c r="K922">
        <f t="shared" si="14"/>
        <v>68000</v>
      </c>
    </row>
    <row r="923" spans="1:11">
      <c r="A923" t="s">
        <v>98</v>
      </c>
      <c r="B923" t="s">
        <v>49</v>
      </c>
      <c r="C923" t="s">
        <v>45</v>
      </c>
      <c r="D923" t="s">
        <v>29</v>
      </c>
      <c r="E923" t="s">
        <v>30</v>
      </c>
      <c r="F923" t="s">
        <v>54</v>
      </c>
      <c r="G923" t="s">
        <v>39</v>
      </c>
      <c r="H923">
        <v>180000</v>
      </c>
      <c r="I923">
        <v>4</v>
      </c>
      <c r="J923" t="s">
        <v>69</v>
      </c>
      <c r="K923">
        <f t="shared" si="14"/>
        <v>144000</v>
      </c>
    </row>
    <row r="924" spans="1:11">
      <c r="A924" t="s">
        <v>78</v>
      </c>
      <c r="B924" t="s">
        <v>35</v>
      </c>
      <c r="C924" t="s">
        <v>28</v>
      </c>
      <c r="D924" t="s">
        <v>41</v>
      </c>
      <c r="E924" t="s">
        <v>30</v>
      </c>
      <c r="F924" t="s">
        <v>67</v>
      </c>
      <c r="G924" t="s">
        <v>51</v>
      </c>
      <c r="H924">
        <v>420000</v>
      </c>
      <c r="I924">
        <v>8</v>
      </c>
      <c r="J924" t="s">
        <v>42</v>
      </c>
      <c r="K924">
        <f t="shared" si="14"/>
        <v>336000</v>
      </c>
    </row>
    <row r="925" spans="1:11">
      <c r="A925" t="s">
        <v>120</v>
      </c>
      <c r="B925" t="s">
        <v>27</v>
      </c>
      <c r="C925" t="s">
        <v>45</v>
      </c>
      <c r="D925" t="s">
        <v>41</v>
      </c>
      <c r="E925" t="s">
        <v>37</v>
      </c>
      <c r="F925" t="s">
        <v>54</v>
      </c>
      <c r="G925" t="s">
        <v>39</v>
      </c>
      <c r="H925">
        <v>180000</v>
      </c>
      <c r="I925">
        <v>9</v>
      </c>
      <c r="J925" t="s">
        <v>42</v>
      </c>
      <c r="K925">
        <f t="shared" si="14"/>
        <v>144000</v>
      </c>
    </row>
    <row r="926" spans="1:11">
      <c r="A926" t="s">
        <v>158</v>
      </c>
      <c r="B926" t="s">
        <v>49</v>
      </c>
      <c r="C926" t="s">
        <v>36</v>
      </c>
      <c r="D926" t="s">
        <v>41</v>
      </c>
      <c r="E926" t="s">
        <v>37</v>
      </c>
      <c r="F926" t="s">
        <v>50</v>
      </c>
      <c r="G926" t="s">
        <v>51</v>
      </c>
      <c r="H926">
        <v>300000</v>
      </c>
      <c r="I926">
        <v>5</v>
      </c>
      <c r="J926" t="s">
        <v>69</v>
      </c>
      <c r="K926">
        <f t="shared" si="14"/>
        <v>240000</v>
      </c>
    </row>
    <row r="927" spans="1:11">
      <c r="A927" t="s">
        <v>170</v>
      </c>
      <c r="B927" t="s">
        <v>27</v>
      </c>
      <c r="C927" t="s">
        <v>45</v>
      </c>
      <c r="D927" t="s">
        <v>41</v>
      </c>
      <c r="E927" t="s">
        <v>37</v>
      </c>
      <c r="F927" t="s">
        <v>46</v>
      </c>
      <c r="G927" t="s">
        <v>39</v>
      </c>
      <c r="H927">
        <v>60000</v>
      </c>
      <c r="I927">
        <v>4</v>
      </c>
      <c r="J927" t="s">
        <v>65</v>
      </c>
      <c r="K927">
        <f t="shared" si="14"/>
        <v>48000</v>
      </c>
    </row>
    <row r="928" spans="1:11">
      <c r="A928" t="s">
        <v>145</v>
      </c>
      <c r="B928" t="s">
        <v>35</v>
      </c>
      <c r="C928" t="s">
        <v>36</v>
      </c>
      <c r="D928" t="s">
        <v>41</v>
      </c>
      <c r="E928" t="s">
        <v>30</v>
      </c>
      <c r="F928" t="s">
        <v>71</v>
      </c>
      <c r="G928" t="s">
        <v>51</v>
      </c>
      <c r="H928">
        <v>250000</v>
      </c>
      <c r="I928">
        <v>4</v>
      </c>
      <c r="J928" t="s">
        <v>65</v>
      </c>
      <c r="K928">
        <f t="shared" si="14"/>
        <v>200000</v>
      </c>
    </row>
    <row r="929" spans="1:11">
      <c r="A929" t="s">
        <v>128</v>
      </c>
      <c r="B929" t="s">
        <v>49</v>
      </c>
      <c r="C929" t="s">
        <v>28</v>
      </c>
      <c r="D929" t="s">
        <v>29</v>
      </c>
      <c r="E929" t="s">
        <v>37</v>
      </c>
      <c r="F929" t="s">
        <v>73</v>
      </c>
      <c r="G929" t="s">
        <v>39</v>
      </c>
      <c r="H929">
        <v>220000</v>
      </c>
      <c r="I929">
        <v>6</v>
      </c>
      <c r="J929" t="s">
        <v>69</v>
      </c>
      <c r="K929">
        <f t="shared" si="14"/>
        <v>176000</v>
      </c>
    </row>
    <row r="930" spans="1:11">
      <c r="A930" t="s">
        <v>78</v>
      </c>
      <c r="B930" t="s">
        <v>35</v>
      </c>
      <c r="C930" t="s">
        <v>36</v>
      </c>
      <c r="D930" t="s">
        <v>41</v>
      </c>
      <c r="E930" t="s">
        <v>30</v>
      </c>
      <c r="F930" t="s">
        <v>50</v>
      </c>
      <c r="G930" t="s">
        <v>51</v>
      </c>
      <c r="H930">
        <v>300000</v>
      </c>
      <c r="I930">
        <v>7</v>
      </c>
      <c r="J930" t="s">
        <v>47</v>
      </c>
      <c r="K930">
        <f t="shared" si="14"/>
        <v>240000</v>
      </c>
    </row>
    <row r="931" spans="1:11">
      <c r="A931" t="s">
        <v>81</v>
      </c>
      <c r="B931" t="s">
        <v>44</v>
      </c>
      <c r="C931" t="s">
        <v>36</v>
      </c>
      <c r="D931" t="s">
        <v>29</v>
      </c>
      <c r="E931" t="s">
        <v>30</v>
      </c>
      <c r="F931" t="s">
        <v>67</v>
      </c>
      <c r="G931" t="s">
        <v>51</v>
      </c>
      <c r="H931">
        <v>420000</v>
      </c>
      <c r="I931">
        <v>10</v>
      </c>
      <c r="J931" t="s">
        <v>47</v>
      </c>
      <c r="K931">
        <f t="shared" si="14"/>
        <v>336000</v>
      </c>
    </row>
    <row r="932" spans="1:11">
      <c r="A932" t="s">
        <v>91</v>
      </c>
      <c r="B932" t="s">
        <v>27</v>
      </c>
      <c r="C932" t="s">
        <v>36</v>
      </c>
      <c r="D932" t="s">
        <v>41</v>
      </c>
      <c r="E932" t="s">
        <v>37</v>
      </c>
      <c r="F932" t="s">
        <v>38</v>
      </c>
      <c r="G932" t="s">
        <v>39</v>
      </c>
      <c r="H932">
        <v>30000</v>
      </c>
      <c r="I932">
        <v>7</v>
      </c>
      <c r="J932" t="s">
        <v>47</v>
      </c>
      <c r="K932">
        <f t="shared" si="14"/>
        <v>24000</v>
      </c>
    </row>
    <row r="933" spans="1:11">
      <c r="A933" t="s">
        <v>70</v>
      </c>
      <c r="B933" t="s">
        <v>49</v>
      </c>
      <c r="C933" t="s">
        <v>36</v>
      </c>
      <c r="D933" t="s">
        <v>41</v>
      </c>
      <c r="E933" t="s">
        <v>30</v>
      </c>
      <c r="F933" t="s">
        <v>73</v>
      </c>
      <c r="G933" t="s">
        <v>39</v>
      </c>
      <c r="H933">
        <v>220000</v>
      </c>
      <c r="I933">
        <v>8</v>
      </c>
      <c r="J933" t="s">
        <v>65</v>
      </c>
      <c r="K933">
        <f t="shared" si="14"/>
        <v>176000</v>
      </c>
    </row>
    <row r="934" spans="1:11">
      <c r="A934" t="s">
        <v>63</v>
      </c>
      <c r="B934" t="s">
        <v>44</v>
      </c>
      <c r="C934" t="s">
        <v>53</v>
      </c>
      <c r="D934" t="s">
        <v>29</v>
      </c>
      <c r="E934" t="s">
        <v>37</v>
      </c>
      <c r="F934" t="s">
        <v>56</v>
      </c>
      <c r="G934" t="s">
        <v>32</v>
      </c>
      <c r="H934">
        <v>320000</v>
      </c>
      <c r="I934">
        <v>9</v>
      </c>
      <c r="J934" t="s">
        <v>42</v>
      </c>
      <c r="K934">
        <f t="shared" si="14"/>
        <v>256000</v>
      </c>
    </row>
    <row r="935" spans="1:11">
      <c r="A935" t="s">
        <v>134</v>
      </c>
      <c r="B935" t="s">
        <v>35</v>
      </c>
      <c r="C935" t="s">
        <v>45</v>
      </c>
      <c r="D935" t="s">
        <v>41</v>
      </c>
      <c r="E935" t="s">
        <v>37</v>
      </c>
      <c r="F935" t="s">
        <v>54</v>
      </c>
      <c r="G935" t="s">
        <v>39</v>
      </c>
      <c r="H935">
        <v>180000</v>
      </c>
      <c r="I935">
        <v>8</v>
      </c>
      <c r="J935" t="s">
        <v>47</v>
      </c>
      <c r="K935">
        <f t="shared" si="14"/>
        <v>144000</v>
      </c>
    </row>
    <row r="936" spans="1:11">
      <c r="A936" t="s">
        <v>64</v>
      </c>
      <c r="B936" t="s">
        <v>49</v>
      </c>
      <c r="C936" t="s">
        <v>28</v>
      </c>
      <c r="D936" t="s">
        <v>29</v>
      </c>
      <c r="E936" t="s">
        <v>30</v>
      </c>
      <c r="F936" t="s">
        <v>38</v>
      </c>
      <c r="G936" t="s">
        <v>39</v>
      </c>
      <c r="H936">
        <v>30000</v>
      </c>
      <c r="I936">
        <v>5</v>
      </c>
      <c r="J936" t="s">
        <v>58</v>
      </c>
      <c r="K936">
        <f t="shared" si="14"/>
        <v>24000</v>
      </c>
    </row>
    <row r="937" spans="1:11">
      <c r="A937" t="s">
        <v>85</v>
      </c>
      <c r="B937" t="s">
        <v>44</v>
      </c>
      <c r="C937" t="s">
        <v>45</v>
      </c>
      <c r="D937" t="s">
        <v>29</v>
      </c>
      <c r="E937" t="s">
        <v>37</v>
      </c>
      <c r="F937" t="s">
        <v>56</v>
      </c>
      <c r="G937" t="s">
        <v>32</v>
      </c>
      <c r="H937">
        <v>320000</v>
      </c>
      <c r="I937">
        <v>8</v>
      </c>
      <c r="J937" t="s">
        <v>47</v>
      </c>
      <c r="K937">
        <f t="shared" si="14"/>
        <v>256000</v>
      </c>
    </row>
    <row r="938" spans="1:11">
      <c r="A938" t="s">
        <v>109</v>
      </c>
      <c r="B938" t="s">
        <v>49</v>
      </c>
      <c r="C938" t="s">
        <v>36</v>
      </c>
      <c r="D938" t="s">
        <v>29</v>
      </c>
      <c r="E938" t="s">
        <v>37</v>
      </c>
      <c r="F938" t="s">
        <v>56</v>
      </c>
      <c r="G938" t="s">
        <v>32</v>
      </c>
      <c r="H938">
        <v>320000</v>
      </c>
      <c r="I938">
        <v>8</v>
      </c>
      <c r="J938" t="s">
        <v>42</v>
      </c>
      <c r="K938">
        <f t="shared" si="14"/>
        <v>256000</v>
      </c>
    </row>
    <row r="939" spans="1:11">
      <c r="A939" t="s">
        <v>117</v>
      </c>
      <c r="B939" t="s">
        <v>35</v>
      </c>
      <c r="C939" t="s">
        <v>45</v>
      </c>
      <c r="D939" t="s">
        <v>41</v>
      </c>
      <c r="E939" t="s">
        <v>37</v>
      </c>
      <c r="F939" t="s">
        <v>38</v>
      </c>
      <c r="G939" t="s">
        <v>39</v>
      </c>
      <c r="H939">
        <v>30000</v>
      </c>
      <c r="I939">
        <v>4</v>
      </c>
      <c r="J939" t="s">
        <v>47</v>
      </c>
      <c r="K939">
        <f t="shared" si="14"/>
        <v>24000</v>
      </c>
    </row>
    <row r="940" spans="1:11">
      <c r="A940" t="s">
        <v>34</v>
      </c>
      <c r="B940" t="s">
        <v>27</v>
      </c>
      <c r="C940" t="s">
        <v>53</v>
      </c>
      <c r="D940" t="s">
        <v>29</v>
      </c>
      <c r="E940" t="s">
        <v>37</v>
      </c>
      <c r="F940" t="s">
        <v>54</v>
      </c>
      <c r="G940" t="s">
        <v>39</v>
      </c>
      <c r="H940">
        <v>180000</v>
      </c>
      <c r="I940">
        <v>3</v>
      </c>
      <c r="J940" t="s">
        <v>58</v>
      </c>
      <c r="K940">
        <f t="shared" si="14"/>
        <v>144000</v>
      </c>
    </row>
    <row r="941" spans="1:11">
      <c r="A941" t="s">
        <v>76</v>
      </c>
      <c r="B941" t="s">
        <v>49</v>
      </c>
      <c r="C941" t="s">
        <v>45</v>
      </c>
      <c r="D941" t="s">
        <v>29</v>
      </c>
      <c r="E941" t="s">
        <v>30</v>
      </c>
      <c r="F941" t="s">
        <v>54</v>
      </c>
      <c r="G941" t="s">
        <v>39</v>
      </c>
      <c r="H941">
        <v>180000</v>
      </c>
      <c r="I941">
        <v>9</v>
      </c>
      <c r="J941" t="s">
        <v>58</v>
      </c>
      <c r="K941">
        <f t="shared" si="14"/>
        <v>144000</v>
      </c>
    </row>
    <row r="942" spans="1:11">
      <c r="A942" t="s">
        <v>154</v>
      </c>
      <c r="B942" t="s">
        <v>49</v>
      </c>
      <c r="C942" t="s">
        <v>36</v>
      </c>
      <c r="D942" t="s">
        <v>41</v>
      </c>
      <c r="E942" t="s">
        <v>37</v>
      </c>
      <c r="F942" t="s">
        <v>54</v>
      </c>
      <c r="G942" t="s">
        <v>39</v>
      </c>
      <c r="H942">
        <v>180000</v>
      </c>
      <c r="I942">
        <v>1</v>
      </c>
      <c r="J942" t="s">
        <v>47</v>
      </c>
      <c r="K942">
        <f t="shared" si="14"/>
        <v>144000</v>
      </c>
    </row>
    <row r="943" spans="1:11">
      <c r="A943" t="s">
        <v>119</v>
      </c>
      <c r="B943" t="s">
        <v>27</v>
      </c>
      <c r="C943" t="s">
        <v>53</v>
      </c>
      <c r="D943" t="s">
        <v>41</v>
      </c>
      <c r="E943" t="s">
        <v>30</v>
      </c>
      <c r="F943" t="s">
        <v>73</v>
      </c>
      <c r="G943" t="s">
        <v>39</v>
      </c>
      <c r="H943">
        <v>220000</v>
      </c>
      <c r="I943">
        <v>6</v>
      </c>
      <c r="J943" t="s">
        <v>42</v>
      </c>
      <c r="K943">
        <f t="shared" si="14"/>
        <v>176000</v>
      </c>
    </row>
    <row r="944" spans="1:11">
      <c r="A944" t="s">
        <v>137</v>
      </c>
      <c r="B944" t="s">
        <v>35</v>
      </c>
      <c r="C944" t="s">
        <v>36</v>
      </c>
      <c r="D944" t="s">
        <v>29</v>
      </c>
      <c r="E944" t="s">
        <v>30</v>
      </c>
      <c r="F944" t="s">
        <v>50</v>
      </c>
      <c r="G944" t="s">
        <v>51</v>
      </c>
      <c r="H944">
        <v>300000</v>
      </c>
      <c r="I944">
        <v>3</v>
      </c>
      <c r="J944" t="s">
        <v>42</v>
      </c>
      <c r="K944">
        <f t="shared" si="14"/>
        <v>240000</v>
      </c>
    </row>
    <row r="945" spans="1:11">
      <c r="A945" t="s">
        <v>112</v>
      </c>
      <c r="B945" t="s">
        <v>44</v>
      </c>
      <c r="C945" t="s">
        <v>36</v>
      </c>
      <c r="D945" t="s">
        <v>41</v>
      </c>
      <c r="E945" t="s">
        <v>37</v>
      </c>
      <c r="F945" t="s">
        <v>56</v>
      </c>
      <c r="G945" t="s">
        <v>32</v>
      </c>
      <c r="H945">
        <v>320000</v>
      </c>
      <c r="I945">
        <v>1</v>
      </c>
      <c r="J945" t="s">
        <v>58</v>
      </c>
      <c r="K945">
        <f t="shared" si="14"/>
        <v>256000</v>
      </c>
    </row>
    <row r="946" spans="1:11">
      <c r="A946" t="s">
        <v>131</v>
      </c>
      <c r="B946" t="s">
        <v>44</v>
      </c>
      <c r="C946" t="s">
        <v>28</v>
      </c>
      <c r="D946" t="s">
        <v>41</v>
      </c>
      <c r="E946" t="s">
        <v>37</v>
      </c>
      <c r="F946" t="s">
        <v>62</v>
      </c>
      <c r="G946" t="s">
        <v>51</v>
      </c>
      <c r="H946">
        <v>150000</v>
      </c>
      <c r="I946">
        <v>6</v>
      </c>
      <c r="J946" t="s">
        <v>58</v>
      </c>
      <c r="K946">
        <f t="shared" si="14"/>
        <v>120000</v>
      </c>
    </row>
    <row r="947" spans="1:11">
      <c r="A947" t="s">
        <v>95</v>
      </c>
      <c r="B947" t="s">
        <v>35</v>
      </c>
      <c r="C947" t="s">
        <v>36</v>
      </c>
      <c r="D947" t="s">
        <v>41</v>
      </c>
      <c r="E947" t="s">
        <v>37</v>
      </c>
      <c r="F947" t="s">
        <v>73</v>
      </c>
      <c r="G947" t="s">
        <v>39</v>
      </c>
      <c r="H947">
        <v>220000</v>
      </c>
      <c r="I947">
        <v>7</v>
      </c>
      <c r="J947" t="s">
        <v>42</v>
      </c>
      <c r="K947">
        <f t="shared" si="14"/>
        <v>176000</v>
      </c>
    </row>
    <row r="948" spans="1:11">
      <c r="A948" t="s">
        <v>89</v>
      </c>
      <c r="B948" t="s">
        <v>27</v>
      </c>
      <c r="C948" t="s">
        <v>36</v>
      </c>
      <c r="D948" t="s">
        <v>29</v>
      </c>
      <c r="E948" t="s">
        <v>30</v>
      </c>
      <c r="F948" t="s">
        <v>73</v>
      </c>
      <c r="G948" t="s">
        <v>39</v>
      </c>
      <c r="H948">
        <v>220000</v>
      </c>
      <c r="I948">
        <v>1</v>
      </c>
      <c r="J948" t="s">
        <v>47</v>
      </c>
      <c r="K948">
        <f t="shared" si="14"/>
        <v>176000</v>
      </c>
    </row>
    <row r="949" spans="1:11">
      <c r="A949" t="s">
        <v>107</v>
      </c>
      <c r="B949" t="s">
        <v>35</v>
      </c>
      <c r="C949" t="s">
        <v>28</v>
      </c>
      <c r="D949" t="s">
        <v>29</v>
      </c>
      <c r="E949" t="s">
        <v>30</v>
      </c>
      <c r="F949" t="s">
        <v>31</v>
      </c>
      <c r="G949" t="s">
        <v>32</v>
      </c>
      <c r="H949">
        <v>85000</v>
      </c>
      <c r="I949">
        <v>4</v>
      </c>
      <c r="J949" t="s">
        <v>58</v>
      </c>
      <c r="K949">
        <f t="shared" si="14"/>
        <v>68000</v>
      </c>
    </row>
    <row r="950" spans="1:11">
      <c r="A950" t="s">
        <v>52</v>
      </c>
      <c r="B950" t="s">
        <v>27</v>
      </c>
      <c r="C950" t="s">
        <v>53</v>
      </c>
      <c r="D950" t="s">
        <v>41</v>
      </c>
      <c r="E950" t="s">
        <v>30</v>
      </c>
      <c r="F950" t="s">
        <v>71</v>
      </c>
      <c r="G950" t="s">
        <v>51</v>
      </c>
      <c r="H950">
        <v>250000</v>
      </c>
      <c r="I950">
        <v>10</v>
      </c>
      <c r="J950" t="s">
        <v>58</v>
      </c>
      <c r="K950">
        <f t="shared" si="14"/>
        <v>200000</v>
      </c>
    </row>
    <row r="951" spans="1:11">
      <c r="A951" t="s">
        <v>151</v>
      </c>
      <c r="B951" t="s">
        <v>49</v>
      </c>
      <c r="C951" t="s">
        <v>53</v>
      </c>
      <c r="D951" t="s">
        <v>29</v>
      </c>
      <c r="E951" t="s">
        <v>37</v>
      </c>
      <c r="F951" t="s">
        <v>56</v>
      </c>
      <c r="G951" t="s">
        <v>32</v>
      </c>
      <c r="H951">
        <v>320000</v>
      </c>
      <c r="I951">
        <v>1</v>
      </c>
      <c r="J951" t="s">
        <v>65</v>
      </c>
      <c r="K951">
        <f t="shared" si="14"/>
        <v>256000</v>
      </c>
    </row>
    <row r="952" spans="1:11">
      <c r="A952" t="s">
        <v>125</v>
      </c>
      <c r="B952" t="s">
        <v>27</v>
      </c>
      <c r="C952" t="s">
        <v>28</v>
      </c>
      <c r="D952" t="s">
        <v>41</v>
      </c>
      <c r="E952" t="s">
        <v>37</v>
      </c>
      <c r="F952" t="s">
        <v>46</v>
      </c>
      <c r="G952" t="s">
        <v>39</v>
      </c>
      <c r="H952">
        <v>60000</v>
      </c>
      <c r="I952">
        <v>8</v>
      </c>
      <c r="J952" t="s">
        <v>42</v>
      </c>
      <c r="K952">
        <f t="shared" si="14"/>
        <v>48000</v>
      </c>
    </row>
    <row r="953" spans="1:11">
      <c r="A953" t="s">
        <v>142</v>
      </c>
      <c r="B953" t="s">
        <v>49</v>
      </c>
      <c r="C953" t="s">
        <v>53</v>
      </c>
      <c r="D953" t="s">
        <v>29</v>
      </c>
      <c r="E953" t="s">
        <v>37</v>
      </c>
      <c r="F953" t="s">
        <v>67</v>
      </c>
      <c r="G953" t="s">
        <v>51</v>
      </c>
      <c r="H953">
        <v>420000</v>
      </c>
      <c r="I953">
        <v>2</v>
      </c>
      <c r="J953" t="s">
        <v>65</v>
      </c>
      <c r="K953">
        <f t="shared" si="14"/>
        <v>336000</v>
      </c>
    </row>
    <row r="954" spans="1:11">
      <c r="A954" t="s">
        <v>161</v>
      </c>
      <c r="B954" t="s">
        <v>49</v>
      </c>
      <c r="C954" t="s">
        <v>45</v>
      </c>
      <c r="D954" t="s">
        <v>41</v>
      </c>
      <c r="E954" t="s">
        <v>30</v>
      </c>
      <c r="F954" t="s">
        <v>71</v>
      </c>
      <c r="G954" t="s">
        <v>51</v>
      </c>
      <c r="H954">
        <v>250000</v>
      </c>
      <c r="I954">
        <v>2</v>
      </c>
      <c r="J954" t="s">
        <v>33</v>
      </c>
      <c r="K954">
        <f t="shared" si="14"/>
        <v>200000</v>
      </c>
    </row>
    <row r="955" spans="1:11">
      <c r="A955" t="s">
        <v>81</v>
      </c>
      <c r="B955" t="s">
        <v>27</v>
      </c>
      <c r="C955" t="s">
        <v>36</v>
      </c>
      <c r="D955" t="s">
        <v>29</v>
      </c>
      <c r="E955" t="s">
        <v>37</v>
      </c>
      <c r="F955" t="s">
        <v>73</v>
      </c>
      <c r="G955" t="s">
        <v>39</v>
      </c>
      <c r="H955">
        <v>220000</v>
      </c>
      <c r="I955">
        <v>6</v>
      </c>
      <c r="J955" t="s">
        <v>69</v>
      </c>
      <c r="K955">
        <f t="shared" si="14"/>
        <v>176000</v>
      </c>
    </row>
    <row r="956" spans="1:11">
      <c r="A956" t="s">
        <v>34</v>
      </c>
      <c r="B956" t="s">
        <v>49</v>
      </c>
      <c r="C956" t="s">
        <v>36</v>
      </c>
      <c r="D956" t="s">
        <v>41</v>
      </c>
      <c r="E956" t="s">
        <v>37</v>
      </c>
      <c r="F956" t="s">
        <v>46</v>
      </c>
      <c r="G956" t="s">
        <v>39</v>
      </c>
      <c r="H956">
        <v>60000</v>
      </c>
      <c r="I956">
        <v>1</v>
      </c>
      <c r="J956" t="s">
        <v>58</v>
      </c>
      <c r="K956">
        <f t="shared" si="14"/>
        <v>48000</v>
      </c>
    </row>
    <row r="957" spans="1:11">
      <c r="A957" t="s">
        <v>136</v>
      </c>
      <c r="B957" t="s">
        <v>27</v>
      </c>
      <c r="C957" t="s">
        <v>28</v>
      </c>
      <c r="D957" t="s">
        <v>29</v>
      </c>
      <c r="E957" t="s">
        <v>37</v>
      </c>
      <c r="F957" t="s">
        <v>31</v>
      </c>
      <c r="G957" t="s">
        <v>32</v>
      </c>
      <c r="H957">
        <v>85000</v>
      </c>
      <c r="I957">
        <v>9</v>
      </c>
      <c r="J957" t="s">
        <v>69</v>
      </c>
      <c r="K957">
        <f t="shared" si="14"/>
        <v>68000</v>
      </c>
    </row>
    <row r="958" spans="1:11">
      <c r="A958" t="s">
        <v>176</v>
      </c>
      <c r="B958" t="s">
        <v>44</v>
      </c>
      <c r="C958" t="s">
        <v>36</v>
      </c>
      <c r="D958" t="s">
        <v>29</v>
      </c>
      <c r="E958" t="s">
        <v>37</v>
      </c>
      <c r="F958" t="s">
        <v>46</v>
      </c>
      <c r="G958" t="s">
        <v>39</v>
      </c>
      <c r="H958">
        <v>60000</v>
      </c>
      <c r="I958">
        <v>9</v>
      </c>
      <c r="J958" t="s">
        <v>65</v>
      </c>
      <c r="K958">
        <f t="shared" si="14"/>
        <v>48000</v>
      </c>
    </row>
    <row r="959" spans="1:11">
      <c r="A959" t="s">
        <v>114</v>
      </c>
      <c r="B959" t="s">
        <v>35</v>
      </c>
      <c r="C959" t="s">
        <v>45</v>
      </c>
      <c r="D959" t="s">
        <v>41</v>
      </c>
      <c r="E959" t="s">
        <v>37</v>
      </c>
      <c r="F959" t="s">
        <v>31</v>
      </c>
      <c r="G959" t="s">
        <v>32</v>
      </c>
      <c r="H959">
        <v>85000</v>
      </c>
      <c r="I959">
        <v>7</v>
      </c>
      <c r="J959" t="s">
        <v>42</v>
      </c>
      <c r="K959">
        <f t="shared" si="14"/>
        <v>68000</v>
      </c>
    </row>
    <row r="960" spans="1:11">
      <c r="A960" t="s">
        <v>95</v>
      </c>
      <c r="B960" t="s">
        <v>44</v>
      </c>
      <c r="C960" t="s">
        <v>53</v>
      </c>
      <c r="D960" t="s">
        <v>29</v>
      </c>
      <c r="E960" t="s">
        <v>30</v>
      </c>
      <c r="F960" t="s">
        <v>56</v>
      </c>
      <c r="G960" t="s">
        <v>32</v>
      </c>
      <c r="H960">
        <v>320000</v>
      </c>
      <c r="I960">
        <v>4</v>
      </c>
      <c r="J960" t="s">
        <v>47</v>
      </c>
      <c r="K960">
        <f t="shared" si="14"/>
        <v>256000</v>
      </c>
    </row>
    <row r="961" spans="1:11">
      <c r="A961" t="s">
        <v>78</v>
      </c>
      <c r="B961" t="s">
        <v>44</v>
      </c>
      <c r="C961" t="s">
        <v>53</v>
      </c>
      <c r="D961" t="s">
        <v>41</v>
      </c>
      <c r="E961" t="s">
        <v>30</v>
      </c>
      <c r="F961" t="s">
        <v>71</v>
      </c>
      <c r="G961" t="s">
        <v>51</v>
      </c>
      <c r="H961">
        <v>250000</v>
      </c>
      <c r="I961">
        <v>4</v>
      </c>
      <c r="J961" t="s">
        <v>58</v>
      </c>
      <c r="K961">
        <f t="shared" si="14"/>
        <v>200000</v>
      </c>
    </row>
    <row r="962" spans="1:11">
      <c r="A962" t="s">
        <v>171</v>
      </c>
      <c r="B962" t="s">
        <v>35</v>
      </c>
      <c r="C962" t="s">
        <v>45</v>
      </c>
      <c r="D962" t="s">
        <v>41</v>
      </c>
      <c r="E962" t="s">
        <v>30</v>
      </c>
      <c r="F962" t="s">
        <v>46</v>
      </c>
      <c r="G962" t="s">
        <v>39</v>
      </c>
      <c r="H962">
        <v>60000</v>
      </c>
      <c r="I962">
        <v>8</v>
      </c>
      <c r="J962" t="s">
        <v>42</v>
      </c>
      <c r="K962">
        <f t="shared" ref="K962:K1025" si="15">H962-H962*0.2</f>
        <v>48000</v>
      </c>
    </row>
    <row r="963" spans="1:11">
      <c r="A963" t="s">
        <v>121</v>
      </c>
      <c r="B963" t="s">
        <v>27</v>
      </c>
      <c r="C963" t="s">
        <v>45</v>
      </c>
      <c r="D963" t="s">
        <v>41</v>
      </c>
      <c r="E963" t="s">
        <v>30</v>
      </c>
      <c r="F963" t="s">
        <v>67</v>
      </c>
      <c r="G963" t="s">
        <v>51</v>
      </c>
      <c r="H963">
        <v>420000</v>
      </c>
      <c r="I963">
        <v>2</v>
      </c>
      <c r="J963" t="s">
        <v>69</v>
      </c>
      <c r="K963">
        <f t="shared" si="15"/>
        <v>336000</v>
      </c>
    </row>
    <row r="964" spans="1:11">
      <c r="A964" t="s">
        <v>160</v>
      </c>
      <c r="B964" t="s">
        <v>35</v>
      </c>
      <c r="C964" t="s">
        <v>53</v>
      </c>
      <c r="D964" t="s">
        <v>41</v>
      </c>
      <c r="E964" t="s">
        <v>37</v>
      </c>
      <c r="F964" t="s">
        <v>62</v>
      </c>
      <c r="G964" t="s">
        <v>51</v>
      </c>
      <c r="H964">
        <v>150000</v>
      </c>
      <c r="I964">
        <v>1</v>
      </c>
      <c r="J964" t="s">
        <v>58</v>
      </c>
      <c r="K964">
        <f t="shared" si="15"/>
        <v>120000</v>
      </c>
    </row>
    <row r="965" spans="1:11">
      <c r="A965" t="s">
        <v>48</v>
      </c>
      <c r="B965" t="s">
        <v>44</v>
      </c>
      <c r="C965" t="s">
        <v>36</v>
      </c>
      <c r="D965" t="s">
        <v>29</v>
      </c>
      <c r="E965" t="s">
        <v>30</v>
      </c>
      <c r="F965" t="s">
        <v>71</v>
      </c>
      <c r="G965" t="s">
        <v>51</v>
      </c>
      <c r="H965">
        <v>250000</v>
      </c>
      <c r="I965">
        <v>8</v>
      </c>
      <c r="J965" t="s">
        <v>65</v>
      </c>
      <c r="K965">
        <f t="shared" si="15"/>
        <v>200000</v>
      </c>
    </row>
    <row r="966" spans="1:11">
      <c r="A966" t="s">
        <v>155</v>
      </c>
      <c r="B966" t="s">
        <v>27</v>
      </c>
      <c r="C966" t="s">
        <v>53</v>
      </c>
      <c r="D966" t="s">
        <v>29</v>
      </c>
      <c r="E966" t="s">
        <v>30</v>
      </c>
      <c r="F966" t="s">
        <v>50</v>
      </c>
      <c r="G966" t="s">
        <v>51</v>
      </c>
      <c r="H966">
        <v>300000</v>
      </c>
      <c r="I966">
        <v>10</v>
      </c>
      <c r="J966" t="s">
        <v>69</v>
      </c>
      <c r="K966">
        <f t="shared" si="15"/>
        <v>240000</v>
      </c>
    </row>
    <row r="967" spans="1:11">
      <c r="A967" t="s">
        <v>153</v>
      </c>
      <c r="B967" t="s">
        <v>35</v>
      </c>
      <c r="C967" t="s">
        <v>36</v>
      </c>
      <c r="D967" t="s">
        <v>41</v>
      </c>
      <c r="E967" t="s">
        <v>37</v>
      </c>
      <c r="F967" t="s">
        <v>46</v>
      </c>
      <c r="G967" t="s">
        <v>39</v>
      </c>
      <c r="H967">
        <v>60000</v>
      </c>
      <c r="I967">
        <v>3</v>
      </c>
      <c r="J967" t="s">
        <v>42</v>
      </c>
      <c r="K967">
        <f t="shared" si="15"/>
        <v>48000</v>
      </c>
    </row>
    <row r="968" spans="1:11">
      <c r="A968" t="s">
        <v>152</v>
      </c>
      <c r="B968" t="s">
        <v>27</v>
      </c>
      <c r="C968" t="s">
        <v>53</v>
      </c>
      <c r="D968" t="s">
        <v>41</v>
      </c>
      <c r="E968" t="s">
        <v>30</v>
      </c>
      <c r="F968" t="s">
        <v>31</v>
      </c>
      <c r="G968" t="s">
        <v>32</v>
      </c>
      <c r="H968">
        <v>85000</v>
      </c>
      <c r="I968">
        <v>1</v>
      </c>
      <c r="J968" t="s">
        <v>42</v>
      </c>
      <c r="K968">
        <f t="shared" si="15"/>
        <v>68000</v>
      </c>
    </row>
    <row r="969" spans="1:11">
      <c r="A969" t="s">
        <v>119</v>
      </c>
      <c r="B969" t="s">
        <v>35</v>
      </c>
      <c r="C969" t="s">
        <v>36</v>
      </c>
      <c r="D969" t="s">
        <v>41</v>
      </c>
      <c r="E969" t="s">
        <v>30</v>
      </c>
      <c r="F969" t="s">
        <v>54</v>
      </c>
      <c r="G969" t="s">
        <v>39</v>
      </c>
      <c r="H969">
        <v>180000</v>
      </c>
      <c r="I969">
        <v>7</v>
      </c>
      <c r="J969" t="s">
        <v>33</v>
      </c>
      <c r="K969">
        <f t="shared" si="15"/>
        <v>144000</v>
      </c>
    </row>
    <row r="970" spans="1:11">
      <c r="A970" t="s">
        <v>171</v>
      </c>
      <c r="B970" t="s">
        <v>35</v>
      </c>
      <c r="C970" t="s">
        <v>45</v>
      </c>
      <c r="D970" t="s">
        <v>41</v>
      </c>
      <c r="E970" t="s">
        <v>30</v>
      </c>
      <c r="F970" t="s">
        <v>71</v>
      </c>
      <c r="G970" t="s">
        <v>51</v>
      </c>
      <c r="H970">
        <v>250000</v>
      </c>
      <c r="I970">
        <v>6</v>
      </c>
      <c r="J970" t="s">
        <v>47</v>
      </c>
      <c r="K970">
        <f t="shared" si="15"/>
        <v>200000</v>
      </c>
    </row>
    <row r="971" spans="1:11">
      <c r="A971" t="s">
        <v>100</v>
      </c>
      <c r="B971" t="s">
        <v>27</v>
      </c>
      <c r="C971" t="s">
        <v>28</v>
      </c>
      <c r="D971" t="s">
        <v>41</v>
      </c>
      <c r="E971" t="s">
        <v>30</v>
      </c>
      <c r="F971" t="s">
        <v>67</v>
      </c>
      <c r="G971" t="s">
        <v>51</v>
      </c>
      <c r="H971">
        <v>420000</v>
      </c>
      <c r="I971">
        <v>3</v>
      </c>
      <c r="J971" t="s">
        <v>33</v>
      </c>
      <c r="K971">
        <f t="shared" si="15"/>
        <v>336000</v>
      </c>
    </row>
    <row r="972" spans="1:11">
      <c r="A972" t="s">
        <v>157</v>
      </c>
      <c r="B972" t="s">
        <v>27</v>
      </c>
      <c r="C972" t="s">
        <v>28</v>
      </c>
      <c r="D972" t="s">
        <v>29</v>
      </c>
      <c r="E972" t="s">
        <v>30</v>
      </c>
      <c r="F972" t="s">
        <v>38</v>
      </c>
      <c r="G972" t="s">
        <v>39</v>
      </c>
      <c r="H972">
        <v>30000</v>
      </c>
      <c r="I972">
        <v>1</v>
      </c>
      <c r="J972" t="s">
        <v>47</v>
      </c>
      <c r="K972">
        <f t="shared" si="15"/>
        <v>24000</v>
      </c>
    </row>
    <row r="973" spans="1:11">
      <c r="A973" t="s">
        <v>146</v>
      </c>
      <c r="B973" t="s">
        <v>49</v>
      </c>
      <c r="C973" t="s">
        <v>28</v>
      </c>
      <c r="D973" t="s">
        <v>41</v>
      </c>
      <c r="E973" t="s">
        <v>37</v>
      </c>
      <c r="F973" t="s">
        <v>71</v>
      </c>
      <c r="G973" t="s">
        <v>51</v>
      </c>
      <c r="H973">
        <v>250000</v>
      </c>
      <c r="I973">
        <v>3</v>
      </c>
      <c r="J973" t="s">
        <v>33</v>
      </c>
      <c r="K973">
        <f t="shared" si="15"/>
        <v>200000</v>
      </c>
    </row>
    <row r="974" spans="1:11">
      <c r="A974" t="s">
        <v>60</v>
      </c>
      <c r="B974" t="s">
        <v>35</v>
      </c>
      <c r="C974" t="s">
        <v>45</v>
      </c>
      <c r="D974" t="s">
        <v>29</v>
      </c>
      <c r="E974" t="s">
        <v>30</v>
      </c>
      <c r="F974" t="s">
        <v>56</v>
      </c>
      <c r="G974" t="s">
        <v>32</v>
      </c>
      <c r="H974">
        <v>320000</v>
      </c>
      <c r="I974">
        <v>10</v>
      </c>
      <c r="J974" t="s">
        <v>33</v>
      </c>
      <c r="K974">
        <f t="shared" si="15"/>
        <v>256000</v>
      </c>
    </row>
    <row r="975" spans="1:11">
      <c r="A975" t="s">
        <v>142</v>
      </c>
      <c r="B975" t="s">
        <v>27</v>
      </c>
      <c r="C975" t="s">
        <v>28</v>
      </c>
      <c r="D975" t="s">
        <v>29</v>
      </c>
      <c r="E975" t="s">
        <v>37</v>
      </c>
      <c r="F975" t="s">
        <v>71</v>
      </c>
      <c r="G975" t="s">
        <v>51</v>
      </c>
      <c r="H975">
        <v>250000</v>
      </c>
      <c r="I975">
        <v>7</v>
      </c>
      <c r="J975" t="s">
        <v>42</v>
      </c>
      <c r="K975">
        <f t="shared" si="15"/>
        <v>200000</v>
      </c>
    </row>
    <row r="976" spans="1:11">
      <c r="A976" t="s">
        <v>90</v>
      </c>
      <c r="B976" t="s">
        <v>49</v>
      </c>
      <c r="C976" t="s">
        <v>36</v>
      </c>
      <c r="D976" t="s">
        <v>41</v>
      </c>
      <c r="E976" t="s">
        <v>30</v>
      </c>
      <c r="F976" t="s">
        <v>56</v>
      </c>
      <c r="G976" t="s">
        <v>32</v>
      </c>
      <c r="H976">
        <v>320000</v>
      </c>
      <c r="I976">
        <v>2</v>
      </c>
      <c r="J976" t="s">
        <v>47</v>
      </c>
      <c r="K976">
        <f t="shared" si="15"/>
        <v>256000</v>
      </c>
    </row>
    <row r="977" spans="1:11">
      <c r="A977" t="s">
        <v>121</v>
      </c>
      <c r="B977" t="s">
        <v>49</v>
      </c>
      <c r="C977" t="s">
        <v>28</v>
      </c>
      <c r="D977" t="s">
        <v>41</v>
      </c>
      <c r="E977" t="s">
        <v>37</v>
      </c>
      <c r="F977" t="s">
        <v>73</v>
      </c>
      <c r="G977" t="s">
        <v>39</v>
      </c>
      <c r="H977">
        <v>220000</v>
      </c>
      <c r="I977">
        <v>5</v>
      </c>
      <c r="J977" t="s">
        <v>58</v>
      </c>
      <c r="K977">
        <f t="shared" si="15"/>
        <v>176000</v>
      </c>
    </row>
    <row r="978" spans="1:11">
      <c r="A978" t="s">
        <v>148</v>
      </c>
      <c r="B978" t="s">
        <v>49</v>
      </c>
      <c r="C978" t="s">
        <v>53</v>
      </c>
      <c r="D978" t="s">
        <v>41</v>
      </c>
      <c r="E978" t="s">
        <v>37</v>
      </c>
      <c r="F978" t="s">
        <v>67</v>
      </c>
      <c r="G978" t="s">
        <v>51</v>
      </c>
      <c r="H978">
        <v>420000</v>
      </c>
      <c r="I978">
        <v>3</v>
      </c>
      <c r="J978" t="s">
        <v>58</v>
      </c>
      <c r="K978">
        <f t="shared" si="15"/>
        <v>336000</v>
      </c>
    </row>
    <row r="979" spans="1:11">
      <c r="A979" t="s">
        <v>80</v>
      </c>
      <c r="B979" t="s">
        <v>49</v>
      </c>
      <c r="C979" t="s">
        <v>36</v>
      </c>
      <c r="D979" t="s">
        <v>41</v>
      </c>
      <c r="E979" t="s">
        <v>30</v>
      </c>
      <c r="F979" t="s">
        <v>73</v>
      </c>
      <c r="G979" t="s">
        <v>39</v>
      </c>
      <c r="H979">
        <v>220000</v>
      </c>
      <c r="I979">
        <v>3</v>
      </c>
      <c r="J979" t="s">
        <v>47</v>
      </c>
      <c r="K979">
        <f t="shared" si="15"/>
        <v>176000</v>
      </c>
    </row>
    <row r="980" spans="1:11">
      <c r="A980" t="s">
        <v>114</v>
      </c>
      <c r="B980" t="s">
        <v>44</v>
      </c>
      <c r="C980" t="s">
        <v>28</v>
      </c>
      <c r="D980" t="s">
        <v>41</v>
      </c>
      <c r="E980" t="s">
        <v>30</v>
      </c>
      <c r="F980" t="s">
        <v>56</v>
      </c>
      <c r="G980" t="s">
        <v>32</v>
      </c>
      <c r="H980">
        <v>320000</v>
      </c>
      <c r="I980">
        <v>5</v>
      </c>
      <c r="J980" t="s">
        <v>42</v>
      </c>
      <c r="K980">
        <f t="shared" si="15"/>
        <v>256000</v>
      </c>
    </row>
    <row r="981" spans="1:11">
      <c r="A981" t="s">
        <v>86</v>
      </c>
      <c r="B981" t="s">
        <v>35</v>
      </c>
      <c r="C981" t="s">
        <v>45</v>
      </c>
      <c r="D981" t="s">
        <v>29</v>
      </c>
      <c r="E981" t="s">
        <v>37</v>
      </c>
      <c r="F981" t="s">
        <v>31</v>
      </c>
      <c r="G981" t="s">
        <v>32</v>
      </c>
      <c r="H981">
        <v>85000</v>
      </c>
      <c r="I981">
        <v>8</v>
      </c>
      <c r="J981" t="s">
        <v>33</v>
      </c>
      <c r="K981">
        <f t="shared" si="15"/>
        <v>68000</v>
      </c>
    </row>
    <row r="982" spans="1:11">
      <c r="A982" t="s">
        <v>86</v>
      </c>
      <c r="B982" t="s">
        <v>35</v>
      </c>
      <c r="C982" t="s">
        <v>53</v>
      </c>
      <c r="D982" t="s">
        <v>41</v>
      </c>
      <c r="E982" t="s">
        <v>37</v>
      </c>
      <c r="F982" t="s">
        <v>62</v>
      </c>
      <c r="G982" t="s">
        <v>51</v>
      </c>
      <c r="H982">
        <v>150000</v>
      </c>
      <c r="I982">
        <v>9</v>
      </c>
      <c r="J982" t="s">
        <v>69</v>
      </c>
      <c r="K982">
        <f t="shared" si="15"/>
        <v>120000</v>
      </c>
    </row>
    <row r="983" spans="1:11">
      <c r="A983" t="s">
        <v>72</v>
      </c>
      <c r="B983" t="s">
        <v>27</v>
      </c>
      <c r="C983" t="s">
        <v>28</v>
      </c>
      <c r="D983" t="s">
        <v>41</v>
      </c>
      <c r="E983" t="s">
        <v>30</v>
      </c>
      <c r="F983" t="s">
        <v>71</v>
      </c>
      <c r="G983" t="s">
        <v>51</v>
      </c>
      <c r="H983">
        <v>250000</v>
      </c>
      <c r="I983">
        <v>4</v>
      </c>
      <c r="J983" t="s">
        <v>58</v>
      </c>
      <c r="K983">
        <f t="shared" si="15"/>
        <v>200000</v>
      </c>
    </row>
    <row r="984" spans="1:11">
      <c r="A984" t="s">
        <v>95</v>
      </c>
      <c r="B984" t="s">
        <v>49</v>
      </c>
      <c r="C984" t="s">
        <v>36</v>
      </c>
      <c r="D984" t="s">
        <v>29</v>
      </c>
      <c r="E984" t="s">
        <v>37</v>
      </c>
      <c r="F984" t="s">
        <v>73</v>
      </c>
      <c r="G984" t="s">
        <v>39</v>
      </c>
      <c r="H984">
        <v>220000</v>
      </c>
      <c r="I984">
        <v>4</v>
      </c>
      <c r="J984" t="s">
        <v>58</v>
      </c>
      <c r="K984">
        <f t="shared" si="15"/>
        <v>176000</v>
      </c>
    </row>
    <row r="985" spans="1:11">
      <c r="A985" t="s">
        <v>137</v>
      </c>
      <c r="B985" t="s">
        <v>49</v>
      </c>
      <c r="C985" t="s">
        <v>28</v>
      </c>
      <c r="D985" t="s">
        <v>41</v>
      </c>
      <c r="E985" t="s">
        <v>37</v>
      </c>
      <c r="F985" t="s">
        <v>31</v>
      </c>
      <c r="G985" t="s">
        <v>32</v>
      </c>
      <c r="H985">
        <v>85000</v>
      </c>
      <c r="I985">
        <v>2</v>
      </c>
      <c r="J985" t="s">
        <v>33</v>
      </c>
      <c r="K985">
        <f t="shared" si="15"/>
        <v>68000</v>
      </c>
    </row>
    <row r="986" spans="1:11">
      <c r="A986" t="s">
        <v>159</v>
      </c>
      <c r="B986" t="s">
        <v>35</v>
      </c>
      <c r="C986" t="s">
        <v>28</v>
      </c>
      <c r="D986" t="s">
        <v>29</v>
      </c>
      <c r="E986" t="s">
        <v>30</v>
      </c>
      <c r="F986" t="s">
        <v>71</v>
      </c>
      <c r="G986" t="s">
        <v>51</v>
      </c>
      <c r="H986">
        <v>250000</v>
      </c>
      <c r="I986">
        <v>3</v>
      </c>
      <c r="J986" t="s">
        <v>58</v>
      </c>
      <c r="K986">
        <f t="shared" si="15"/>
        <v>200000</v>
      </c>
    </row>
    <row r="987" spans="1:11">
      <c r="A987" t="s">
        <v>150</v>
      </c>
      <c r="B987" t="s">
        <v>49</v>
      </c>
      <c r="C987" t="s">
        <v>45</v>
      </c>
      <c r="D987" t="s">
        <v>41</v>
      </c>
      <c r="E987" t="s">
        <v>30</v>
      </c>
      <c r="F987" t="s">
        <v>62</v>
      </c>
      <c r="G987" t="s">
        <v>51</v>
      </c>
      <c r="H987">
        <v>150000</v>
      </c>
      <c r="I987">
        <v>4</v>
      </c>
      <c r="J987" t="s">
        <v>58</v>
      </c>
      <c r="K987">
        <f t="shared" si="15"/>
        <v>120000</v>
      </c>
    </row>
    <row r="988" spans="1:11">
      <c r="A988" t="s">
        <v>154</v>
      </c>
      <c r="B988" t="s">
        <v>49</v>
      </c>
      <c r="C988" t="s">
        <v>28</v>
      </c>
      <c r="D988" t="s">
        <v>29</v>
      </c>
      <c r="E988" t="s">
        <v>30</v>
      </c>
      <c r="F988" t="s">
        <v>31</v>
      </c>
      <c r="G988" t="s">
        <v>32</v>
      </c>
      <c r="H988">
        <v>85000</v>
      </c>
      <c r="I988">
        <v>2</v>
      </c>
      <c r="J988" t="s">
        <v>33</v>
      </c>
      <c r="K988">
        <f t="shared" si="15"/>
        <v>68000</v>
      </c>
    </row>
    <row r="989" spans="1:11">
      <c r="A989" t="s">
        <v>98</v>
      </c>
      <c r="B989" t="s">
        <v>27</v>
      </c>
      <c r="C989" t="s">
        <v>45</v>
      </c>
      <c r="D989" t="s">
        <v>41</v>
      </c>
      <c r="E989" t="s">
        <v>37</v>
      </c>
      <c r="F989" t="s">
        <v>62</v>
      </c>
      <c r="G989" t="s">
        <v>51</v>
      </c>
      <c r="H989">
        <v>150000</v>
      </c>
      <c r="I989">
        <v>4</v>
      </c>
      <c r="J989" t="s">
        <v>47</v>
      </c>
      <c r="K989">
        <f t="shared" si="15"/>
        <v>120000</v>
      </c>
    </row>
    <row r="990" spans="1:11">
      <c r="A990" t="s">
        <v>86</v>
      </c>
      <c r="B990" t="s">
        <v>49</v>
      </c>
      <c r="C990" t="s">
        <v>28</v>
      </c>
      <c r="D990" t="s">
        <v>29</v>
      </c>
      <c r="E990" t="s">
        <v>30</v>
      </c>
      <c r="F990" t="s">
        <v>62</v>
      </c>
      <c r="G990" t="s">
        <v>51</v>
      </c>
      <c r="H990">
        <v>150000</v>
      </c>
      <c r="I990">
        <v>3</v>
      </c>
      <c r="J990" t="s">
        <v>42</v>
      </c>
      <c r="K990">
        <f t="shared" si="15"/>
        <v>120000</v>
      </c>
    </row>
    <row r="991" spans="1:11">
      <c r="A991" t="s">
        <v>133</v>
      </c>
      <c r="B991" t="s">
        <v>49</v>
      </c>
      <c r="C991" t="s">
        <v>28</v>
      </c>
      <c r="D991" t="s">
        <v>41</v>
      </c>
      <c r="E991" t="s">
        <v>30</v>
      </c>
      <c r="F991" t="s">
        <v>38</v>
      </c>
      <c r="G991" t="s">
        <v>39</v>
      </c>
      <c r="H991">
        <v>30000</v>
      </c>
      <c r="I991">
        <v>3</v>
      </c>
      <c r="J991" t="s">
        <v>42</v>
      </c>
      <c r="K991">
        <f t="shared" si="15"/>
        <v>24000</v>
      </c>
    </row>
    <row r="992" spans="1:11">
      <c r="A992" t="s">
        <v>43</v>
      </c>
      <c r="B992" t="s">
        <v>49</v>
      </c>
      <c r="C992" t="s">
        <v>36</v>
      </c>
      <c r="D992" t="s">
        <v>41</v>
      </c>
      <c r="E992" t="s">
        <v>37</v>
      </c>
      <c r="F992" t="s">
        <v>56</v>
      </c>
      <c r="G992" t="s">
        <v>32</v>
      </c>
      <c r="H992">
        <v>320000</v>
      </c>
      <c r="I992">
        <v>5</v>
      </c>
      <c r="J992" t="s">
        <v>69</v>
      </c>
      <c r="K992">
        <f t="shared" si="15"/>
        <v>256000</v>
      </c>
    </row>
    <row r="993" spans="1:11">
      <c r="A993" t="s">
        <v>43</v>
      </c>
      <c r="B993" t="s">
        <v>35</v>
      </c>
      <c r="C993" t="s">
        <v>53</v>
      </c>
      <c r="D993" t="s">
        <v>41</v>
      </c>
      <c r="E993" t="s">
        <v>30</v>
      </c>
      <c r="F993" t="s">
        <v>71</v>
      </c>
      <c r="G993" t="s">
        <v>51</v>
      </c>
      <c r="H993">
        <v>250000</v>
      </c>
      <c r="I993">
        <v>3</v>
      </c>
      <c r="J993" t="s">
        <v>33</v>
      </c>
      <c r="K993">
        <f t="shared" si="15"/>
        <v>200000</v>
      </c>
    </row>
    <row r="994" spans="1:11">
      <c r="A994" t="s">
        <v>79</v>
      </c>
      <c r="B994" t="s">
        <v>35</v>
      </c>
      <c r="C994" t="s">
        <v>45</v>
      </c>
      <c r="D994" t="s">
        <v>41</v>
      </c>
      <c r="E994" t="s">
        <v>37</v>
      </c>
      <c r="F994" t="s">
        <v>46</v>
      </c>
      <c r="G994" t="s">
        <v>39</v>
      </c>
      <c r="H994">
        <v>60000</v>
      </c>
      <c r="I994">
        <v>10</v>
      </c>
      <c r="J994" t="s">
        <v>69</v>
      </c>
      <c r="K994">
        <f t="shared" si="15"/>
        <v>48000</v>
      </c>
    </row>
    <row r="995" spans="1:11">
      <c r="A995" t="s">
        <v>79</v>
      </c>
      <c r="B995" t="s">
        <v>49</v>
      </c>
      <c r="C995" t="s">
        <v>28</v>
      </c>
      <c r="D995" t="s">
        <v>29</v>
      </c>
      <c r="E995" t="s">
        <v>37</v>
      </c>
      <c r="F995" t="s">
        <v>46</v>
      </c>
      <c r="G995" t="s">
        <v>39</v>
      </c>
      <c r="H995">
        <v>60000</v>
      </c>
      <c r="I995">
        <v>3</v>
      </c>
      <c r="J995" t="s">
        <v>65</v>
      </c>
      <c r="K995">
        <f t="shared" si="15"/>
        <v>48000</v>
      </c>
    </row>
    <row r="996" spans="1:11">
      <c r="A996" t="s">
        <v>85</v>
      </c>
      <c r="B996" t="s">
        <v>35</v>
      </c>
      <c r="C996" t="s">
        <v>36</v>
      </c>
      <c r="D996" t="s">
        <v>41</v>
      </c>
      <c r="E996" t="s">
        <v>37</v>
      </c>
      <c r="F996" t="s">
        <v>31</v>
      </c>
      <c r="G996" t="s">
        <v>32</v>
      </c>
      <c r="H996">
        <v>85000</v>
      </c>
      <c r="I996">
        <v>9</v>
      </c>
      <c r="J996" t="s">
        <v>58</v>
      </c>
      <c r="K996">
        <f t="shared" si="15"/>
        <v>68000</v>
      </c>
    </row>
    <row r="997" spans="1:11">
      <c r="A997" t="s">
        <v>131</v>
      </c>
      <c r="B997" t="s">
        <v>35</v>
      </c>
      <c r="C997" t="s">
        <v>53</v>
      </c>
      <c r="D997" t="s">
        <v>41</v>
      </c>
      <c r="E997" t="s">
        <v>37</v>
      </c>
      <c r="F997" t="s">
        <v>67</v>
      </c>
      <c r="G997" t="s">
        <v>51</v>
      </c>
      <c r="H997">
        <v>420000</v>
      </c>
      <c r="I997">
        <v>4</v>
      </c>
      <c r="J997" t="s">
        <v>58</v>
      </c>
      <c r="K997">
        <f t="shared" si="15"/>
        <v>336000</v>
      </c>
    </row>
    <row r="998" spans="1:11">
      <c r="A998" t="s">
        <v>84</v>
      </c>
      <c r="B998" t="s">
        <v>49</v>
      </c>
      <c r="C998" t="s">
        <v>45</v>
      </c>
      <c r="D998" t="s">
        <v>41</v>
      </c>
      <c r="E998" t="s">
        <v>30</v>
      </c>
      <c r="F998" t="s">
        <v>62</v>
      </c>
      <c r="G998" t="s">
        <v>51</v>
      </c>
      <c r="H998">
        <v>150000</v>
      </c>
      <c r="I998">
        <v>6</v>
      </c>
      <c r="J998" t="s">
        <v>65</v>
      </c>
      <c r="K998">
        <f t="shared" si="15"/>
        <v>120000</v>
      </c>
    </row>
    <row r="999" spans="1:11">
      <c r="A999" t="s">
        <v>163</v>
      </c>
      <c r="B999" t="s">
        <v>49</v>
      </c>
      <c r="C999" t="s">
        <v>45</v>
      </c>
      <c r="D999" t="s">
        <v>41</v>
      </c>
      <c r="E999" t="s">
        <v>30</v>
      </c>
      <c r="F999" t="s">
        <v>56</v>
      </c>
      <c r="G999" t="s">
        <v>32</v>
      </c>
      <c r="H999">
        <v>320000</v>
      </c>
      <c r="I999">
        <v>3</v>
      </c>
      <c r="J999" t="s">
        <v>58</v>
      </c>
      <c r="K999">
        <f t="shared" si="15"/>
        <v>256000</v>
      </c>
    </row>
    <row r="1000" spans="1:11">
      <c r="A1000" t="s">
        <v>109</v>
      </c>
      <c r="B1000" t="s">
        <v>44</v>
      </c>
      <c r="C1000" t="s">
        <v>53</v>
      </c>
      <c r="D1000" t="s">
        <v>29</v>
      </c>
      <c r="E1000" t="s">
        <v>37</v>
      </c>
      <c r="F1000" t="s">
        <v>50</v>
      </c>
      <c r="G1000" t="s">
        <v>51</v>
      </c>
      <c r="H1000">
        <v>300000</v>
      </c>
      <c r="I1000">
        <v>2</v>
      </c>
      <c r="J1000" t="s">
        <v>33</v>
      </c>
      <c r="K1000">
        <f t="shared" si="15"/>
        <v>240000</v>
      </c>
    </row>
    <row r="1001" spans="1:11">
      <c r="A1001" t="s">
        <v>97</v>
      </c>
      <c r="B1001" t="s">
        <v>35</v>
      </c>
      <c r="C1001" t="s">
        <v>45</v>
      </c>
      <c r="D1001" t="s">
        <v>41</v>
      </c>
      <c r="E1001" t="s">
        <v>30</v>
      </c>
      <c r="F1001" t="s">
        <v>62</v>
      </c>
      <c r="G1001" t="s">
        <v>51</v>
      </c>
      <c r="H1001">
        <v>150000</v>
      </c>
      <c r="I1001">
        <v>10</v>
      </c>
      <c r="J1001" t="s">
        <v>65</v>
      </c>
      <c r="K1001">
        <f t="shared" si="15"/>
        <v>120000</v>
      </c>
    </row>
    <row r="1002" spans="1:11">
      <c r="A1002" t="s">
        <v>112</v>
      </c>
      <c r="B1002" t="s">
        <v>35</v>
      </c>
      <c r="C1002" t="s">
        <v>53</v>
      </c>
      <c r="D1002" t="s">
        <v>29</v>
      </c>
      <c r="E1002" t="s">
        <v>37</v>
      </c>
      <c r="F1002" t="s">
        <v>67</v>
      </c>
      <c r="G1002" t="s">
        <v>51</v>
      </c>
      <c r="H1002">
        <v>420000</v>
      </c>
      <c r="I1002">
        <v>10</v>
      </c>
      <c r="J1002" t="s">
        <v>47</v>
      </c>
      <c r="K1002">
        <f t="shared" si="15"/>
        <v>336000</v>
      </c>
    </row>
    <row r="1003" spans="1:11">
      <c r="A1003" t="s">
        <v>52</v>
      </c>
      <c r="B1003" t="s">
        <v>49</v>
      </c>
      <c r="C1003" t="s">
        <v>53</v>
      </c>
      <c r="D1003" t="s">
        <v>41</v>
      </c>
      <c r="E1003" t="s">
        <v>37</v>
      </c>
      <c r="F1003" t="s">
        <v>54</v>
      </c>
      <c r="G1003" t="s">
        <v>39</v>
      </c>
      <c r="H1003">
        <v>180000</v>
      </c>
      <c r="I1003">
        <v>5</v>
      </c>
      <c r="J1003" t="s">
        <v>65</v>
      </c>
      <c r="K1003">
        <f t="shared" si="15"/>
        <v>144000</v>
      </c>
    </row>
    <row r="1004" spans="1:11">
      <c r="A1004" t="s">
        <v>133</v>
      </c>
      <c r="B1004" t="s">
        <v>35</v>
      </c>
      <c r="C1004" t="s">
        <v>53</v>
      </c>
      <c r="D1004" t="s">
        <v>41</v>
      </c>
      <c r="E1004" t="s">
        <v>37</v>
      </c>
      <c r="F1004" t="s">
        <v>71</v>
      </c>
      <c r="G1004" t="s">
        <v>51</v>
      </c>
      <c r="H1004">
        <v>250000</v>
      </c>
      <c r="I1004">
        <v>7</v>
      </c>
      <c r="J1004" t="s">
        <v>47</v>
      </c>
      <c r="K1004">
        <f t="shared" si="15"/>
        <v>200000</v>
      </c>
    </row>
    <row r="1005" spans="1:11">
      <c r="A1005" t="s">
        <v>140</v>
      </c>
      <c r="B1005" t="s">
        <v>27</v>
      </c>
      <c r="C1005" t="s">
        <v>36</v>
      </c>
      <c r="D1005" t="s">
        <v>29</v>
      </c>
      <c r="E1005" t="s">
        <v>37</v>
      </c>
      <c r="F1005" t="s">
        <v>56</v>
      </c>
      <c r="G1005" t="s">
        <v>32</v>
      </c>
      <c r="H1005">
        <v>320000</v>
      </c>
      <c r="I1005">
        <v>4</v>
      </c>
      <c r="J1005" t="s">
        <v>42</v>
      </c>
      <c r="K1005">
        <f t="shared" si="15"/>
        <v>256000</v>
      </c>
    </row>
    <row r="1006" spans="1:11">
      <c r="A1006" t="s">
        <v>175</v>
      </c>
      <c r="B1006" t="s">
        <v>35</v>
      </c>
      <c r="C1006" t="s">
        <v>36</v>
      </c>
      <c r="D1006" t="s">
        <v>29</v>
      </c>
      <c r="E1006" t="s">
        <v>30</v>
      </c>
      <c r="F1006" t="s">
        <v>38</v>
      </c>
      <c r="G1006" t="s">
        <v>39</v>
      </c>
      <c r="H1006">
        <v>30000</v>
      </c>
      <c r="I1006">
        <v>2</v>
      </c>
      <c r="J1006" t="s">
        <v>33</v>
      </c>
      <c r="K1006">
        <f t="shared" si="15"/>
        <v>24000</v>
      </c>
    </row>
    <row r="1007" spans="1:11">
      <c r="A1007" t="s">
        <v>63</v>
      </c>
      <c r="B1007" t="s">
        <v>49</v>
      </c>
      <c r="C1007" t="s">
        <v>53</v>
      </c>
      <c r="D1007" t="s">
        <v>29</v>
      </c>
      <c r="E1007" t="s">
        <v>30</v>
      </c>
      <c r="F1007" t="s">
        <v>62</v>
      </c>
      <c r="G1007" t="s">
        <v>51</v>
      </c>
      <c r="H1007">
        <v>150000</v>
      </c>
      <c r="I1007">
        <v>4</v>
      </c>
      <c r="J1007" t="s">
        <v>33</v>
      </c>
      <c r="K1007">
        <f t="shared" si="15"/>
        <v>120000</v>
      </c>
    </row>
    <row r="1008" spans="1:11">
      <c r="A1008" t="s">
        <v>138</v>
      </c>
      <c r="B1008" t="s">
        <v>49</v>
      </c>
      <c r="C1008" t="s">
        <v>45</v>
      </c>
      <c r="D1008" t="s">
        <v>41</v>
      </c>
      <c r="E1008" t="s">
        <v>37</v>
      </c>
      <c r="F1008" t="s">
        <v>46</v>
      </c>
      <c r="G1008" t="s">
        <v>39</v>
      </c>
      <c r="H1008">
        <v>60000</v>
      </c>
      <c r="I1008">
        <v>4</v>
      </c>
      <c r="J1008" t="s">
        <v>47</v>
      </c>
      <c r="K1008">
        <f t="shared" si="15"/>
        <v>48000</v>
      </c>
    </row>
    <row r="1009" spans="1:11">
      <c r="A1009" t="s">
        <v>160</v>
      </c>
      <c r="B1009" t="s">
        <v>35</v>
      </c>
      <c r="C1009" t="s">
        <v>53</v>
      </c>
      <c r="D1009" t="s">
        <v>29</v>
      </c>
      <c r="E1009" t="s">
        <v>37</v>
      </c>
      <c r="F1009" t="s">
        <v>56</v>
      </c>
      <c r="G1009" t="s">
        <v>32</v>
      </c>
      <c r="H1009">
        <v>320000</v>
      </c>
      <c r="I1009">
        <v>4</v>
      </c>
      <c r="J1009" t="s">
        <v>65</v>
      </c>
      <c r="K1009">
        <f t="shared" si="15"/>
        <v>256000</v>
      </c>
    </row>
    <row r="1010" spans="1:11">
      <c r="A1010" t="s">
        <v>140</v>
      </c>
      <c r="B1010" t="s">
        <v>49</v>
      </c>
      <c r="C1010" t="s">
        <v>36</v>
      </c>
      <c r="D1010" t="s">
        <v>29</v>
      </c>
      <c r="E1010" t="s">
        <v>30</v>
      </c>
      <c r="F1010" t="s">
        <v>46</v>
      </c>
      <c r="G1010" t="s">
        <v>39</v>
      </c>
      <c r="H1010">
        <v>60000</v>
      </c>
      <c r="I1010">
        <v>2</v>
      </c>
      <c r="J1010" t="s">
        <v>42</v>
      </c>
      <c r="K1010">
        <f t="shared" si="15"/>
        <v>48000</v>
      </c>
    </row>
    <row r="1011" spans="1:11">
      <c r="A1011" t="s">
        <v>43</v>
      </c>
      <c r="B1011" t="s">
        <v>27</v>
      </c>
      <c r="C1011" t="s">
        <v>28</v>
      </c>
      <c r="D1011" t="s">
        <v>41</v>
      </c>
      <c r="E1011" t="s">
        <v>30</v>
      </c>
      <c r="F1011" t="s">
        <v>38</v>
      </c>
      <c r="G1011" t="s">
        <v>39</v>
      </c>
      <c r="H1011">
        <v>30000</v>
      </c>
      <c r="I1011">
        <v>7</v>
      </c>
      <c r="J1011" t="s">
        <v>58</v>
      </c>
      <c r="K1011">
        <f t="shared" si="15"/>
        <v>24000</v>
      </c>
    </row>
    <row r="1012" spans="1:11">
      <c r="A1012" t="s">
        <v>134</v>
      </c>
      <c r="B1012" t="s">
        <v>35</v>
      </c>
      <c r="C1012" t="s">
        <v>28</v>
      </c>
      <c r="D1012" t="s">
        <v>29</v>
      </c>
      <c r="E1012" t="s">
        <v>37</v>
      </c>
      <c r="F1012" t="s">
        <v>71</v>
      </c>
      <c r="G1012" t="s">
        <v>51</v>
      </c>
      <c r="H1012">
        <v>250000</v>
      </c>
      <c r="I1012">
        <v>6</v>
      </c>
      <c r="J1012" t="s">
        <v>58</v>
      </c>
      <c r="K1012">
        <f t="shared" si="15"/>
        <v>200000</v>
      </c>
    </row>
    <row r="1013" spans="1:11">
      <c r="A1013" t="s">
        <v>82</v>
      </c>
      <c r="B1013" t="s">
        <v>49</v>
      </c>
      <c r="C1013" t="s">
        <v>45</v>
      </c>
      <c r="D1013" t="s">
        <v>29</v>
      </c>
      <c r="E1013" t="s">
        <v>30</v>
      </c>
      <c r="F1013" t="s">
        <v>73</v>
      </c>
      <c r="G1013" t="s">
        <v>39</v>
      </c>
      <c r="H1013">
        <v>220000</v>
      </c>
      <c r="I1013">
        <v>9</v>
      </c>
      <c r="J1013" t="s">
        <v>33</v>
      </c>
      <c r="K1013">
        <f t="shared" si="15"/>
        <v>176000</v>
      </c>
    </row>
    <row r="1014" spans="1:11">
      <c r="A1014" t="s">
        <v>152</v>
      </c>
      <c r="B1014" t="s">
        <v>35</v>
      </c>
      <c r="C1014" t="s">
        <v>45</v>
      </c>
      <c r="D1014" t="s">
        <v>41</v>
      </c>
      <c r="E1014" t="s">
        <v>30</v>
      </c>
      <c r="F1014" t="s">
        <v>50</v>
      </c>
      <c r="G1014" t="s">
        <v>51</v>
      </c>
      <c r="H1014">
        <v>300000</v>
      </c>
      <c r="I1014">
        <v>2</v>
      </c>
      <c r="J1014" t="s">
        <v>42</v>
      </c>
      <c r="K1014">
        <f t="shared" si="15"/>
        <v>240000</v>
      </c>
    </row>
    <row r="1015" spans="1:11">
      <c r="A1015" t="s">
        <v>128</v>
      </c>
      <c r="B1015" t="s">
        <v>27</v>
      </c>
      <c r="C1015" t="s">
        <v>45</v>
      </c>
      <c r="D1015" t="s">
        <v>29</v>
      </c>
      <c r="E1015" t="s">
        <v>37</v>
      </c>
      <c r="F1015" t="s">
        <v>67</v>
      </c>
      <c r="G1015" t="s">
        <v>51</v>
      </c>
      <c r="H1015">
        <v>420000</v>
      </c>
      <c r="I1015">
        <v>2</v>
      </c>
      <c r="J1015" t="s">
        <v>42</v>
      </c>
      <c r="K1015">
        <f t="shared" si="15"/>
        <v>336000</v>
      </c>
    </row>
    <row r="1016" spans="1:11">
      <c r="A1016" t="s">
        <v>75</v>
      </c>
      <c r="B1016" t="s">
        <v>44</v>
      </c>
      <c r="C1016" t="s">
        <v>36</v>
      </c>
      <c r="D1016" t="s">
        <v>29</v>
      </c>
      <c r="E1016" t="s">
        <v>37</v>
      </c>
      <c r="F1016" t="s">
        <v>73</v>
      </c>
      <c r="G1016" t="s">
        <v>39</v>
      </c>
      <c r="H1016">
        <v>220000</v>
      </c>
      <c r="I1016">
        <v>3</v>
      </c>
      <c r="J1016" t="s">
        <v>58</v>
      </c>
      <c r="K1016">
        <f t="shared" si="15"/>
        <v>176000</v>
      </c>
    </row>
    <row r="1017" spans="1:11">
      <c r="A1017" t="s">
        <v>60</v>
      </c>
      <c r="B1017" t="s">
        <v>44</v>
      </c>
      <c r="C1017" t="s">
        <v>28</v>
      </c>
      <c r="D1017" t="s">
        <v>41</v>
      </c>
      <c r="E1017" t="s">
        <v>30</v>
      </c>
      <c r="F1017" t="s">
        <v>73</v>
      </c>
      <c r="G1017" t="s">
        <v>39</v>
      </c>
      <c r="H1017">
        <v>220000</v>
      </c>
      <c r="I1017">
        <v>10</v>
      </c>
      <c r="J1017" t="s">
        <v>58</v>
      </c>
      <c r="K1017">
        <f t="shared" si="15"/>
        <v>176000</v>
      </c>
    </row>
    <row r="1018" spans="1:11">
      <c r="A1018" t="s">
        <v>88</v>
      </c>
      <c r="B1018" t="s">
        <v>44</v>
      </c>
      <c r="C1018" t="s">
        <v>53</v>
      </c>
      <c r="D1018" t="s">
        <v>41</v>
      </c>
      <c r="E1018" t="s">
        <v>37</v>
      </c>
      <c r="F1018" t="s">
        <v>71</v>
      </c>
      <c r="G1018" t="s">
        <v>51</v>
      </c>
      <c r="H1018">
        <v>250000</v>
      </c>
      <c r="I1018">
        <v>8</v>
      </c>
      <c r="J1018" t="s">
        <v>33</v>
      </c>
      <c r="K1018">
        <f t="shared" si="15"/>
        <v>200000</v>
      </c>
    </row>
    <row r="1019" spans="1:11">
      <c r="A1019" t="s">
        <v>85</v>
      </c>
      <c r="B1019" t="s">
        <v>35</v>
      </c>
      <c r="C1019" t="s">
        <v>53</v>
      </c>
      <c r="D1019" t="s">
        <v>29</v>
      </c>
      <c r="E1019" t="s">
        <v>30</v>
      </c>
      <c r="F1019" t="s">
        <v>46</v>
      </c>
      <c r="G1019" t="s">
        <v>39</v>
      </c>
      <c r="H1019">
        <v>60000</v>
      </c>
      <c r="I1019">
        <v>6</v>
      </c>
      <c r="J1019" t="s">
        <v>47</v>
      </c>
      <c r="K1019">
        <f t="shared" si="15"/>
        <v>48000</v>
      </c>
    </row>
    <row r="1020" spans="1:11">
      <c r="A1020" t="s">
        <v>124</v>
      </c>
      <c r="B1020" t="s">
        <v>35</v>
      </c>
      <c r="C1020" t="s">
        <v>36</v>
      </c>
      <c r="D1020" t="s">
        <v>29</v>
      </c>
      <c r="E1020" t="s">
        <v>30</v>
      </c>
      <c r="F1020" t="s">
        <v>56</v>
      </c>
      <c r="G1020" t="s">
        <v>32</v>
      </c>
      <c r="H1020">
        <v>320000</v>
      </c>
      <c r="I1020">
        <v>4</v>
      </c>
      <c r="J1020" t="s">
        <v>69</v>
      </c>
      <c r="K1020">
        <f t="shared" si="15"/>
        <v>256000</v>
      </c>
    </row>
    <row r="1021" spans="1:11">
      <c r="A1021" t="s">
        <v>63</v>
      </c>
      <c r="B1021" t="s">
        <v>35</v>
      </c>
      <c r="C1021" t="s">
        <v>28</v>
      </c>
      <c r="D1021" t="s">
        <v>29</v>
      </c>
      <c r="E1021" t="s">
        <v>37</v>
      </c>
      <c r="F1021" t="s">
        <v>54</v>
      </c>
      <c r="G1021" t="s">
        <v>39</v>
      </c>
      <c r="H1021">
        <v>180000</v>
      </c>
      <c r="I1021">
        <v>7</v>
      </c>
      <c r="J1021" t="s">
        <v>69</v>
      </c>
      <c r="K1021">
        <f t="shared" si="15"/>
        <v>144000</v>
      </c>
    </row>
    <row r="1022" spans="1:11">
      <c r="A1022" t="s">
        <v>176</v>
      </c>
      <c r="B1022" t="s">
        <v>35</v>
      </c>
      <c r="C1022" t="s">
        <v>28</v>
      </c>
      <c r="D1022" t="s">
        <v>29</v>
      </c>
      <c r="E1022" t="s">
        <v>30</v>
      </c>
      <c r="F1022" t="s">
        <v>46</v>
      </c>
      <c r="G1022" t="s">
        <v>39</v>
      </c>
      <c r="H1022">
        <v>60000</v>
      </c>
      <c r="I1022">
        <v>7</v>
      </c>
      <c r="J1022" t="s">
        <v>33</v>
      </c>
      <c r="K1022">
        <f t="shared" si="15"/>
        <v>48000</v>
      </c>
    </row>
    <row r="1023" spans="1:11">
      <c r="A1023" t="s">
        <v>176</v>
      </c>
      <c r="B1023" t="s">
        <v>44</v>
      </c>
      <c r="C1023" t="s">
        <v>53</v>
      </c>
      <c r="D1023" t="s">
        <v>29</v>
      </c>
      <c r="E1023" t="s">
        <v>30</v>
      </c>
      <c r="F1023" t="s">
        <v>54</v>
      </c>
      <c r="G1023" t="s">
        <v>39</v>
      </c>
      <c r="H1023">
        <v>180000</v>
      </c>
      <c r="I1023">
        <v>9</v>
      </c>
      <c r="J1023" t="s">
        <v>42</v>
      </c>
      <c r="K1023">
        <f t="shared" si="15"/>
        <v>144000</v>
      </c>
    </row>
    <row r="1024" spans="1:11">
      <c r="A1024" t="s">
        <v>92</v>
      </c>
      <c r="B1024" t="s">
        <v>49</v>
      </c>
      <c r="C1024" t="s">
        <v>28</v>
      </c>
      <c r="D1024" t="s">
        <v>41</v>
      </c>
      <c r="E1024" t="s">
        <v>30</v>
      </c>
      <c r="F1024" t="s">
        <v>38</v>
      </c>
      <c r="G1024" t="s">
        <v>39</v>
      </c>
      <c r="H1024">
        <v>30000</v>
      </c>
      <c r="I1024">
        <v>6</v>
      </c>
      <c r="J1024" t="s">
        <v>42</v>
      </c>
      <c r="K1024">
        <f t="shared" si="15"/>
        <v>24000</v>
      </c>
    </row>
    <row r="1025" spans="1:11">
      <c r="A1025" t="s">
        <v>130</v>
      </c>
      <c r="B1025" t="s">
        <v>44</v>
      </c>
      <c r="C1025" t="s">
        <v>36</v>
      </c>
      <c r="D1025" t="s">
        <v>29</v>
      </c>
      <c r="E1025" t="s">
        <v>30</v>
      </c>
      <c r="F1025" t="s">
        <v>50</v>
      </c>
      <c r="G1025" t="s">
        <v>51</v>
      </c>
      <c r="H1025">
        <v>300000</v>
      </c>
      <c r="I1025">
        <v>10</v>
      </c>
      <c r="J1025" t="s">
        <v>65</v>
      </c>
      <c r="K1025">
        <f t="shared" si="15"/>
        <v>240000</v>
      </c>
    </row>
    <row r="1026" spans="1:11">
      <c r="A1026" t="s">
        <v>130</v>
      </c>
      <c r="B1026" t="s">
        <v>44</v>
      </c>
      <c r="C1026" t="s">
        <v>53</v>
      </c>
      <c r="D1026" t="s">
        <v>41</v>
      </c>
      <c r="E1026" t="s">
        <v>30</v>
      </c>
      <c r="F1026" t="s">
        <v>38</v>
      </c>
      <c r="G1026" t="s">
        <v>39</v>
      </c>
      <c r="H1026">
        <v>30000</v>
      </c>
      <c r="I1026">
        <v>2</v>
      </c>
      <c r="J1026" t="s">
        <v>47</v>
      </c>
      <c r="K1026">
        <f t="shared" ref="K1026:K1089" si="16">H1026-H1026*0.2</f>
        <v>24000</v>
      </c>
    </row>
    <row r="1027" spans="1:11">
      <c r="A1027" t="s">
        <v>104</v>
      </c>
      <c r="B1027" t="s">
        <v>35</v>
      </c>
      <c r="C1027" t="s">
        <v>45</v>
      </c>
      <c r="D1027" t="s">
        <v>41</v>
      </c>
      <c r="E1027" t="s">
        <v>30</v>
      </c>
      <c r="F1027" t="s">
        <v>38</v>
      </c>
      <c r="G1027" t="s">
        <v>39</v>
      </c>
      <c r="H1027">
        <v>30000</v>
      </c>
      <c r="I1027">
        <v>8</v>
      </c>
      <c r="J1027" t="s">
        <v>69</v>
      </c>
      <c r="K1027">
        <f t="shared" si="16"/>
        <v>24000</v>
      </c>
    </row>
    <row r="1028" spans="1:11">
      <c r="A1028" t="s">
        <v>101</v>
      </c>
      <c r="B1028" t="s">
        <v>44</v>
      </c>
      <c r="C1028" t="s">
        <v>45</v>
      </c>
      <c r="D1028" t="s">
        <v>41</v>
      </c>
      <c r="E1028" t="s">
        <v>37</v>
      </c>
      <c r="F1028" t="s">
        <v>38</v>
      </c>
      <c r="G1028" t="s">
        <v>39</v>
      </c>
      <c r="H1028">
        <v>30000</v>
      </c>
      <c r="I1028">
        <v>9</v>
      </c>
      <c r="J1028" t="s">
        <v>47</v>
      </c>
      <c r="K1028">
        <f t="shared" si="16"/>
        <v>24000</v>
      </c>
    </row>
    <row r="1029" spans="1:11">
      <c r="A1029" t="s">
        <v>105</v>
      </c>
      <c r="B1029" t="s">
        <v>49</v>
      </c>
      <c r="C1029" t="s">
        <v>28</v>
      </c>
      <c r="D1029" t="s">
        <v>29</v>
      </c>
      <c r="E1029" t="s">
        <v>37</v>
      </c>
      <c r="F1029" t="s">
        <v>73</v>
      </c>
      <c r="G1029" t="s">
        <v>39</v>
      </c>
      <c r="H1029">
        <v>220000</v>
      </c>
      <c r="I1029">
        <v>2</v>
      </c>
      <c r="J1029" t="s">
        <v>69</v>
      </c>
      <c r="K1029">
        <f t="shared" si="16"/>
        <v>176000</v>
      </c>
    </row>
    <row r="1030" spans="1:11">
      <c r="A1030" t="s">
        <v>136</v>
      </c>
      <c r="B1030" t="s">
        <v>44</v>
      </c>
      <c r="C1030" t="s">
        <v>45</v>
      </c>
      <c r="D1030" t="s">
        <v>29</v>
      </c>
      <c r="E1030" t="s">
        <v>37</v>
      </c>
      <c r="F1030" t="s">
        <v>73</v>
      </c>
      <c r="G1030" t="s">
        <v>39</v>
      </c>
      <c r="H1030">
        <v>220000</v>
      </c>
      <c r="I1030">
        <v>3</v>
      </c>
      <c r="J1030" t="s">
        <v>69</v>
      </c>
      <c r="K1030">
        <f t="shared" si="16"/>
        <v>176000</v>
      </c>
    </row>
    <row r="1031" spans="1:11">
      <c r="A1031" t="s">
        <v>43</v>
      </c>
      <c r="B1031" t="s">
        <v>44</v>
      </c>
      <c r="C1031" t="s">
        <v>53</v>
      </c>
      <c r="D1031" t="s">
        <v>29</v>
      </c>
      <c r="E1031" t="s">
        <v>37</v>
      </c>
      <c r="F1031" t="s">
        <v>31</v>
      </c>
      <c r="G1031" t="s">
        <v>32</v>
      </c>
      <c r="H1031">
        <v>85000</v>
      </c>
      <c r="I1031">
        <v>3</v>
      </c>
      <c r="J1031" t="s">
        <v>42</v>
      </c>
      <c r="K1031">
        <f t="shared" si="16"/>
        <v>68000</v>
      </c>
    </row>
    <row r="1032" spans="1:11">
      <c r="A1032" t="s">
        <v>107</v>
      </c>
      <c r="B1032" t="s">
        <v>27</v>
      </c>
      <c r="C1032" t="s">
        <v>36</v>
      </c>
      <c r="D1032" t="s">
        <v>41</v>
      </c>
      <c r="E1032" t="s">
        <v>30</v>
      </c>
      <c r="F1032" t="s">
        <v>46</v>
      </c>
      <c r="G1032" t="s">
        <v>39</v>
      </c>
      <c r="H1032">
        <v>60000</v>
      </c>
      <c r="I1032">
        <v>3</v>
      </c>
      <c r="J1032" t="s">
        <v>58</v>
      </c>
      <c r="K1032">
        <f t="shared" si="16"/>
        <v>48000</v>
      </c>
    </row>
    <row r="1033" spans="1:11">
      <c r="A1033" t="s">
        <v>43</v>
      </c>
      <c r="B1033" t="s">
        <v>27</v>
      </c>
      <c r="C1033" t="s">
        <v>45</v>
      </c>
      <c r="D1033" t="s">
        <v>41</v>
      </c>
      <c r="E1033" t="s">
        <v>37</v>
      </c>
      <c r="F1033" t="s">
        <v>73</v>
      </c>
      <c r="G1033" t="s">
        <v>39</v>
      </c>
      <c r="H1033">
        <v>220000</v>
      </c>
      <c r="I1033">
        <v>3</v>
      </c>
      <c r="J1033" t="s">
        <v>69</v>
      </c>
      <c r="K1033">
        <f t="shared" si="16"/>
        <v>176000</v>
      </c>
    </row>
    <row r="1034" spans="1:11">
      <c r="A1034" t="s">
        <v>177</v>
      </c>
      <c r="B1034" t="s">
        <v>27</v>
      </c>
      <c r="C1034" t="s">
        <v>28</v>
      </c>
      <c r="D1034" t="s">
        <v>29</v>
      </c>
      <c r="E1034" t="s">
        <v>37</v>
      </c>
      <c r="F1034" t="s">
        <v>38</v>
      </c>
      <c r="G1034" t="s">
        <v>39</v>
      </c>
      <c r="H1034">
        <v>30000</v>
      </c>
      <c r="I1034">
        <v>1</v>
      </c>
      <c r="J1034" t="s">
        <v>33</v>
      </c>
      <c r="K1034">
        <f t="shared" si="16"/>
        <v>24000</v>
      </c>
    </row>
    <row r="1035" spans="1:11">
      <c r="A1035" t="s">
        <v>89</v>
      </c>
      <c r="B1035" t="s">
        <v>35</v>
      </c>
      <c r="C1035" t="s">
        <v>53</v>
      </c>
      <c r="D1035" t="s">
        <v>41</v>
      </c>
      <c r="E1035" t="s">
        <v>37</v>
      </c>
      <c r="F1035" t="s">
        <v>67</v>
      </c>
      <c r="G1035" t="s">
        <v>51</v>
      </c>
      <c r="H1035">
        <v>420000</v>
      </c>
      <c r="I1035">
        <v>1</v>
      </c>
      <c r="J1035" t="s">
        <v>69</v>
      </c>
      <c r="K1035">
        <f t="shared" si="16"/>
        <v>336000</v>
      </c>
    </row>
    <row r="1036" spans="1:11">
      <c r="A1036" t="s">
        <v>169</v>
      </c>
      <c r="B1036" t="s">
        <v>27</v>
      </c>
      <c r="C1036" t="s">
        <v>36</v>
      </c>
      <c r="D1036" t="s">
        <v>29</v>
      </c>
      <c r="E1036" t="s">
        <v>37</v>
      </c>
      <c r="F1036" t="s">
        <v>73</v>
      </c>
      <c r="G1036" t="s">
        <v>39</v>
      </c>
      <c r="H1036">
        <v>220000</v>
      </c>
      <c r="I1036">
        <v>10</v>
      </c>
      <c r="J1036" t="s">
        <v>42</v>
      </c>
      <c r="K1036">
        <f t="shared" si="16"/>
        <v>176000</v>
      </c>
    </row>
    <row r="1037" spans="1:11">
      <c r="A1037" t="s">
        <v>108</v>
      </c>
      <c r="B1037" t="s">
        <v>44</v>
      </c>
      <c r="C1037" t="s">
        <v>45</v>
      </c>
      <c r="D1037" t="s">
        <v>41</v>
      </c>
      <c r="E1037" t="s">
        <v>37</v>
      </c>
      <c r="F1037" t="s">
        <v>54</v>
      </c>
      <c r="G1037" t="s">
        <v>39</v>
      </c>
      <c r="H1037">
        <v>180000</v>
      </c>
      <c r="I1037">
        <v>10</v>
      </c>
      <c r="J1037" t="s">
        <v>69</v>
      </c>
      <c r="K1037">
        <f t="shared" si="16"/>
        <v>144000</v>
      </c>
    </row>
    <row r="1038" spans="1:11">
      <c r="A1038" t="s">
        <v>78</v>
      </c>
      <c r="B1038" t="s">
        <v>44</v>
      </c>
      <c r="C1038" t="s">
        <v>28</v>
      </c>
      <c r="D1038" t="s">
        <v>29</v>
      </c>
      <c r="E1038" t="s">
        <v>30</v>
      </c>
      <c r="F1038" t="s">
        <v>67</v>
      </c>
      <c r="G1038" t="s">
        <v>51</v>
      </c>
      <c r="H1038">
        <v>420000</v>
      </c>
      <c r="I1038">
        <v>3</v>
      </c>
      <c r="J1038" t="s">
        <v>65</v>
      </c>
      <c r="K1038">
        <f t="shared" si="16"/>
        <v>336000</v>
      </c>
    </row>
    <row r="1039" spans="1:11">
      <c r="A1039" t="s">
        <v>94</v>
      </c>
      <c r="B1039" t="s">
        <v>27</v>
      </c>
      <c r="C1039" t="s">
        <v>53</v>
      </c>
      <c r="D1039" t="s">
        <v>41</v>
      </c>
      <c r="E1039" t="s">
        <v>30</v>
      </c>
      <c r="F1039" t="s">
        <v>31</v>
      </c>
      <c r="G1039" t="s">
        <v>32</v>
      </c>
      <c r="H1039">
        <v>85000</v>
      </c>
      <c r="I1039">
        <v>4</v>
      </c>
      <c r="J1039" t="s">
        <v>47</v>
      </c>
      <c r="K1039">
        <f t="shared" si="16"/>
        <v>68000</v>
      </c>
    </row>
    <row r="1040" spans="1:11">
      <c r="A1040" t="s">
        <v>168</v>
      </c>
      <c r="B1040" t="s">
        <v>44</v>
      </c>
      <c r="C1040" t="s">
        <v>45</v>
      </c>
      <c r="D1040" t="s">
        <v>41</v>
      </c>
      <c r="E1040" t="s">
        <v>30</v>
      </c>
      <c r="F1040" t="s">
        <v>56</v>
      </c>
      <c r="G1040" t="s">
        <v>32</v>
      </c>
      <c r="H1040">
        <v>320000</v>
      </c>
      <c r="I1040">
        <v>4</v>
      </c>
      <c r="J1040" t="s">
        <v>58</v>
      </c>
      <c r="K1040">
        <f t="shared" si="16"/>
        <v>256000</v>
      </c>
    </row>
    <row r="1041" spans="1:11">
      <c r="A1041" t="s">
        <v>175</v>
      </c>
      <c r="B1041" t="s">
        <v>27</v>
      </c>
      <c r="C1041" t="s">
        <v>53</v>
      </c>
      <c r="D1041" t="s">
        <v>29</v>
      </c>
      <c r="E1041" t="s">
        <v>37</v>
      </c>
      <c r="F1041" t="s">
        <v>73</v>
      </c>
      <c r="G1041" t="s">
        <v>39</v>
      </c>
      <c r="H1041">
        <v>220000</v>
      </c>
      <c r="I1041">
        <v>1</v>
      </c>
      <c r="J1041" t="s">
        <v>65</v>
      </c>
      <c r="K1041">
        <f t="shared" si="16"/>
        <v>176000</v>
      </c>
    </row>
    <row r="1042" spans="1:11">
      <c r="A1042" t="s">
        <v>157</v>
      </c>
      <c r="B1042" t="s">
        <v>44</v>
      </c>
      <c r="C1042" t="s">
        <v>36</v>
      </c>
      <c r="D1042" t="s">
        <v>41</v>
      </c>
      <c r="E1042" t="s">
        <v>37</v>
      </c>
      <c r="F1042" t="s">
        <v>31</v>
      </c>
      <c r="G1042" t="s">
        <v>32</v>
      </c>
      <c r="H1042">
        <v>85000</v>
      </c>
      <c r="I1042">
        <v>1</v>
      </c>
      <c r="J1042" t="s">
        <v>42</v>
      </c>
      <c r="K1042">
        <f t="shared" si="16"/>
        <v>68000</v>
      </c>
    </row>
    <row r="1043" spans="1:11">
      <c r="A1043" t="s">
        <v>145</v>
      </c>
      <c r="B1043" t="s">
        <v>27</v>
      </c>
      <c r="C1043" t="s">
        <v>53</v>
      </c>
      <c r="D1043" t="s">
        <v>29</v>
      </c>
      <c r="E1043" t="s">
        <v>30</v>
      </c>
      <c r="F1043" t="s">
        <v>62</v>
      </c>
      <c r="G1043" t="s">
        <v>51</v>
      </c>
      <c r="H1043">
        <v>150000</v>
      </c>
      <c r="I1043">
        <v>8</v>
      </c>
      <c r="J1043" t="s">
        <v>69</v>
      </c>
      <c r="K1043">
        <f t="shared" si="16"/>
        <v>120000</v>
      </c>
    </row>
    <row r="1044" spans="1:11">
      <c r="A1044" t="s">
        <v>158</v>
      </c>
      <c r="B1044" t="s">
        <v>49</v>
      </c>
      <c r="C1044" t="s">
        <v>36</v>
      </c>
      <c r="D1044" t="s">
        <v>41</v>
      </c>
      <c r="E1044" t="s">
        <v>30</v>
      </c>
      <c r="F1044" t="s">
        <v>62</v>
      </c>
      <c r="G1044" t="s">
        <v>51</v>
      </c>
      <c r="H1044">
        <v>150000</v>
      </c>
      <c r="I1044">
        <v>9</v>
      </c>
      <c r="J1044" t="s">
        <v>33</v>
      </c>
      <c r="K1044">
        <f t="shared" si="16"/>
        <v>120000</v>
      </c>
    </row>
    <row r="1045" spans="1:11">
      <c r="A1045" t="s">
        <v>64</v>
      </c>
      <c r="B1045" t="s">
        <v>27</v>
      </c>
      <c r="C1045" t="s">
        <v>36</v>
      </c>
      <c r="D1045" t="s">
        <v>41</v>
      </c>
      <c r="E1045" t="s">
        <v>30</v>
      </c>
      <c r="F1045" t="s">
        <v>50</v>
      </c>
      <c r="G1045" t="s">
        <v>51</v>
      </c>
      <c r="H1045">
        <v>300000</v>
      </c>
      <c r="I1045">
        <v>3</v>
      </c>
      <c r="J1045" t="s">
        <v>33</v>
      </c>
      <c r="K1045">
        <f t="shared" si="16"/>
        <v>240000</v>
      </c>
    </row>
    <row r="1046" spans="1:11">
      <c r="A1046" t="s">
        <v>143</v>
      </c>
      <c r="B1046" t="s">
        <v>49</v>
      </c>
      <c r="C1046" t="s">
        <v>53</v>
      </c>
      <c r="D1046" t="s">
        <v>41</v>
      </c>
      <c r="E1046" t="s">
        <v>30</v>
      </c>
      <c r="F1046" t="s">
        <v>62</v>
      </c>
      <c r="G1046" t="s">
        <v>51</v>
      </c>
      <c r="H1046">
        <v>150000</v>
      </c>
      <c r="I1046">
        <v>10</v>
      </c>
      <c r="J1046" t="s">
        <v>58</v>
      </c>
      <c r="K1046">
        <f t="shared" si="16"/>
        <v>120000</v>
      </c>
    </row>
    <row r="1047" spans="1:11">
      <c r="A1047" t="s">
        <v>43</v>
      </c>
      <c r="B1047" t="s">
        <v>27</v>
      </c>
      <c r="C1047" t="s">
        <v>53</v>
      </c>
      <c r="D1047" t="s">
        <v>29</v>
      </c>
      <c r="E1047" t="s">
        <v>37</v>
      </c>
      <c r="F1047" t="s">
        <v>31</v>
      </c>
      <c r="G1047" t="s">
        <v>32</v>
      </c>
      <c r="H1047">
        <v>85000</v>
      </c>
      <c r="I1047">
        <v>2</v>
      </c>
      <c r="J1047" t="s">
        <v>58</v>
      </c>
      <c r="K1047">
        <f t="shared" si="16"/>
        <v>68000</v>
      </c>
    </row>
    <row r="1048" spans="1:11">
      <c r="A1048" t="s">
        <v>110</v>
      </c>
      <c r="B1048" t="s">
        <v>35</v>
      </c>
      <c r="C1048" t="s">
        <v>28</v>
      </c>
      <c r="D1048" t="s">
        <v>41</v>
      </c>
      <c r="E1048" t="s">
        <v>37</v>
      </c>
      <c r="F1048" t="s">
        <v>67</v>
      </c>
      <c r="G1048" t="s">
        <v>51</v>
      </c>
      <c r="H1048">
        <v>420000</v>
      </c>
      <c r="I1048">
        <v>9</v>
      </c>
      <c r="J1048" t="s">
        <v>42</v>
      </c>
      <c r="K1048">
        <f t="shared" si="16"/>
        <v>336000</v>
      </c>
    </row>
    <row r="1049" spans="1:11">
      <c r="A1049" t="s">
        <v>110</v>
      </c>
      <c r="B1049" t="s">
        <v>27</v>
      </c>
      <c r="C1049" t="s">
        <v>36</v>
      </c>
      <c r="D1049" t="s">
        <v>41</v>
      </c>
      <c r="E1049" t="s">
        <v>30</v>
      </c>
      <c r="F1049" t="s">
        <v>50</v>
      </c>
      <c r="G1049" t="s">
        <v>51</v>
      </c>
      <c r="H1049">
        <v>300000</v>
      </c>
      <c r="I1049">
        <v>2</v>
      </c>
      <c r="J1049" t="s">
        <v>69</v>
      </c>
      <c r="K1049">
        <f t="shared" si="16"/>
        <v>240000</v>
      </c>
    </row>
    <row r="1050" spans="1:11">
      <c r="A1050" t="s">
        <v>132</v>
      </c>
      <c r="B1050" t="s">
        <v>35</v>
      </c>
      <c r="C1050" t="s">
        <v>45</v>
      </c>
      <c r="D1050" t="s">
        <v>41</v>
      </c>
      <c r="E1050" t="s">
        <v>30</v>
      </c>
      <c r="F1050" t="s">
        <v>62</v>
      </c>
      <c r="G1050" t="s">
        <v>51</v>
      </c>
      <c r="H1050">
        <v>150000</v>
      </c>
      <c r="I1050">
        <v>4</v>
      </c>
      <c r="J1050" t="s">
        <v>65</v>
      </c>
      <c r="K1050">
        <f t="shared" si="16"/>
        <v>120000</v>
      </c>
    </row>
    <row r="1051" spans="1:11">
      <c r="A1051" t="s">
        <v>70</v>
      </c>
      <c r="B1051" t="s">
        <v>35</v>
      </c>
      <c r="C1051" t="s">
        <v>36</v>
      </c>
      <c r="D1051" t="s">
        <v>29</v>
      </c>
      <c r="E1051" t="s">
        <v>30</v>
      </c>
      <c r="F1051" t="s">
        <v>67</v>
      </c>
      <c r="G1051" t="s">
        <v>51</v>
      </c>
      <c r="H1051">
        <v>420000</v>
      </c>
      <c r="I1051">
        <v>9</v>
      </c>
      <c r="J1051" t="s">
        <v>42</v>
      </c>
      <c r="K1051">
        <f t="shared" si="16"/>
        <v>336000</v>
      </c>
    </row>
    <row r="1052" spans="1:11">
      <c r="A1052" t="s">
        <v>166</v>
      </c>
      <c r="B1052" t="s">
        <v>49</v>
      </c>
      <c r="C1052" t="s">
        <v>45</v>
      </c>
      <c r="D1052" t="s">
        <v>29</v>
      </c>
      <c r="E1052" t="s">
        <v>37</v>
      </c>
      <c r="F1052" t="s">
        <v>71</v>
      </c>
      <c r="G1052" t="s">
        <v>51</v>
      </c>
      <c r="H1052">
        <v>250000</v>
      </c>
      <c r="I1052">
        <v>5</v>
      </c>
      <c r="J1052" t="s">
        <v>42</v>
      </c>
      <c r="K1052">
        <f t="shared" si="16"/>
        <v>200000</v>
      </c>
    </row>
    <row r="1053" spans="1:11">
      <c r="A1053" t="s">
        <v>101</v>
      </c>
      <c r="B1053" t="s">
        <v>49</v>
      </c>
      <c r="C1053" t="s">
        <v>53</v>
      </c>
      <c r="D1053" t="s">
        <v>41</v>
      </c>
      <c r="E1053" t="s">
        <v>30</v>
      </c>
      <c r="F1053" t="s">
        <v>38</v>
      </c>
      <c r="G1053" t="s">
        <v>39</v>
      </c>
      <c r="H1053">
        <v>30000</v>
      </c>
      <c r="I1053">
        <v>10</v>
      </c>
      <c r="J1053" t="s">
        <v>65</v>
      </c>
      <c r="K1053">
        <f t="shared" si="16"/>
        <v>24000</v>
      </c>
    </row>
    <row r="1054" spans="1:11">
      <c r="A1054" t="s">
        <v>76</v>
      </c>
      <c r="B1054" t="s">
        <v>44</v>
      </c>
      <c r="C1054" t="s">
        <v>45</v>
      </c>
      <c r="D1054" t="s">
        <v>29</v>
      </c>
      <c r="E1054" t="s">
        <v>37</v>
      </c>
      <c r="F1054" t="s">
        <v>67</v>
      </c>
      <c r="G1054" t="s">
        <v>51</v>
      </c>
      <c r="H1054">
        <v>420000</v>
      </c>
      <c r="I1054">
        <v>3</v>
      </c>
      <c r="J1054" t="s">
        <v>33</v>
      </c>
      <c r="K1054">
        <f t="shared" si="16"/>
        <v>336000</v>
      </c>
    </row>
    <row r="1055" spans="1:11">
      <c r="A1055" t="s">
        <v>40</v>
      </c>
      <c r="B1055" t="s">
        <v>44</v>
      </c>
      <c r="C1055" t="s">
        <v>53</v>
      </c>
      <c r="D1055" t="s">
        <v>29</v>
      </c>
      <c r="E1055" t="s">
        <v>30</v>
      </c>
      <c r="F1055" t="s">
        <v>56</v>
      </c>
      <c r="G1055" t="s">
        <v>32</v>
      </c>
      <c r="H1055">
        <v>320000</v>
      </c>
      <c r="I1055">
        <v>8</v>
      </c>
      <c r="J1055" t="s">
        <v>65</v>
      </c>
      <c r="K1055">
        <f t="shared" si="16"/>
        <v>256000</v>
      </c>
    </row>
    <row r="1056" spans="1:11">
      <c r="A1056" t="s">
        <v>74</v>
      </c>
      <c r="B1056" t="s">
        <v>49</v>
      </c>
      <c r="C1056" t="s">
        <v>36</v>
      </c>
      <c r="D1056" t="s">
        <v>41</v>
      </c>
      <c r="E1056" t="s">
        <v>30</v>
      </c>
      <c r="F1056" t="s">
        <v>67</v>
      </c>
      <c r="G1056" t="s">
        <v>51</v>
      </c>
      <c r="H1056">
        <v>420000</v>
      </c>
      <c r="I1056">
        <v>8</v>
      </c>
      <c r="J1056" t="s">
        <v>65</v>
      </c>
      <c r="K1056">
        <f t="shared" si="16"/>
        <v>336000</v>
      </c>
    </row>
    <row r="1057" spans="1:11">
      <c r="A1057" t="s">
        <v>97</v>
      </c>
      <c r="B1057" t="s">
        <v>44</v>
      </c>
      <c r="C1057" t="s">
        <v>45</v>
      </c>
      <c r="D1057" t="s">
        <v>41</v>
      </c>
      <c r="E1057" t="s">
        <v>30</v>
      </c>
      <c r="F1057" t="s">
        <v>62</v>
      </c>
      <c r="G1057" t="s">
        <v>51</v>
      </c>
      <c r="H1057">
        <v>150000</v>
      </c>
      <c r="I1057">
        <v>1</v>
      </c>
      <c r="J1057" t="s">
        <v>65</v>
      </c>
      <c r="K1057">
        <f t="shared" si="16"/>
        <v>120000</v>
      </c>
    </row>
    <row r="1058" spans="1:11">
      <c r="A1058" t="s">
        <v>177</v>
      </c>
      <c r="B1058" t="s">
        <v>44</v>
      </c>
      <c r="C1058" t="s">
        <v>36</v>
      </c>
      <c r="D1058" t="s">
        <v>29</v>
      </c>
      <c r="E1058" t="s">
        <v>30</v>
      </c>
      <c r="F1058" t="s">
        <v>46</v>
      </c>
      <c r="G1058" t="s">
        <v>39</v>
      </c>
      <c r="H1058">
        <v>60000</v>
      </c>
      <c r="I1058">
        <v>7</v>
      </c>
      <c r="J1058" t="s">
        <v>58</v>
      </c>
      <c r="K1058">
        <f t="shared" si="16"/>
        <v>48000</v>
      </c>
    </row>
    <row r="1059" spans="1:11">
      <c r="A1059" t="s">
        <v>136</v>
      </c>
      <c r="B1059" t="s">
        <v>44</v>
      </c>
      <c r="C1059" t="s">
        <v>36</v>
      </c>
      <c r="D1059" t="s">
        <v>29</v>
      </c>
      <c r="E1059" t="s">
        <v>37</v>
      </c>
      <c r="F1059" t="s">
        <v>67</v>
      </c>
      <c r="G1059" t="s">
        <v>51</v>
      </c>
      <c r="H1059">
        <v>420000</v>
      </c>
      <c r="I1059">
        <v>9</v>
      </c>
      <c r="J1059" t="s">
        <v>65</v>
      </c>
      <c r="K1059">
        <f t="shared" si="16"/>
        <v>336000</v>
      </c>
    </row>
    <row r="1060" spans="1:11">
      <c r="A1060" t="s">
        <v>173</v>
      </c>
      <c r="B1060" t="s">
        <v>35</v>
      </c>
      <c r="C1060" t="s">
        <v>45</v>
      </c>
      <c r="D1060" t="s">
        <v>41</v>
      </c>
      <c r="E1060" t="s">
        <v>37</v>
      </c>
      <c r="F1060" t="s">
        <v>67</v>
      </c>
      <c r="G1060" t="s">
        <v>51</v>
      </c>
      <c r="H1060">
        <v>420000</v>
      </c>
      <c r="I1060">
        <v>6</v>
      </c>
      <c r="J1060" t="s">
        <v>42</v>
      </c>
      <c r="K1060">
        <f t="shared" si="16"/>
        <v>336000</v>
      </c>
    </row>
    <row r="1061" spans="1:11">
      <c r="A1061" t="s">
        <v>101</v>
      </c>
      <c r="B1061" t="s">
        <v>35</v>
      </c>
      <c r="C1061" t="s">
        <v>28</v>
      </c>
      <c r="D1061" t="s">
        <v>29</v>
      </c>
      <c r="E1061" t="s">
        <v>30</v>
      </c>
      <c r="F1061" t="s">
        <v>50</v>
      </c>
      <c r="G1061" t="s">
        <v>51</v>
      </c>
      <c r="H1061">
        <v>300000</v>
      </c>
      <c r="I1061">
        <v>9</v>
      </c>
      <c r="J1061" t="s">
        <v>65</v>
      </c>
      <c r="K1061">
        <f t="shared" si="16"/>
        <v>240000</v>
      </c>
    </row>
    <row r="1062" spans="1:11">
      <c r="A1062" t="s">
        <v>72</v>
      </c>
      <c r="B1062" t="s">
        <v>49</v>
      </c>
      <c r="C1062" t="s">
        <v>28</v>
      </c>
      <c r="D1062" t="s">
        <v>41</v>
      </c>
      <c r="E1062" t="s">
        <v>30</v>
      </c>
      <c r="F1062" t="s">
        <v>54</v>
      </c>
      <c r="G1062" t="s">
        <v>39</v>
      </c>
      <c r="H1062">
        <v>180000</v>
      </c>
      <c r="I1062">
        <v>5</v>
      </c>
      <c r="J1062" t="s">
        <v>69</v>
      </c>
      <c r="K1062">
        <f t="shared" si="16"/>
        <v>144000</v>
      </c>
    </row>
    <row r="1063" spans="1:11">
      <c r="A1063" t="s">
        <v>63</v>
      </c>
      <c r="B1063" t="s">
        <v>44</v>
      </c>
      <c r="C1063" t="s">
        <v>45</v>
      </c>
      <c r="D1063" t="s">
        <v>29</v>
      </c>
      <c r="E1063" t="s">
        <v>37</v>
      </c>
      <c r="F1063" t="s">
        <v>62</v>
      </c>
      <c r="G1063" t="s">
        <v>51</v>
      </c>
      <c r="H1063">
        <v>150000</v>
      </c>
      <c r="I1063">
        <v>5</v>
      </c>
      <c r="J1063" t="s">
        <v>47</v>
      </c>
      <c r="K1063">
        <f t="shared" si="16"/>
        <v>120000</v>
      </c>
    </row>
    <row r="1064" spans="1:11">
      <c r="A1064" t="s">
        <v>166</v>
      </c>
      <c r="B1064" t="s">
        <v>35</v>
      </c>
      <c r="C1064" t="s">
        <v>28</v>
      </c>
      <c r="D1064" t="s">
        <v>29</v>
      </c>
      <c r="E1064" t="s">
        <v>30</v>
      </c>
      <c r="F1064" t="s">
        <v>31</v>
      </c>
      <c r="G1064" t="s">
        <v>32</v>
      </c>
      <c r="H1064">
        <v>85000</v>
      </c>
      <c r="I1064">
        <v>9</v>
      </c>
      <c r="J1064" t="s">
        <v>47</v>
      </c>
      <c r="K1064">
        <f t="shared" si="16"/>
        <v>68000</v>
      </c>
    </row>
    <row r="1065" spans="1:11">
      <c r="A1065" t="s">
        <v>136</v>
      </c>
      <c r="B1065" t="s">
        <v>27</v>
      </c>
      <c r="C1065" t="s">
        <v>53</v>
      </c>
      <c r="D1065" t="s">
        <v>41</v>
      </c>
      <c r="E1065" t="s">
        <v>30</v>
      </c>
      <c r="F1065" t="s">
        <v>67</v>
      </c>
      <c r="G1065" t="s">
        <v>51</v>
      </c>
      <c r="H1065">
        <v>420000</v>
      </c>
      <c r="I1065">
        <v>5</v>
      </c>
      <c r="J1065" t="s">
        <v>69</v>
      </c>
      <c r="K1065">
        <f t="shared" si="16"/>
        <v>336000</v>
      </c>
    </row>
    <row r="1066" spans="1:11">
      <c r="A1066" t="s">
        <v>122</v>
      </c>
      <c r="B1066" t="s">
        <v>35</v>
      </c>
      <c r="C1066" t="s">
        <v>36</v>
      </c>
      <c r="D1066" t="s">
        <v>29</v>
      </c>
      <c r="E1066" t="s">
        <v>37</v>
      </c>
      <c r="F1066" t="s">
        <v>56</v>
      </c>
      <c r="G1066" t="s">
        <v>32</v>
      </c>
      <c r="H1066">
        <v>320000</v>
      </c>
      <c r="I1066">
        <v>4</v>
      </c>
      <c r="J1066" t="s">
        <v>47</v>
      </c>
      <c r="K1066">
        <f t="shared" si="16"/>
        <v>256000</v>
      </c>
    </row>
    <row r="1067" spans="1:11">
      <c r="A1067" t="s">
        <v>164</v>
      </c>
      <c r="B1067" t="s">
        <v>35</v>
      </c>
      <c r="C1067" t="s">
        <v>36</v>
      </c>
      <c r="D1067" t="s">
        <v>41</v>
      </c>
      <c r="E1067" t="s">
        <v>30</v>
      </c>
      <c r="F1067" t="s">
        <v>38</v>
      </c>
      <c r="G1067" t="s">
        <v>39</v>
      </c>
      <c r="H1067">
        <v>30000</v>
      </c>
      <c r="I1067">
        <v>4</v>
      </c>
      <c r="J1067" t="s">
        <v>47</v>
      </c>
      <c r="K1067">
        <f t="shared" si="16"/>
        <v>24000</v>
      </c>
    </row>
    <row r="1068" spans="1:11">
      <c r="A1068" t="s">
        <v>147</v>
      </c>
      <c r="B1068" t="s">
        <v>44</v>
      </c>
      <c r="C1068" t="s">
        <v>53</v>
      </c>
      <c r="D1068" t="s">
        <v>41</v>
      </c>
      <c r="E1068" t="s">
        <v>37</v>
      </c>
      <c r="F1068" t="s">
        <v>62</v>
      </c>
      <c r="G1068" t="s">
        <v>51</v>
      </c>
      <c r="H1068">
        <v>150000</v>
      </c>
      <c r="I1068">
        <v>3</v>
      </c>
      <c r="J1068" t="s">
        <v>65</v>
      </c>
      <c r="K1068">
        <f t="shared" si="16"/>
        <v>120000</v>
      </c>
    </row>
    <row r="1069" spans="1:11">
      <c r="A1069" t="s">
        <v>86</v>
      </c>
      <c r="B1069" t="s">
        <v>27</v>
      </c>
      <c r="C1069" t="s">
        <v>36</v>
      </c>
      <c r="D1069" t="s">
        <v>29</v>
      </c>
      <c r="E1069" t="s">
        <v>30</v>
      </c>
      <c r="F1069" t="s">
        <v>73</v>
      </c>
      <c r="G1069" t="s">
        <v>39</v>
      </c>
      <c r="H1069">
        <v>220000</v>
      </c>
      <c r="I1069">
        <v>7</v>
      </c>
      <c r="J1069" t="s">
        <v>33</v>
      </c>
      <c r="K1069">
        <f t="shared" si="16"/>
        <v>176000</v>
      </c>
    </row>
    <row r="1070" spans="1:11">
      <c r="A1070" t="s">
        <v>83</v>
      </c>
      <c r="B1070" t="s">
        <v>35</v>
      </c>
      <c r="C1070" t="s">
        <v>28</v>
      </c>
      <c r="D1070" t="s">
        <v>29</v>
      </c>
      <c r="E1070" t="s">
        <v>37</v>
      </c>
      <c r="F1070" t="s">
        <v>54</v>
      </c>
      <c r="G1070" t="s">
        <v>39</v>
      </c>
      <c r="H1070">
        <v>180000</v>
      </c>
      <c r="I1070">
        <v>10</v>
      </c>
      <c r="J1070" t="s">
        <v>58</v>
      </c>
      <c r="K1070">
        <f t="shared" si="16"/>
        <v>144000</v>
      </c>
    </row>
    <row r="1071" spans="1:11">
      <c r="A1071" t="s">
        <v>153</v>
      </c>
      <c r="B1071" t="s">
        <v>27</v>
      </c>
      <c r="C1071" t="s">
        <v>53</v>
      </c>
      <c r="D1071" t="s">
        <v>41</v>
      </c>
      <c r="E1071" t="s">
        <v>30</v>
      </c>
      <c r="F1071" t="s">
        <v>31</v>
      </c>
      <c r="G1071" t="s">
        <v>32</v>
      </c>
      <c r="H1071">
        <v>85000</v>
      </c>
      <c r="I1071">
        <v>7</v>
      </c>
      <c r="J1071" t="s">
        <v>42</v>
      </c>
      <c r="K1071">
        <f t="shared" si="16"/>
        <v>68000</v>
      </c>
    </row>
    <row r="1072" spans="1:11">
      <c r="A1072" t="s">
        <v>119</v>
      </c>
      <c r="B1072" t="s">
        <v>35</v>
      </c>
      <c r="C1072" t="s">
        <v>36</v>
      </c>
      <c r="D1072" t="s">
        <v>29</v>
      </c>
      <c r="E1072" t="s">
        <v>30</v>
      </c>
      <c r="F1072" t="s">
        <v>38</v>
      </c>
      <c r="G1072" t="s">
        <v>39</v>
      </c>
      <c r="H1072">
        <v>30000</v>
      </c>
      <c r="I1072">
        <v>3</v>
      </c>
      <c r="J1072" t="s">
        <v>42</v>
      </c>
      <c r="K1072">
        <f t="shared" si="16"/>
        <v>24000</v>
      </c>
    </row>
    <row r="1073" spans="1:11">
      <c r="A1073" t="s">
        <v>150</v>
      </c>
      <c r="B1073" t="s">
        <v>49</v>
      </c>
      <c r="C1073" t="s">
        <v>28</v>
      </c>
      <c r="D1073" t="s">
        <v>41</v>
      </c>
      <c r="E1073" t="s">
        <v>30</v>
      </c>
      <c r="F1073" t="s">
        <v>56</v>
      </c>
      <c r="G1073" t="s">
        <v>32</v>
      </c>
      <c r="H1073">
        <v>320000</v>
      </c>
      <c r="I1073">
        <v>9</v>
      </c>
      <c r="J1073" t="s">
        <v>65</v>
      </c>
      <c r="K1073">
        <f t="shared" si="16"/>
        <v>256000</v>
      </c>
    </row>
    <row r="1074" spans="1:11">
      <c r="A1074" t="s">
        <v>125</v>
      </c>
      <c r="B1074" t="s">
        <v>27</v>
      </c>
      <c r="C1074" t="s">
        <v>36</v>
      </c>
      <c r="D1074" t="s">
        <v>29</v>
      </c>
      <c r="E1074" t="s">
        <v>37</v>
      </c>
      <c r="F1074" t="s">
        <v>62</v>
      </c>
      <c r="G1074" t="s">
        <v>51</v>
      </c>
      <c r="H1074">
        <v>150000</v>
      </c>
      <c r="I1074">
        <v>2</v>
      </c>
      <c r="J1074" t="s">
        <v>42</v>
      </c>
      <c r="K1074">
        <f t="shared" si="16"/>
        <v>120000</v>
      </c>
    </row>
    <row r="1075" spans="1:11">
      <c r="A1075" t="s">
        <v>154</v>
      </c>
      <c r="B1075" t="s">
        <v>35</v>
      </c>
      <c r="C1075" t="s">
        <v>36</v>
      </c>
      <c r="D1075" t="s">
        <v>41</v>
      </c>
      <c r="E1075" t="s">
        <v>37</v>
      </c>
      <c r="F1075" t="s">
        <v>54</v>
      </c>
      <c r="G1075" t="s">
        <v>39</v>
      </c>
      <c r="H1075">
        <v>180000</v>
      </c>
      <c r="I1075">
        <v>8</v>
      </c>
      <c r="J1075" t="s">
        <v>65</v>
      </c>
      <c r="K1075">
        <f t="shared" si="16"/>
        <v>144000</v>
      </c>
    </row>
    <row r="1076" spans="1:11">
      <c r="A1076" t="s">
        <v>95</v>
      </c>
      <c r="B1076" t="s">
        <v>35</v>
      </c>
      <c r="C1076" t="s">
        <v>36</v>
      </c>
      <c r="D1076" t="s">
        <v>41</v>
      </c>
      <c r="E1076" t="s">
        <v>37</v>
      </c>
      <c r="F1076" t="s">
        <v>31</v>
      </c>
      <c r="G1076" t="s">
        <v>32</v>
      </c>
      <c r="H1076">
        <v>85000</v>
      </c>
      <c r="I1076">
        <v>7</v>
      </c>
      <c r="J1076" t="s">
        <v>33</v>
      </c>
      <c r="K1076">
        <f t="shared" si="16"/>
        <v>68000</v>
      </c>
    </row>
    <row r="1077" spans="1:11">
      <c r="A1077" t="s">
        <v>48</v>
      </c>
      <c r="B1077" t="s">
        <v>27</v>
      </c>
      <c r="C1077" t="s">
        <v>53</v>
      </c>
      <c r="D1077" t="s">
        <v>41</v>
      </c>
      <c r="E1077" t="s">
        <v>30</v>
      </c>
      <c r="F1077" t="s">
        <v>54</v>
      </c>
      <c r="G1077" t="s">
        <v>39</v>
      </c>
      <c r="H1077">
        <v>180000</v>
      </c>
      <c r="I1077">
        <v>8</v>
      </c>
      <c r="J1077" t="s">
        <v>69</v>
      </c>
      <c r="K1077">
        <f t="shared" si="16"/>
        <v>144000</v>
      </c>
    </row>
    <row r="1078" spans="1:11">
      <c r="A1078" t="s">
        <v>79</v>
      </c>
      <c r="B1078" t="s">
        <v>49</v>
      </c>
      <c r="C1078" t="s">
        <v>28</v>
      </c>
      <c r="D1078" t="s">
        <v>41</v>
      </c>
      <c r="E1078" t="s">
        <v>30</v>
      </c>
      <c r="F1078" t="s">
        <v>73</v>
      </c>
      <c r="G1078" t="s">
        <v>39</v>
      </c>
      <c r="H1078">
        <v>220000</v>
      </c>
      <c r="I1078">
        <v>5</v>
      </c>
      <c r="J1078" t="s">
        <v>69</v>
      </c>
      <c r="K1078">
        <f t="shared" si="16"/>
        <v>176000</v>
      </c>
    </row>
    <row r="1079" spans="1:11">
      <c r="A1079" t="s">
        <v>86</v>
      </c>
      <c r="B1079" t="s">
        <v>49</v>
      </c>
      <c r="C1079" t="s">
        <v>45</v>
      </c>
      <c r="D1079" t="s">
        <v>29</v>
      </c>
      <c r="E1079" t="s">
        <v>30</v>
      </c>
      <c r="F1079" t="s">
        <v>50</v>
      </c>
      <c r="G1079" t="s">
        <v>51</v>
      </c>
      <c r="H1079">
        <v>300000</v>
      </c>
      <c r="I1079">
        <v>5</v>
      </c>
      <c r="J1079" t="s">
        <v>65</v>
      </c>
      <c r="K1079">
        <f t="shared" si="16"/>
        <v>240000</v>
      </c>
    </row>
    <row r="1080" spans="1:11">
      <c r="A1080" t="s">
        <v>142</v>
      </c>
      <c r="B1080" t="s">
        <v>49</v>
      </c>
      <c r="C1080" t="s">
        <v>53</v>
      </c>
      <c r="D1080" t="s">
        <v>29</v>
      </c>
      <c r="E1080" t="s">
        <v>37</v>
      </c>
      <c r="F1080" t="s">
        <v>71</v>
      </c>
      <c r="G1080" t="s">
        <v>51</v>
      </c>
      <c r="H1080">
        <v>250000</v>
      </c>
      <c r="I1080">
        <v>7</v>
      </c>
      <c r="J1080" t="s">
        <v>33</v>
      </c>
      <c r="K1080">
        <f t="shared" si="16"/>
        <v>200000</v>
      </c>
    </row>
    <row r="1081" spans="1:11">
      <c r="A1081" t="s">
        <v>100</v>
      </c>
      <c r="B1081" t="s">
        <v>27</v>
      </c>
      <c r="C1081" t="s">
        <v>53</v>
      </c>
      <c r="D1081" t="s">
        <v>41</v>
      </c>
      <c r="E1081" t="s">
        <v>37</v>
      </c>
      <c r="F1081" t="s">
        <v>46</v>
      </c>
      <c r="G1081" t="s">
        <v>39</v>
      </c>
      <c r="H1081">
        <v>60000</v>
      </c>
      <c r="I1081">
        <v>7</v>
      </c>
      <c r="J1081" t="s">
        <v>65</v>
      </c>
      <c r="K1081">
        <f t="shared" si="16"/>
        <v>48000</v>
      </c>
    </row>
    <row r="1082" spans="1:11">
      <c r="A1082" t="s">
        <v>161</v>
      </c>
      <c r="B1082" t="s">
        <v>35</v>
      </c>
      <c r="C1082" t="s">
        <v>28</v>
      </c>
      <c r="D1082" t="s">
        <v>41</v>
      </c>
      <c r="E1082" t="s">
        <v>30</v>
      </c>
      <c r="F1082" t="s">
        <v>31</v>
      </c>
      <c r="G1082" t="s">
        <v>32</v>
      </c>
      <c r="H1082">
        <v>85000</v>
      </c>
      <c r="I1082">
        <v>2</v>
      </c>
      <c r="J1082" t="s">
        <v>58</v>
      </c>
      <c r="K1082">
        <f t="shared" si="16"/>
        <v>68000</v>
      </c>
    </row>
    <row r="1083" spans="1:11">
      <c r="A1083" t="s">
        <v>146</v>
      </c>
      <c r="B1083" t="s">
        <v>27</v>
      </c>
      <c r="C1083" t="s">
        <v>28</v>
      </c>
      <c r="D1083" t="s">
        <v>29</v>
      </c>
      <c r="E1083" t="s">
        <v>37</v>
      </c>
      <c r="F1083" t="s">
        <v>46</v>
      </c>
      <c r="G1083" t="s">
        <v>39</v>
      </c>
      <c r="H1083">
        <v>60000</v>
      </c>
      <c r="I1083">
        <v>2</v>
      </c>
      <c r="J1083" t="s">
        <v>69</v>
      </c>
      <c r="K1083">
        <f t="shared" si="16"/>
        <v>48000</v>
      </c>
    </row>
    <row r="1084" spans="1:11">
      <c r="A1084" t="s">
        <v>145</v>
      </c>
      <c r="B1084" t="s">
        <v>35</v>
      </c>
      <c r="C1084" t="s">
        <v>53</v>
      </c>
      <c r="D1084" t="s">
        <v>41</v>
      </c>
      <c r="E1084" t="s">
        <v>30</v>
      </c>
      <c r="F1084" t="s">
        <v>38</v>
      </c>
      <c r="G1084" t="s">
        <v>39</v>
      </c>
      <c r="H1084">
        <v>30000</v>
      </c>
      <c r="I1084">
        <v>10</v>
      </c>
      <c r="J1084" t="s">
        <v>69</v>
      </c>
      <c r="K1084">
        <f t="shared" si="16"/>
        <v>24000</v>
      </c>
    </row>
    <row r="1085" spans="1:11">
      <c r="A1085" t="s">
        <v>135</v>
      </c>
      <c r="B1085" t="s">
        <v>49</v>
      </c>
      <c r="C1085" t="s">
        <v>36</v>
      </c>
      <c r="D1085" t="s">
        <v>41</v>
      </c>
      <c r="E1085" t="s">
        <v>37</v>
      </c>
      <c r="F1085" t="s">
        <v>67</v>
      </c>
      <c r="G1085" t="s">
        <v>51</v>
      </c>
      <c r="H1085">
        <v>420000</v>
      </c>
      <c r="I1085">
        <v>8</v>
      </c>
      <c r="J1085" t="s">
        <v>42</v>
      </c>
      <c r="K1085">
        <f t="shared" si="16"/>
        <v>336000</v>
      </c>
    </row>
    <row r="1086" spans="1:11">
      <c r="A1086" t="s">
        <v>143</v>
      </c>
      <c r="B1086" t="s">
        <v>27</v>
      </c>
      <c r="C1086" t="s">
        <v>36</v>
      </c>
      <c r="D1086" t="s">
        <v>41</v>
      </c>
      <c r="E1086" t="s">
        <v>30</v>
      </c>
      <c r="F1086" t="s">
        <v>46</v>
      </c>
      <c r="G1086" t="s">
        <v>39</v>
      </c>
      <c r="H1086">
        <v>60000</v>
      </c>
      <c r="I1086">
        <v>2</v>
      </c>
      <c r="J1086" t="s">
        <v>65</v>
      </c>
      <c r="K1086">
        <f t="shared" si="16"/>
        <v>48000</v>
      </c>
    </row>
    <row r="1087" spans="1:11">
      <c r="A1087" t="s">
        <v>128</v>
      </c>
      <c r="B1087" t="s">
        <v>44</v>
      </c>
      <c r="C1087" t="s">
        <v>45</v>
      </c>
      <c r="D1087" t="s">
        <v>41</v>
      </c>
      <c r="E1087" t="s">
        <v>37</v>
      </c>
      <c r="F1087" t="s">
        <v>31</v>
      </c>
      <c r="G1087" t="s">
        <v>32</v>
      </c>
      <c r="H1087">
        <v>85000</v>
      </c>
      <c r="I1087">
        <v>8</v>
      </c>
      <c r="J1087" t="s">
        <v>69</v>
      </c>
      <c r="K1087">
        <f t="shared" si="16"/>
        <v>68000</v>
      </c>
    </row>
    <row r="1088" spans="1:11">
      <c r="A1088" t="s">
        <v>86</v>
      </c>
      <c r="B1088" t="s">
        <v>27</v>
      </c>
      <c r="C1088" t="s">
        <v>28</v>
      </c>
      <c r="D1088" t="s">
        <v>29</v>
      </c>
      <c r="E1088" t="s">
        <v>37</v>
      </c>
      <c r="F1088" t="s">
        <v>67</v>
      </c>
      <c r="G1088" t="s">
        <v>51</v>
      </c>
      <c r="H1088">
        <v>420000</v>
      </c>
      <c r="I1088">
        <v>7</v>
      </c>
      <c r="J1088" t="s">
        <v>58</v>
      </c>
      <c r="K1088">
        <f t="shared" si="16"/>
        <v>336000</v>
      </c>
    </row>
    <row r="1089" spans="1:11">
      <c r="A1089" t="s">
        <v>148</v>
      </c>
      <c r="B1089" t="s">
        <v>35</v>
      </c>
      <c r="C1089" t="s">
        <v>53</v>
      </c>
      <c r="D1089" t="s">
        <v>29</v>
      </c>
      <c r="E1089" t="s">
        <v>37</v>
      </c>
      <c r="F1089" t="s">
        <v>50</v>
      </c>
      <c r="G1089" t="s">
        <v>51</v>
      </c>
      <c r="H1089">
        <v>300000</v>
      </c>
      <c r="I1089">
        <v>6</v>
      </c>
      <c r="J1089" t="s">
        <v>69</v>
      </c>
      <c r="K1089">
        <f t="shared" si="16"/>
        <v>240000</v>
      </c>
    </row>
    <row r="1090" spans="1:11">
      <c r="A1090" t="s">
        <v>122</v>
      </c>
      <c r="B1090" t="s">
        <v>49</v>
      </c>
      <c r="C1090" t="s">
        <v>28</v>
      </c>
      <c r="D1090" t="s">
        <v>29</v>
      </c>
      <c r="E1090" t="s">
        <v>30</v>
      </c>
      <c r="F1090" t="s">
        <v>67</v>
      </c>
      <c r="G1090" t="s">
        <v>51</v>
      </c>
      <c r="H1090">
        <v>420000</v>
      </c>
      <c r="I1090">
        <v>2</v>
      </c>
      <c r="J1090" t="s">
        <v>65</v>
      </c>
      <c r="K1090">
        <f t="shared" ref="K1090:K1153" si="17">H1090-H1090*0.2</f>
        <v>336000</v>
      </c>
    </row>
    <row r="1091" spans="1:11">
      <c r="A1091" t="s">
        <v>99</v>
      </c>
      <c r="B1091" t="s">
        <v>49</v>
      </c>
      <c r="C1091" t="s">
        <v>28</v>
      </c>
      <c r="D1091" t="s">
        <v>41</v>
      </c>
      <c r="E1091" t="s">
        <v>30</v>
      </c>
      <c r="F1091" t="s">
        <v>50</v>
      </c>
      <c r="G1091" t="s">
        <v>51</v>
      </c>
      <c r="H1091">
        <v>300000</v>
      </c>
      <c r="I1091">
        <v>8</v>
      </c>
      <c r="J1091" t="s">
        <v>58</v>
      </c>
      <c r="K1091">
        <f t="shared" si="17"/>
        <v>240000</v>
      </c>
    </row>
    <row r="1092" spans="1:11">
      <c r="A1092" t="s">
        <v>66</v>
      </c>
      <c r="B1092" t="s">
        <v>49</v>
      </c>
      <c r="C1092" t="s">
        <v>45</v>
      </c>
      <c r="D1092" t="s">
        <v>29</v>
      </c>
      <c r="E1092" t="s">
        <v>30</v>
      </c>
      <c r="F1092" t="s">
        <v>71</v>
      </c>
      <c r="G1092" t="s">
        <v>51</v>
      </c>
      <c r="H1092">
        <v>250000</v>
      </c>
      <c r="I1092">
        <v>5</v>
      </c>
      <c r="J1092" t="s">
        <v>58</v>
      </c>
      <c r="K1092">
        <f t="shared" si="17"/>
        <v>200000</v>
      </c>
    </row>
    <row r="1093" spans="1:11">
      <c r="A1093" t="s">
        <v>91</v>
      </c>
      <c r="B1093" t="s">
        <v>35</v>
      </c>
      <c r="C1093" t="s">
        <v>53</v>
      </c>
      <c r="D1093" t="s">
        <v>41</v>
      </c>
      <c r="E1093" t="s">
        <v>37</v>
      </c>
      <c r="F1093" t="s">
        <v>67</v>
      </c>
      <c r="G1093" t="s">
        <v>51</v>
      </c>
      <c r="H1093">
        <v>420000</v>
      </c>
      <c r="I1093">
        <v>5</v>
      </c>
      <c r="J1093" t="s">
        <v>58</v>
      </c>
      <c r="K1093">
        <f t="shared" si="17"/>
        <v>336000</v>
      </c>
    </row>
    <row r="1094" spans="1:11">
      <c r="A1094" t="s">
        <v>95</v>
      </c>
      <c r="B1094" t="s">
        <v>35</v>
      </c>
      <c r="C1094" t="s">
        <v>45</v>
      </c>
      <c r="D1094" t="s">
        <v>41</v>
      </c>
      <c r="E1094" t="s">
        <v>30</v>
      </c>
      <c r="F1094" t="s">
        <v>67</v>
      </c>
      <c r="G1094" t="s">
        <v>51</v>
      </c>
      <c r="H1094">
        <v>420000</v>
      </c>
      <c r="I1094">
        <v>10</v>
      </c>
      <c r="J1094" t="s">
        <v>42</v>
      </c>
      <c r="K1094">
        <f t="shared" si="17"/>
        <v>336000</v>
      </c>
    </row>
    <row r="1095" spans="1:11">
      <c r="A1095" t="s">
        <v>165</v>
      </c>
      <c r="B1095" t="s">
        <v>49</v>
      </c>
      <c r="C1095" t="s">
        <v>45</v>
      </c>
      <c r="D1095" t="s">
        <v>29</v>
      </c>
      <c r="E1095" t="s">
        <v>30</v>
      </c>
      <c r="F1095" t="s">
        <v>56</v>
      </c>
      <c r="G1095" t="s">
        <v>32</v>
      </c>
      <c r="H1095">
        <v>320000</v>
      </c>
      <c r="I1095">
        <v>1</v>
      </c>
      <c r="J1095" t="s">
        <v>47</v>
      </c>
      <c r="K1095">
        <f t="shared" si="17"/>
        <v>256000</v>
      </c>
    </row>
    <row r="1096" spans="1:11">
      <c r="A1096" t="s">
        <v>79</v>
      </c>
      <c r="B1096" t="s">
        <v>44</v>
      </c>
      <c r="C1096" t="s">
        <v>53</v>
      </c>
      <c r="D1096" t="s">
        <v>29</v>
      </c>
      <c r="E1096" t="s">
        <v>30</v>
      </c>
      <c r="F1096" t="s">
        <v>56</v>
      </c>
      <c r="G1096" t="s">
        <v>32</v>
      </c>
      <c r="H1096">
        <v>320000</v>
      </c>
      <c r="I1096">
        <v>1</v>
      </c>
      <c r="J1096" t="s">
        <v>58</v>
      </c>
      <c r="K1096">
        <f t="shared" si="17"/>
        <v>256000</v>
      </c>
    </row>
    <row r="1097" spans="1:11">
      <c r="A1097" t="s">
        <v>121</v>
      </c>
      <c r="B1097" t="s">
        <v>49</v>
      </c>
      <c r="C1097" t="s">
        <v>45</v>
      </c>
      <c r="D1097" t="s">
        <v>41</v>
      </c>
      <c r="E1097" t="s">
        <v>37</v>
      </c>
      <c r="F1097" t="s">
        <v>62</v>
      </c>
      <c r="G1097" t="s">
        <v>51</v>
      </c>
      <c r="H1097">
        <v>150000</v>
      </c>
      <c r="I1097">
        <v>1</v>
      </c>
      <c r="J1097" t="s">
        <v>69</v>
      </c>
      <c r="K1097">
        <f t="shared" si="17"/>
        <v>120000</v>
      </c>
    </row>
    <row r="1098" spans="1:11">
      <c r="A1098" t="s">
        <v>100</v>
      </c>
      <c r="B1098" t="s">
        <v>35</v>
      </c>
      <c r="C1098" t="s">
        <v>28</v>
      </c>
      <c r="D1098" t="s">
        <v>41</v>
      </c>
      <c r="E1098" t="s">
        <v>30</v>
      </c>
      <c r="F1098" t="s">
        <v>54</v>
      </c>
      <c r="G1098" t="s">
        <v>39</v>
      </c>
      <c r="H1098">
        <v>180000</v>
      </c>
      <c r="I1098">
        <v>10</v>
      </c>
      <c r="J1098" t="s">
        <v>47</v>
      </c>
      <c r="K1098">
        <f t="shared" si="17"/>
        <v>144000</v>
      </c>
    </row>
    <row r="1099" spans="1:11">
      <c r="A1099" t="s">
        <v>34</v>
      </c>
      <c r="B1099" t="s">
        <v>49</v>
      </c>
      <c r="C1099" t="s">
        <v>45</v>
      </c>
      <c r="D1099" t="s">
        <v>29</v>
      </c>
      <c r="E1099" t="s">
        <v>37</v>
      </c>
      <c r="F1099" t="s">
        <v>67</v>
      </c>
      <c r="G1099" t="s">
        <v>51</v>
      </c>
      <c r="H1099">
        <v>420000</v>
      </c>
      <c r="I1099">
        <v>3</v>
      </c>
      <c r="J1099" t="s">
        <v>42</v>
      </c>
      <c r="K1099">
        <f t="shared" si="17"/>
        <v>336000</v>
      </c>
    </row>
    <row r="1100" spans="1:11">
      <c r="A1100" t="s">
        <v>82</v>
      </c>
      <c r="B1100" t="s">
        <v>49</v>
      </c>
      <c r="C1100" t="s">
        <v>53</v>
      </c>
      <c r="D1100" t="s">
        <v>29</v>
      </c>
      <c r="E1100" t="s">
        <v>30</v>
      </c>
      <c r="F1100" t="s">
        <v>73</v>
      </c>
      <c r="G1100" t="s">
        <v>39</v>
      </c>
      <c r="H1100">
        <v>220000</v>
      </c>
      <c r="I1100">
        <v>10</v>
      </c>
      <c r="J1100" t="s">
        <v>69</v>
      </c>
      <c r="K1100">
        <f t="shared" si="17"/>
        <v>176000</v>
      </c>
    </row>
    <row r="1101" spans="1:11">
      <c r="A1101" t="s">
        <v>161</v>
      </c>
      <c r="B1101" t="s">
        <v>35</v>
      </c>
      <c r="C1101" t="s">
        <v>53</v>
      </c>
      <c r="D1101" t="s">
        <v>41</v>
      </c>
      <c r="E1101" t="s">
        <v>37</v>
      </c>
      <c r="F1101" t="s">
        <v>67</v>
      </c>
      <c r="G1101" t="s">
        <v>51</v>
      </c>
      <c r="H1101">
        <v>420000</v>
      </c>
      <c r="I1101">
        <v>9</v>
      </c>
      <c r="J1101" t="s">
        <v>58</v>
      </c>
      <c r="K1101">
        <f t="shared" si="17"/>
        <v>336000</v>
      </c>
    </row>
    <row r="1102" spans="1:11">
      <c r="A1102" t="s">
        <v>91</v>
      </c>
      <c r="B1102" t="s">
        <v>27</v>
      </c>
      <c r="C1102" t="s">
        <v>53</v>
      </c>
      <c r="D1102" t="s">
        <v>29</v>
      </c>
      <c r="E1102" t="s">
        <v>37</v>
      </c>
      <c r="F1102" t="s">
        <v>38</v>
      </c>
      <c r="G1102" t="s">
        <v>39</v>
      </c>
      <c r="H1102">
        <v>30000</v>
      </c>
      <c r="I1102">
        <v>6</v>
      </c>
      <c r="J1102" t="s">
        <v>69</v>
      </c>
      <c r="K1102">
        <f t="shared" si="17"/>
        <v>24000</v>
      </c>
    </row>
    <row r="1103" spans="1:11">
      <c r="A1103" t="s">
        <v>121</v>
      </c>
      <c r="B1103" t="s">
        <v>49</v>
      </c>
      <c r="C1103" t="s">
        <v>28</v>
      </c>
      <c r="D1103" t="s">
        <v>29</v>
      </c>
      <c r="E1103" t="s">
        <v>37</v>
      </c>
      <c r="F1103" t="s">
        <v>71</v>
      </c>
      <c r="G1103" t="s">
        <v>51</v>
      </c>
      <c r="H1103">
        <v>250000</v>
      </c>
      <c r="I1103">
        <v>10</v>
      </c>
      <c r="J1103" t="s">
        <v>42</v>
      </c>
      <c r="K1103">
        <f t="shared" si="17"/>
        <v>200000</v>
      </c>
    </row>
    <row r="1104" spans="1:11">
      <c r="A1104" t="s">
        <v>175</v>
      </c>
      <c r="B1104" t="s">
        <v>35</v>
      </c>
      <c r="C1104" t="s">
        <v>45</v>
      </c>
      <c r="D1104" t="s">
        <v>29</v>
      </c>
      <c r="E1104" t="s">
        <v>37</v>
      </c>
      <c r="F1104" t="s">
        <v>31</v>
      </c>
      <c r="G1104" t="s">
        <v>32</v>
      </c>
      <c r="H1104">
        <v>85000</v>
      </c>
      <c r="I1104">
        <v>6</v>
      </c>
      <c r="J1104" t="s">
        <v>69</v>
      </c>
      <c r="K1104">
        <f t="shared" si="17"/>
        <v>68000</v>
      </c>
    </row>
    <row r="1105" spans="1:11">
      <c r="A1105" t="s">
        <v>75</v>
      </c>
      <c r="B1105" t="s">
        <v>49</v>
      </c>
      <c r="C1105" t="s">
        <v>36</v>
      </c>
      <c r="D1105" t="s">
        <v>41</v>
      </c>
      <c r="E1105" t="s">
        <v>37</v>
      </c>
      <c r="F1105" t="s">
        <v>67</v>
      </c>
      <c r="G1105" t="s">
        <v>51</v>
      </c>
      <c r="H1105">
        <v>420000</v>
      </c>
      <c r="I1105">
        <v>3</v>
      </c>
      <c r="J1105" t="s">
        <v>65</v>
      </c>
      <c r="K1105">
        <f t="shared" si="17"/>
        <v>336000</v>
      </c>
    </row>
    <row r="1106" spans="1:11">
      <c r="A1106" t="s">
        <v>154</v>
      </c>
      <c r="B1106" t="s">
        <v>35</v>
      </c>
      <c r="C1106" t="s">
        <v>53</v>
      </c>
      <c r="D1106" t="s">
        <v>29</v>
      </c>
      <c r="E1106" t="s">
        <v>30</v>
      </c>
      <c r="F1106" t="s">
        <v>62</v>
      </c>
      <c r="G1106" t="s">
        <v>51</v>
      </c>
      <c r="H1106">
        <v>150000</v>
      </c>
      <c r="I1106">
        <v>8</v>
      </c>
      <c r="J1106" t="s">
        <v>33</v>
      </c>
      <c r="K1106">
        <f t="shared" si="17"/>
        <v>120000</v>
      </c>
    </row>
    <row r="1107" spans="1:11">
      <c r="A1107" t="s">
        <v>146</v>
      </c>
      <c r="B1107" t="s">
        <v>27</v>
      </c>
      <c r="C1107" t="s">
        <v>36</v>
      </c>
      <c r="D1107" t="s">
        <v>41</v>
      </c>
      <c r="E1107" t="s">
        <v>30</v>
      </c>
      <c r="F1107" t="s">
        <v>46</v>
      </c>
      <c r="G1107" t="s">
        <v>39</v>
      </c>
      <c r="H1107">
        <v>60000</v>
      </c>
      <c r="I1107">
        <v>5</v>
      </c>
      <c r="J1107" t="s">
        <v>58</v>
      </c>
      <c r="K1107">
        <f t="shared" si="17"/>
        <v>48000</v>
      </c>
    </row>
    <row r="1108" spans="1:11">
      <c r="A1108" t="s">
        <v>89</v>
      </c>
      <c r="B1108" t="s">
        <v>27</v>
      </c>
      <c r="C1108" t="s">
        <v>45</v>
      </c>
      <c r="D1108" t="s">
        <v>41</v>
      </c>
      <c r="E1108" t="s">
        <v>37</v>
      </c>
      <c r="F1108" t="s">
        <v>56</v>
      </c>
      <c r="G1108" t="s">
        <v>32</v>
      </c>
      <c r="H1108">
        <v>320000</v>
      </c>
      <c r="I1108">
        <v>9</v>
      </c>
      <c r="J1108" t="s">
        <v>65</v>
      </c>
      <c r="K1108">
        <f t="shared" si="17"/>
        <v>256000</v>
      </c>
    </row>
    <row r="1109" spans="1:11">
      <c r="A1109" t="s">
        <v>139</v>
      </c>
      <c r="B1109" t="s">
        <v>27</v>
      </c>
      <c r="C1109" t="s">
        <v>36</v>
      </c>
      <c r="D1109" t="s">
        <v>41</v>
      </c>
      <c r="E1109" t="s">
        <v>30</v>
      </c>
      <c r="F1109" t="s">
        <v>67</v>
      </c>
      <c r="G1109" t="s">
        <v>51</v>
      </c>
      <c r="H1109">
        <v>420000</v>
      </c>
      <c r="I1109">
        <v>5</v>
      </c>
      <c r="J1109" t="s">
        <v>33</v>
      </c>
      <c r="K1109">
        <f t="shared" si="17"/>
        <v>336000</v>
      </c>
    </row>
    <row r="1110" spans="1:11">
      <c r="A1110" t="s">
        <v>94</v>
      </c>
      <c r="B1110" t="s">
        <v>49</v>
      </c>
      <c r="C1110" t="s">
        <v>36</v>
      </c>
      <c r="D1110" t="s">
        <v>41</v>
      </c>
      <c r="E1110" t="s">
        <v>30</v>
      </c>
      <c r="F1110" t="s">
        <v>46</v>
      </c>
      <c r="G1110" t="s">
        <v>39</v>
      </c>
      <c r="H1110">
        <v>60000</v>
      </c>
      <c r="I1110">
        <v>9</v>
      </c>
      <c r="J1110" t="s">
        <v>47</v>
      </c>
      <c r="K1110">
        <f t="shared" si="17"/>
        <v>48000</v>
      </c>
    </row>
    <row r="1111" spans="1:11">
      <c r="A1111" t="s">
        <v>124</v>
      </c>
      <c r="B1111" t="s">
        <v>44</v>
      </c>
      <c r="C1111" t="s">
        <v>36</v>
      </c>
      <c r="D1111" t="s">
        <v>29</v>
      </c>
      <c r="E1111" t="s">
        <v>30</v>
      </c>
      <c r="F1111" t="s">
        <v>67</v>
      </c>
      <c r="G1111" t="s">
        <v>51</v>
      </c>
      <c r="H1111">
        <v>420000</v>
      </c>
      <c r="I1111">
        <v>1</v>
      </c>
      <c r="J1111" t="s">
        <v>69</v>
      </c>
      <c r="K1111">
        <f t="shared" si="17"/>
        <v>336000</v>
      </c>
    </row>
    <row r="1112" spans="1:11">
      <c r="A1112" t="s">
        <v>145</v>
      </c>
      <c r="B1112" t="s">
        <v>35</v>
      </c>
      <c r="C1112" t="s">
        <v>53</v>
      </c>
      <c r="D1112" t="s">
        <v>29</v>
      </c>
      <c r="E1112" t="s">
        <v>30</v>
      </c>
      <c r="F1112" t="s">
        <v>62</v>
      </c>
      <c r="G1112" t="s">
        <v>51</v>
      </c>
      <c r="H1112">
        <v>150000</v>
      </c>
      <c r="I1112">
        <v>9</v>
      </c>
      <c r="J1112" t="s">
        <v>65</v>
      </c>
      <c r="K1112">
        <f t="shared" si="17"/>
        <v>120000</v>
      </c>
    </row>
    <row r="1113" spans="1:11">
      <c r="A1113" t="s">
        <v>48</v>
      </c>
      <c r="B1113" t="s">
        <v>44</v>
      </c>
      <c r="C1113" t="s">
        <v>53</v>
      </c>
      <c r="D1113" t="s">
        <v>41</v>
      </c>
      <c r="E1113" t="s">
        <v>37</v>
      </c>
      <c r="F1113" t="s">
        <v>73</v>
      </c>
      <c r="G1113" t="s">
        <v>39</v>
      </c>
      <c r="H1113">
        <v>220000</v>
      </c>
      <c r="I1113">
        <v>7</v>
      </c>
      <c r="J1113" t="s">
        <v>33</v>
      </c>
      <c r="K1113">
        <f t="shared" si="17"/>
        <v>176000</v>
      </c>
    </row>
    <row r="1114" spans="1:11">
      <c r="A1114" t="s">
        <v>57</v>
      </c>
      <c r="B1114" t="s">
        <v>49</v>
      </c>
      <c r="C1114" t="s">
        <v>28</v>
      </c>
      <c r="D1114" t="s">
        <v>29</v>
      </c>
      <c r="E1114" t="s">
        <v>37</v>
      </c>
      <c r="F1114" t="s">
        <v>56</v>
      </c>
      <c r="G1114" t="s">
        <v>32</v>
      </c>
      <c r="H1114">
        <v>320000</v>
      </c>
      <c r="I1114">
        <v>3</v>
      </c>
      <c r="J1114" t="s">
        <v>58</v>
      </c>
      <c r="K1114">
        <f t="shared" si="17"/>
        <v>256000</v>
      </c>
    </row>
    <row r="1115" spans="1:11">
      <c r="A1115" t="s">
        <v>90</v>
      </c>
      <c r="B1115" t="s">
        <v>44</v>
      </c>
      <c r="C1115" t="s">
        <v>36</v>
      </c>
      <c r="D1115" t="s">
        <v>41</v>
      </c>
      <c r="E1115" t="s">
        <v>30</v>
      </c>
      <c r="F1115" t="s">
        <v>56</v>
      </c>
      <c r="G1115" t="s">
        <v>32</v>
      </c>
      <c r="H1115">
        <v>320000</v>
      </c>
      <c r="I1115">
        <v>8</v>
      </c>
      <c r="J1115" t="s">
        <v>65</v>
      </c>
      <c r="K1115">
        <f t="shared" si="17"/>
        <v>256000</v>
      </c>
    </row>
    <row r="1116" spans="1:11">
      <c r="A1116" t="s">
        <v>176</v>
      </c>
      <c r="B1116" t="s">
        <v>44</v>
      </c>
      <c r="C1116" t="s">
        <v>45</v>
      </c>
      <c r="D1116" t="s">
        <v>41</v>
      </c>
      <c r="E1116" t="s">
        <v>30</v>
      </c>
      <c r="F1116" t="s">
        <v>62</v>
      </c>
      <c r="G1116" t="s">
        <v>51</v>
      </c>
      <c r="H1116">
        <v>150000</v>
      </c>
      <c r="I1116">
        <v>3</v>
      </c>
      <c r="J1116" t="s">
        <v>65</v>
      </c>
      <c r="K1116">
        <f t="shared" si="17"/>
        <v>120000</v>
      </c>
    </row>
    <row r="1117" spans="1:11">
      <c r="A1117" t="s">
        <v>157</v>
      </c>
      <c r="B1117" t="s">
        <v>27</v>
      </c>
      <c r="C1117" t="s">
        <v>53</v>
      </c>
      <c r="D1117" t="s">
        <v>29</v>
      </c>
      <c r="E1117" t="s">
        <v>30</v>
      </c>
      <c r="F1117" t="s">
        <v>71</v>
      </c>
      <c r="G1117" t="s">
        <v>51</v>
      </c>
      <c r="H1117">
        <v>250000</v>
      </c>
      <c r="I1117">
        <v>9</v>
      </c>
      <c r="J1117" t="s">
        <v>33</v>
      </c>
      <c r="K1117">
        <f t="shared" si="17"/>
        <v>200000</v>
      </c>
    </row>
    <row r="1118" spans="1:11">
      <c r="A1118" t="s">
        <v>112</v>
      </c>
      <c r="B1118" t="s">
        <v>27</v>
      </c>
      <c r="C1118" t="s">
        <v>36</v>
      </c>
      <c r="D1118" t="s">
        <v>29</v>
      </c>
      <c r="E1118" t="s">
        <v>37</v>
      </c>
      <c r="F1118" t="s">
        <v>67</v>
      </c>
      <c r="G1118" t="s">
        <v>51</v>
      </c>
      <c r="H1118">
        <v>420000</v>
      </c>
      <c r="I1118">
        <v>7</v>
      </c>
      <c r="J1118" t="s">
        <v>47</v>
      </c>
      <c r="K1118">
        <f t="shared" si="17"/>
        <v>336000</v>
      </c>
    </row>
    <row r="1119" spans="1:11">
      <c r="A1119" t="s">
        <v>87</v>
      </c>
      <c r="B1119" t="s">
        <v>27</v>
      </c>
      <c r="C1119" t="s">
        <v>28</v>
      </c>
      <c r="D1119" t="s">
        <v>41</v>
      </c>
      <c r="E1119" t="s">
        <v>37</v>
      </c>
      <c r="F1119" t="s">
        <v>71</v>
      </c>
      <c r="G1119" t="s">
        <v>51</v>
      </c>
      <c r="H1119">
        <v>250000</v>
      </c>
      <c r="I1119">
        <v>10</v>
      </c>
      <c r="J1119" t="s">
        <v>42</v>
      </c>
      <c r="K1119">
        <f t="shared" si="17"/>
        <v>200000</v>
      </c>
    </row>
    <row r="1120" spans="1:11">
      <c r="A1120" t="s">
        <v>137</v>
      </c>
      <c r="B1120" t="s">
        <v>35</v>
      </c>
      <c r="C1120" t="s">
        <v>45</v>
      </c>
      <c r="D1120" t="s">
        <v>29</v>
      </c>
      <c r="E1120" t="s">
        <v>30</v>
      </c>
      <c r="F1120" t="s">
        <v>46</v>
      </c>
      <c r="G1120" t="s">
        <v>39</v>
      </c>
      <c r="H1120">
        <v>60000</v>
      </c>
      <c r="I1120">
        <v>4</v>
      </c>
      <c r="J1120" t="s">
        <v>42</v>
      </c>
      <c r="K1120">
        <f t="shared" si="17"/>
        <v>48000</v>
      </c>
    </row>
    <row r="1121" spans="1:11">
      <c r="A1121" t="s">
        <v>153</v>
      </c>
      <c r="B1121" t="s">
        <v>49</v>
      </c>
      <c r="C1121" t="s">
        <v>36</v>
      </c>
      <c r="D1121" t="s">
        <v>29</v>
      </c>
      <c r="E1121" t="s">
        <v>30</v>
      </c>
      <c r="F1121" t="s">
        <v>71</v>
      </c>
      <c r="G1121" t="s">
        <v>51</v>
      </c>
      <c r="H1121">
        <v>250000</v>
      </c>
      <c r="I1121">
        <v>4</v>
      </c>
      <c r="J1121" t="s">
        <v>33</v>
      </c>
      <c r="K1121">
        <f t="shared" si="17"/>
        <v>200000</v>
      </c>
    </row>
    <row r="1122" spans="1:11">
      <c r="A1122" t="s">
        <v>74</v>
      </c>
      <c r="B1122" t="s">
        <v>49</v>
      </c>
      <c r="C1122" t="s">
        <v>28</v>
      </c>
      <c r="D1122" t="s">
        <v>29</v>
      </c>
      <c r="E1122" t="s">
        <v>30</v>
      </c>
      <c r="F1122" t="s">
        <v>50</v>
      </c>
      <c r="G1122" t="s">
        <v>51</v>
      </c>
      <c r="H1122">
        <v>300000</v>
      </c>
      <c r="I1122">
        <v>3</v>
      </c>
      <c r="J1122" t="s">
        <v>69</v>
      </c>
      <c r="K1122">
        <f t="shared" si="17"/>
        <v>240000</v>
      </c>
    </row>
    <row r="1123" spans="1:11">
      <c r="A1123" t="s">
        <v>173</v>
      </c>
      <c r="B1123" t="s">
        <v>44</v>
      </c>
      <c r="C1123" t="s">
        <v>36</v>
      </c>
      <c r="D1123" t="s">
        <v>41</v>
      </c>
      <c r="E1123" t="s">
        <v>30</v>
      </c>
      <c r="F1123" t="s">
        <v>67</v>
      </c>
      <c r="G1123" t="s">
        <v>51</v>
      </c>
      <c r="H1123">
        <v>420000</v>
      </c>
      <c r="I1123">
        <v>9</v>
      </c>
      <c r="J1123" t="s">
        <v>65</v>
      </c>
      <c r="K1123">
        <f t="shared" si="17"/>
        <v>336000</v>
      </c>
    </row>
    <row r="1124" spans="1:11">
      <c r="A1124" t="s">
        <v>52</v>
      </c>
      <c r="B1124" t="s">
        <v>44</v>
      </c>
      <c r="C1124" t="s">
        <v>36</v>
      </c>
      <c r="D1124" t="s">
        <v>41</v>
      </c>
      <c r="E1124" t="s">
        <v>30</v>
      </c>
      <c r="F1124" t="s">
        <v>67</v>
      </c>
      <c r="G1124" t="s">
        <v>51</v>
      </c>
      <c r="H1124">
        <v>420000</v>
      </c>
      <c r="I1124">
        <v>7</v>
      </c>
      <c r="J1124" t="s">
        <v>47</v>
      </c>
      <c r="K1124">
        <f t="shared" si="17"/>
        <v>336000</v>
      </c>
    </row>
    <row r="1125" spans="1:11">
      <c r="A1125" t="s">
        <v>95</v>
      </c>
      <c r="B1125" t="s">
        <v>35</v>
      </c>
      <c r="C1125" t="s">
        <v>45</v>
      </c>
      <c r="D1125" t="s">
        <v>29</v>
      </c>
      <c r="E1125" t="s">
        <v>30</v>
      </c>
      <c r="F1125" t="s">
        <v>73</v>
      </c>
      <c r="G1125" t="s">
        <v>39</v>
      </c>
      <c r="H1125">
        <v>220000</v>
      </c>
      <c r="I1125">
        <v>9</v>
      </c>
      <c r="J1125" t="s">
        <v>69</v>
      </c>
      <c r="K1125">
        <f t="shared" si="17"/>
        <v>176000</v>
      </c>
    </row>
    <row r="1126" spans="1:11">
      <c r="A1126" t="s">
        <v>125</v>
      </c>
      <c r="B1126" t="s">
        <v>35</v>
      </c>
      <c r="C1126" t="s">
        <v>53</v>
      </c>
      <c r="D1126" t="s">
        <v>41</v>
      </c>
      <c r="E1126" t="s">
        <v>30</v>
      </c>
      <c r="F1126" t="s">
        <v>31</v>
      </c>
      <c r="G1126" t="s">
        <v>32</v>
      </c>
      <c r="H1126">
        <v>85000</v>
      </c>
      <c r="I1126">
        <v>8</v>
      </c>
      <c r="J1126" t="s">
        <v>47</v>
      </c>
      <c r="K1126">
        <f t="shared" si="17"/>
        <v>68000</v>
      </c>
    </row>
    <row r="1127" spans="1:11">
      <c r="A1127" t="s">
        <v>26</v>
      </c>
      <c r="B1127" t="s">
        <v>44</v>
      </c>
      <c r="C1127" t="s">
        <v>28</v>
      </c>
      <c r="D1127" t="s">
        <v>41</v>
      </c>
      <c r="E1127" t="s">
        <v>37</v>
      </c>
      <c r="F1127" t="s">
        <v>31</v>
      </c>
      <c r="G1127" t="s">
        <v>32</v>
      </c>
      <c r="H1127">
        <v>85000</v>
      </c>
      <c r="I1127">
        <v>5</v>
      </c>
      <c r="J1127" t="s">
        <v>58</v>
      </c>
      <c r="K1127">
        <f t="shared" si="17"/>
        <v>68000</v>
      </c>
    </row>
    <row r="1128" spans="1:11">
      <c r="A1128" t="s">
        <v>77</v>
      </c>
      <c r="B1128" t="s">
        <v>44</v>
      </c>
      <c r="C1128" t="s">
        <v>53</v>
      </c>
      <c r="D1128" t="s">
        <v>29</v>
      </c>
      <c r="E1128" t="s">
        <v>37</v>
      </c>
      <c r="F1128" t="s">
        <v>71</v>
      </c>
      <c r="G1128" t="s">
        <v>51</v>
      </c>
      <c r="H1128">
        <v>250000</v>
      </c>
      <c r="I1128">
        <v>6</v>
      </c>
      <c r="J1128" t="s">
        <v>69</v>
      </c>
      <c r="K1128">
        <f t="shared" si="17"/>
        <v>200000</v>
      </c>
    </row>
    <row r="1129" spans="1:11">
      <c r="A1129" t="s">
        <v>113</v>
      </c>
      <c r="B1129" t="s">
        <v>35</v>
      </c>
      <c r="C1129" t="s">
        <v>45</v>
      </c>
      <c r="D1129" t="s">
        <v>41</v>
      </c>
      <c r="E1129" t="s">
        <v>37</v>
      </c>
      <c r="F1129" t="s">
        <v>38</v>
      </c>
      <c r="G1129" t="s">
        <v>39</v>
      </c>
      <c r="H1129">
        <v>30000</v>
      </c>
      <c r="I1129">
        <v>8</v>
      </c>
      <c r="J1129" t="s">
        <v>69</v>
      </c>
      <c r="K1129">
        <f t="shared" si="17"/>
        <v>24000</v>
      </c>
    </row>
    <row r="1130" spans="1:11">
      <c r="A1130" t="s">
        <v>91</v>
      </c>
      <c r="B1130" t="s">
        <v>49</v>
      </c>
      <c r="C1130" t="s">
        <v>28</v>
      </c>
      <c r="D1130" t="s">
        <v>41</v>
      </c>
      <c r="E1130" t="s">
        <v>30</v>
      </c>
      <c r="F1130" t="s">
        <v>71</v>
      </c>
      <c r="G1130" t="s">
        <v>51</v>
      </c>
      <c r="H1130">
        <v>250000</v>
      </c>
      <c r="I1130">
        <v>6</v>
      </c>
      <c r="J1130" t="s">
        <v>65</v>
      </c>
      <c r="K1130">
        <f t="shared" si="17"/>
        <v>200000</v>
      </c>
    </row>
    <row r="1131" spans="1:11">
      <c r="A1131" t="s">
        <v>105</v>
      </c>
      <c r="B1131" t="s">
        <v>44</v>
      </c>
      <c r="C1131" t="s">
        <v>36</v>
      </c>
      <c r="D1131" t="s">
        <v>41</v>
      </c>
      <c r="E1131" t="s">
        <v>37</v>
      </c>
      <c r="F1131" t="s">
        <v>56</v>
      </c>
      <c r="G1131" t="s">
        <v>32</v>
      </c>
      <c r="H1131">
        <v>320000</v>
      </c>
      <c r="I1131">
        <v>10</v>
      </c>
      <c r="J1131" t="s">
        <v>58</v>
      </c>
      <c r="K1131">
        <f t="shared" si="17"/>
        <v>256000</v>
      </c>
    </row>
    <row r="1132" spans="1:11">
      <c r="A1132" t="s">
        <v>129</v>
      </c>
      <c r="B1132" t="s">
        <v>35</v>
      </c>
      <c r="C1132" t="s">
        <v>53</v>
      </c>
      <c r="D1132" t="s">
        <v>29</v>
      </c>
      <c r="E1132" t="s">
        <v>37</v>
      </c>
      <c r="F1132" t="s">
        <v>38</v>
      </c>
      <c r="G1132" t="s">
        <v>39</v>
      </c>
      <c r="H1132">
        <v>30000</v>
      </c>
      <c r="I1132">
        <v>4</v>
      </c>
      <c r="J1132" t="s">
        <v>58</v>
      </c>
      <c r="K1132">
        <f t="shared" si="17"/>
        <v>24000</v>
      </c>
    </row>
    <row r="1133" spans="1:11">
      <c r="A1133" t="s">
        <v>95</v>
      </c>
      <c r="B1133" t="s">
        <v>44</v>
      </c>
      <c r="C1133" t="s">
        <v>53</v>
      </c>
      <c r="D1133" t="s">
        <v>29</v>
      </c>
      <c r="E1133" t="s">
        <v>37</v>
      </c>
      <c r="F1133" t="s">
        <v>31</v>
      </c>
      <c r="G1133" t="s">
        <v>32</v>
      </c>
      <c r="H1133">
        <v>85000</v>
      </c>
      <c r="I1133">
        <v>10</v>
      </c>
      <c r="J1133" t="s">
        <v>33</v>
      </c>
      <c r="K1133">
        <f t="shared" si="17"/>
        <v>68000</v>
      </c>
    </row>
    <row r="1134" spans="1:11">
      <c r="A1134" t="s">
        <v>78</v>
      </c>
      <c r="B1134" t="s">
        <v>49</v>
      </c>
      <c r="C1134" t="s">
        <v>53</v>
      </c>
      <c r="D1134" t="s">
        <v>41</v>
      </c>
      <c r="E1134" t="s">
        <v>37</v>
      </c>
      <c r="F1134" t="s">
        <v>71</v>
      </c>
      <c r="G1134" t="s">
        <v>51</v>
      </c>
      <c r="H1134">
        <v>250000</v>
      </c>
      <c r="I1134">
        <v>6</v>
      </c>
      <c r="J1134" t="s">
        <v>47</v>
      </c>
      <c r="K1134">
        <f t="shared" si="17"/>
        <v>200000</v>
      </c>
    </row>
    <row r="1135" spans="1:11">
      <c r="A1135" t="s">
        <v>150</v>
      </c>
      <c r="B1135" t="s">
        <v>44</v>
      </c>
      <c r="C1135" t="s">
        <v>36</v>
      </c>
      <c r="D1135" t="s">
        <v>29</v>
      </c>
      <c r="E1135" t="s">
        <v>37</v>
      </c>
      <c r="F1135" t="s">
        <v>46</v>
      </c>
      <c r="G1135" t="s">
        <v>39</v>
      </c>
      <c r="H1135">
        <v>60000</v>
      </c>
      <c r="I1135">
        <v>10</v>
      </c>
      <c r="J1135" t="s">
        <v>42</v>
      </c>
      <c r="K1135">
        <f t="shared" si="17"/>
        <v>48000</v>
      </c>
    </row>
    <row r="1136" spans="1:11">
      <c r="A1136" t="s">
        <v>107</v>
      </c>
      <c r="B1136" t="s">
        <v>35</v>
      </c>
      <c r="C1136" t="s">
        <v>36</v>
      </c>
      <c r="D1136" t="s">
        <v>29</v>
      </c>
      <c r="E1136" t="s">
        <v>37</v>
      </c>
      <c r="F1136" t="s">
        <v>50</v>
      </c>
      <c r="G1136" t="s">
        <v>51</v>
      </c>
      <c r="H1136">
        <v>300000</v>
      </c>
      <c r="I1136">
        <v>3</v>
      </c>
      <c r="J1136" t="s">
        <v>42</v>
      </c>
      <c r="K1136">
        <f t="shared" si="17"/>
        <v>240000</v>
      </c>
    </row>
    <row r="1137" spans="1:11">
      <c r="A1137" t="s">
        <v>98</v>
      </c>
      <c r="B1137" t="s">
        <v>27</v>
      </c>
      <c r="C1137" t="s">
        <v>53</v>
      </c>
      <c r="D1137" t="s">
        <v>29</v>
      </c>
      <c r="E1137" t="s">
        <v>37</v>
      </c>
      <c r="F1137" t="s">
        <v>62</v>
      </c>
      <c r="G1137" t="s">
        <v>51</v>
      </c>
      <c r="H1137">
        <v>150000</v>
      </c>
      <c r="I1137">
        <v>10</v>
      </c>
      <c r="J1137" t="s">
        <v>69</v>
      </c>
      <c r="K1137">
        <f t="shared" si="17"/>
        <v>120000</v>
      </c>
    </row>
    <row r="1138" spans="1:11">
      <c r="A1138" t="s">
        <v>81</v>
      </c>
      <c r="B1138" t="s">
        <v>44</v>
      </c>
      <c r="C1138" t="s">
        <v>36</v>
      </c>
      <c r="D1138" t="s">
        <v>41</v>
      </c>
      <c r="E1138" t="s">
        <v>37</v>
      </c>
      <c r="F1138" t="s">
        <v>38</v>
      </c>
      <c r="G1138" t="s">
        <v>39</v>
      </c>
      <c r="H1138">
        <v>30000</v>
      </c>
      <c r="I1138">
        <v>7</v>
      </c>
      <c r="J1138" t="s">
        <v>58</v>
      </c>
      <c r="K1138">
        <f t="shared" si="17"/>
        <v>24000</v>
      </c>
    </row>
    <row r="1139" spans="1:11">
      <c r="A1139" t="s">
        <v>83</v>
      </c>
      <c r="B1139" t="s">
        <v>35</v>
      </c>
      <c r="C1139" t="s">
        <v>36</v>
      </c>
      <c r="D1139" t="s">
        <v>41</v>
      </c>
      <c r="E1139" t="s">
        <v>37</v>
      </c>
      <c r="F1139" t="s">
        <v>50</v>
      </c>
      <c r="G1139" t="s">
        <v>51</v>
      </c>
      <c r="H1139">
        <v>300000</v>
      </c>
      <c r="I1139">
        <v>9</v>
      </c>
      <c r="J1139" t="s">
        <v>65</v>
      </c>
      <c r="K1139">
        <f t="shared" si="17"/>
        <v>240000</v>
      </c>
    </row>
    <row r="1140" spans="1:11">
      <c r="A1140" t="s">
        <v>94</v>
      </c>
      <c r="B1140" t="s">
        <v>49</v>
      </c>
      <c r="C1140" t="s">
        <v>53</v>
      </c>
      <c r="D1140" t="s">
        <v>41</v>
      </c>
      <c r="E1140" t="s">
        <v>37</v>
      </c>
      <c r="F1140" t="s">
        <v>73</v>
      </c>
      <c r="G1140" t="s">
        <v>39</v>
      </c>
      <c r="H1140">
        <v>220000</v>
      </c>
      <c r="I1140">
        <v>4</v>
      </c>
      <c r="J1140" t="s">
        <v>47</v>
      </c>
      <c r="K1140">
        <f t="shared" si="17"/>
        <v>176000</v>
      </c>
    </row>
    <row r="1141" spans="1:11">
      <c r="A1141" t="s">
        <v>176</v>
      </c>
      <c r="B1141" t="s">
        <v>35</v>
      </c>
      <c r="C1141" t="s">
        <v>45</v>
      </c>
      <c r="D1141" t="s">
        <v>41</v>
      </c>
      <c r="E1141" t="s">
        <v>30</v>
      </c>
      <c r="F1141" t="s">
        <v>71</v>
      </c>
      <c r="G1141" t="s">
        <v>51</v>
      </c>
      <c r="H1141">
        <v>250000</v>
      </c>
      <c r="I1141">
        <v>9</v>
      </c>
      <c r="J1141" t="s">
        <v>33</v>
      </c>
      <c r="K1141">
        <f t="shared" si="17"/>
        <v>200000</v>
      </c>
    </row>
    <row r="1142" spans="1:11">
      <c r="A1142" t="s">
        <v>145</v>
      </c>
      <c r="B1142" t="s">
        <v>27</v>
      </c>
      <c r="C1142" t="s">
        <v>28</v>
      </c>
      <c r="D1142" t="s">
        <v>41</v>
      </c>
      <c r="E1142" t="s">
        <v>37</v>
      </c>
      <c r="F1142" t="s">
        <v>50</v>
      </c>
      <c r="G1142" t="s">
        <v>51</v>
      </c>
      <c r="H1142">
        <v>300000</v>
      </c>
      <c r="I1142">
        <v>4</v>
      </c>
      <c r="J1142" t="s">
        <v>69</v>
      </c>
      <c r="K1142">
        <f t="shared" si="17"/>
        <v>240000</v>
      </c>
    </row>
    <row r="1143" spans="1:11">
      <c r="A1143" t="s">
        <v>84</v>
      </c>
      <c r="B1143" t="s">
        <v>27</v>
      </c>
      <c r="C1143" t="s">
        <v>28</v>
      </c>
      <c r="D1143" t="s">
        <v>29</v>
      </c>
      <c r="E1143" t="s">
        <v>37</v>
      </c>
      <c r="F1143" t="s">
        <v>46</v>
      </c>
      <c r="G1143" t="s">
        <v>39</v>
      </c>
      <c r="H1143">
        <v>60000</v>
      </c>
      <c r="I1143">
        <v>10</v>
      </c>
      <c r="J1143" t="s">
        <v>65</v>
      </c>
      <c r="K1143">
        <f t="shared" si="17"/>
        <v>48000</v>
      </c>
    </row>
    <row r="1144" spans="1:11">
      <c r="A1144" t="s">
        <v>68</v>
      </c>
      <c r="B1144" t="s">
        <v>49</v>
      </c>
      <c r="C1144" t="s">
        <v>45</v>
      </c>
      <c r="D1144" t="s">
        <v>41</v>
      </c>
      <c r="E1144" t="s">
        <v>30</v>
      </c>
      <c r="F1144" t="s">
        <v>67</v>
      </c>
      <c r="G1144" t="s">
        <v>51</v>
      </c>
      <c r="H1144">
        <v>420000</v>
      </c>
      <c r="I1144">
        <v>10</v>
      </c>
      <c r="J1144" t="s">
        <v>47</v>
      </c>
      <c r="K1144">
        <f t="shared" si="17"/>
        <v>336000</v>
      </c>
    </row>
    <row r="1145" spans="1:11">
      <c r="A1145" t="s">
        <v>172</v>
      </c>
      <c r="B1145" t="s">
        <v>27</v>
      </c>
      <c r="C1145" t="s">
        <v>45</v>
      </c>
      <c r="D1145" t="s">
        <v>29</v>
      </c>
      <c r="E1145" t="s">
        <v>37</v>
      </c>
      <c r="F1145" t="s">
        <v>62</v>
      </c>
      <c r="G1145" t="s">
        <v>51</v>
      </c>
      <c r="H1145">
        <v>150000</v>
      </c>
      <c r="I1145">
        <v>1</v>
      </c>
      <c r="J1145" t="s">
        <v>69</v>
      </c>
      <c r="K1145">
        <f t="shared" si="17"/>
        <v>120000</v>
      </c>
    </row>
    <row r="1146" spans="1:11">
      <c r="A1146" t="s">
        <v>111</v>
      </c>
      <c r="B1146" t="s">
        <v>44</v>
      </c>
      <c r="C1146" t="s">
        <v>45</v>
      </c>
      <c r="D1146" t="s">
        <v>29</v>
      </c>
      <c r="E1146" t="s">
        <v>37</v>
      </c>
      <c r="F1146" t="s">
        <v>71</v>
      </c>
      <c r="G1146" t="s">
        <v>51</v>
      </c>
      <c r="H1146">
        <v>250000</v>
      </c>
      <c r="I1146">
        <v>7</v>
      </c>
      <c r="J1146" t="s">
        <v>42</v>
      </c>
      <c r="K1146">
        <f t="shared" si="17"/>
        <v>200000</v>
      </c>
    </row>
    <row r="1147" spans="1:11">
      <c r="A1147" t="s">
        <v>149</v>
      </c>
      <c r="B1147" t="s">
        <v>44</v>
      </c>
      <c r="C1147" t="s">
        <v>53</v>
      </c>
      <c r="D1147" t="s">
        <v>29</v>
      </c>
      <c r="E1147" t="s">
        <v>37</v>
      </c>
      <c r="F1147" t="s">
        <v>50</v>
      </c>
      <c r="G1147" t="s">
        <v>51</v>
      </c>
      <c r="H1147">
        <v>300000</v>
      </c>
      <c r="I1147">
        <v>9</v>
      </c>
      <c r="J1147" t="s">
        <v>47</v>
      </c>
      <c r="K1147">
        <f t="shared" si="17"/>
        <v>240000</v>
      </c>
    </row>
    <row r="1148" spans="1:11">
      <c r="A1148" t="s">
        <v>172</v>
      </c>
      <c r="B1148" t="s">
        <v>49</v>
      </c>
      <c r="C1148" t="s">
        <v>28</v>
      </c>
      <c r="D1148" t="s">
        <v>29</v>
      </c>
      <c r="E1148" t="s">
        <v>37</v>
      </c>
      <c r="F1148" t="s">
        <v>62</v>
      </c>
      <c r="G1148" t="s">
        <v>51</v>
      </c>
      <c r="H1148">
        <v>150000</v>
      </c>
      <c r="I1148">
        <v>2</v>
      </c>
      <c r="J1148" t="s">
        <v>65</v>
      </c>
      <c r="K1148">
        <f t="shared" si="17"/>
        <v>120000</v>
      </c>
    </row>
    <row r="1149" spans="1:11">
      <c r="A1149" t="s">
        <v>70</v>
      </c>
      <c r="B1149" t="s">
        <v>27</v>
      </c>
      <c r="C1149" t="s">
        <v>36</v>
      </c>
      <c r="D1149" t="s">
        <v>29</v>
      </c>
      <c r="E1149" t="s">
        <v>37</v>
      </c>
      <c r="F1149" t="s">
        <v>73</v>
      </c>
      <c r="G1149" t="s">
        <v>39</v>
      </c>
      <c r="H1149">
        <v>220000</v>
      </c>
      <c r="I1149">
        <v>9</v>
      </c>
      <c r="J1149" t="s">
        <v>42</v>
      </c>
      <c r="K1149">
        <f t="shared" si="17"/>
        <v>176000</v>
      </c>
    </row>
    <row r="1150" spans="1:11">
      <c r="A1150" t="s">
        <v>60</v>
      </c>
      <c r="B1150" t="s">
        <v>49</v>
      </c>
      <c r="C1150" t="s">
        <v>53</v>
      </c>
      <c r="D1150" t="s">
        <v>29</v>
      </c>
      <c r="E1150" t="s">
        <v>37</v>
      </c>
      <c r="F1150" t="s">
        <v>46</v>
      </c>
      <c r="G1150" t="s">
        <v>39</v>
      </c>
      <c r="H1150">
        <v>60000</v>
      </c>
      <c r="I1150">
        <v>5</v>
      </c>
      <c r="J1150" t="s">
        <v>33</v>
      </c>
      <c r="K1150">
        <f t="shared" si="17"/>
        <v>48000</v>
      </c>
    </row>
    <row r="1151" spans="1:11">
      <c r="A1151" t="s">
        <v>85</v>
      </c>
      <c r="B1151" t="s">
        <v>27</v>
      </c>
      <c r="C1151" t="s">
        <v>28</v>
      </c>
      <c r="D1151" t="s">
        <v>41</v>
      </c>
      <c r="E1151" t="s">
        <v>37</v>
      </c>
      <c r="F1151" t="s">
        <v>54</v>
      </c>
      <c r="G1151" t="s">
        <v>39</v>
      </c>
      <c r="H1151">
        <v>180000</v>
      </c>
      <c r="I1151">
        <v>6</v>
      </c>
      <c r="J1151" t="s">
        <v>58</v>
      </c>
      <c r="K1151">
        <f t="shared" si="17"/>
        <v>144000</v>
      </c>
    </row>
    <row r="1152" spans="1:11">
      <c r="A1152" t="s">
        <v>169</v>
      </c>
      <c r="B1152" t="s">
        <v>35</v>
      </c>
      <c r="C1152" t="s">
        <v>28</v>
      </c>
      <c r="D1152" t="s">
        <v>41</v>
      </c>
      <c r="E1152" t="s">
        <v>37</v>
      </c>
      <c r="F1152" t="s">
        <v>71</v>
      </c>
      <c r="G1152" t="s">
        <v>51</v>
      </c>
      <c r="H1152">
        <v>250000</v>
      </c>
      <c r="I1152">
        <v>10</v>
      </c>
      <c r="J1152" t="s">
        <v>33</v>
      </c>
      <c r="K1152">
        <f t="shared" si="17"/>
        <v>200000</v>
      </c>
    </row>
    <row r="1153" spans="1:11">
      <c r="A1153" t="s">
        <v>161</v>
      </c>
      <c r="B1153" t="s">
        <v>35</v>
      </c>
      <c r="C1153" t="s">
        <v>53</v>
      </c>
      <c r="D1153" t="s">
        <v>29</v>
      </c>
      <c r="E1153" t="s">
        <v>37</v>
      </c>
      <c r="F1153" t="s">
        <v>31</v>
      </c>
      <c r="G1153" t="s">
        <v>32</v>
      </c>
      <c r="H1153">
        <v>85000</v>
      </c>
      <c r="I1153">
        <v>1</v>
      </c>
      <c r="J1153" t="s">
        <v>65</v>
      </c>
      <c r="K1153">
        <f t="shared" si="17"/>
        <v>68000</v>
      </c>
    </row>
    <row r="1154" spans="1:11">
      <c r="A1154" t="s">
        <v>52</v>
      </c>
      <c r="B1154" t="s">
        <v>49</v>
      </c>
      <c r="C1154" t="s">
        <v>28</v>
      </c>
      <c r="D1154" t="s">
        <v>29</v>
      </c>
      <c r="E1154" t="s">
        <v>30</v>
      </c>
      <c r="F1154" t="s">
        <v>71</v>
      </c>
      <c r="G1154" t="s">
        <v>51</v>
      </c>
      <c r="H1154">
        <v>250000</v>
      </c>
      <c r="I1154">
        <v>9</v>
      </c>
      <c r="J1154" t="s">
        <v>42</v>
      </c>
      <c r="K1154">
        <f t="shared" ref="K1154:K1217" si="18">H1154-H1154*0.2</f>
        <v>200000</v>
      </c>
    </row>
    <row r="1155" spans="1:11">
      <c r="A1155" t="s">
        <v>168</v>
      </c>
      <c r="B1155" t="s">
        <v>35</v>
      </c>
      <c r="C1155" t="s">
        <v>36</v>
      </c>
      <c r="D1155" t="s">
        <v>29</v>
      </c>
      <c r="E1155" t="s">
        <v>30</v>
      </c>
      <c r="F1155" t="s">
        <v>71</v>
      </c>
      <c r="G1155" t="s">
        <v>51</v>
      </c>
      <c r="H1155">
        <v>250000</v>
      </c>
      <c r="I1155">
        <v>2</v>
      </c>
      <c r="J1155" t="s">
        <v>42</v>
      </c>
      <c r="K1155">
        <f t="shared" si="18"/>
        <v>200000</v>
      </c>
    </row>
    <row r="1156" spans="1:11">
      <c r="A1156" t="s">
        <v>159</v>
      </c>
      <c r="B1156" t="s">
        <v>44</v>
      </c>
      <c r="C1156" t="s">
        <v>36</v>
      </c>
      <c r="D1156" t="s">
        <v>29</v>
      </c>
      <c r="E1156" t="s">
        <v>30</v>
      </c>
      <c r="F1156" t="s">
        <v>71</v>
      </c>
      <c r="G1156" t="s">
        <v>51</v>
      </c>
      <c r="H1156">
        <v>250000</v>
      </c>
      <c r="I1156">
        <v>1</v>
      </c>
      <c r="J1156" t="s">
        <v>69</v>
      </c>
      <c r="K1156">
        <f t="shared" si="18"/>
        <v>200000</v>
      </c>
    </row>
    <row r="1157" spans="1:11">
      <c r="A1157" t="s">
        <v>88</v>
      </c>
      <c r="B1157" t="s">
        <v>27</v>
      </c>
      <c r="C1157" t="s">
        <v>28</v>
      </c>
      <c r="D1157" t="s">
        <v>41</v>
      </c>
      <c r="E1157" t="s">
        <v>37</v>
      </c>
      <c r="F1157" t="s">
        <v>50</v>
      </c>
      <c r="G1157" t="s">
        <v>51</v>
      </c>
      <c r="H1157">
        <v>300000</v>
      </c>
      <c r="I1157">
        <v>9</v>
      </c>
      <c r="J1157" t="s">
        <v>47</v>
      </c>
      <c r="K1157">
        <f t="shared" si="18"/>
        <v>240000</v>
      </c>
    </row>
    <row r="1158" spans="1:11">
      <c r="A1158" t="s">
        <v>52</v>
      </c>
      <c r="B1158" t="s">
        <v>27</v>
      </c>
      <c r="C1158" t="s">
        <v>36</v>
      </c>
      <c r="D1158" t="s">
        <v>41</v>
      </c>
      <c r="E1158" t="s">
        <v>30</v>
      </c>
      <c r="F1158" t="s">
        <v>56</v>
      </c>
      <c r="G1158" t="s">
        <v>32</v>
      </c>
      <c r="H1158">
        <v>320000</v>
      </c>
      <c r="I1158">
        <v>10</v>
      </c>
      <c r="J1158" t="s">
        <v>42</v>
      </c>
      <c r="K1158">
        <f t="shared" si="18"/>
        <v>256000</v>
      </c>
    </row>
    <row r="1159" spans="1:11">
      <c r="A1159" t="s">
        <v>175</v>
      </c>
      <c r="B1159" t="s">
        <v>44</v>
      </c>
      <c r="C1159" t="s">
        <v>36</v>
      </c>
      <c r="D1159" t="s">
        <v>41</v>
      </c>
      <c r="E1159" t="s">
        <v>30</v>
      </c>
      <c r="F1159" t="s">
        <v>54</v>
      </c>
      <c r="G1159" t="s">
        <v>39</v>
      </c>
      <c r="H1159">
        <v>180000</v>
      </c>
      <c r="I1159">
        <v>9</v>
      </c>
      <c r="J1159" t="s">
        <v>65</v>
      </c>
      <c r="K1159">
        <f t="shared" si="18"/>
        <v>144000</v>
      </c>
    </row>
    <row r="1160" spans="1:11">
      <c r="A1160" t="s">
        <v>138</v>
      </c>
      <c r="B1160" t="s">
        <v>44</v>
      </c>
      <c r="C1160" t="s">
        <v>45</v>
      </c>
      <c r="D1160" t="s">
        <v>41</v>
      </c>
      <c r="E1160" t="s">
        <v>30</v>
      </c>
      <c r="F1160" t="s">
        <v>71</v>
      </c>
      <c r="G1160" t="s">
        <v>51</v>
      </c>
      <c r="H1160">
        <v>250000</v>
      </c>
      <c r="I1160">
        <v>1</v>
      </c>
      <c r="J1160" t="s">
        <v>69</v>
      </c>
      <c r="K1160">
        <f t="shared" si="18"/>
        <v>200000</v>
      </c>
    </row>
    <row r="1161" spans="1:11">
      <c r="A1161" t="s">
        <v>109</v>
      </c>
      <c r="B1161" t="s">
        <v>44</v>
      </c>
      <c r="C1161" t="s">
        <v>53</v>
      </c>
      <c r="D1161" t="s">
        <v>41</v>
      </c>
      <c r="E1161" t="s">
        <v>30</v>
      </c>
      <c r="F1161" t="s">
        <v>31</v>
      </c>
      <c r="G1161" t="s">
        <v>32</v>
      </c>
      <c r="H1161">
        <v>85000</v>
      </c>
      <c r="I1161">
        <v>7</v>
      </c>
      <c r="J1161" t="s">
        <v>69</v>
      </c>
      <c r="K1161">
        <f t="shared" si="18"/>
        <v>68000</v>
      </c>
    </row>
    <row r="1162" spans="1:11">
      <c r="A1162" t="s">
        <v>165</v>
      </c>
      <c r="B1162" t="s">
        <v>27</v>
      </c>
      <c r="C1162" t="s">
        <v>28</v>
      </c>
      <c r="D1162" t="s">
        <v>29</v>
      </c>
      <c r="E1162" t="s">
        <v>37</v>
      </c>
      <c r="F1162" t="s">
        <v>38</v>
      </c>
      <c r="G1162" t="s">
        <v>39</v>
      </c>
      <c r="H1162">
        <v>30000</v>
      </c>
      <c r="I1162">
        <v>6</v>
      </c>
      <c r="J1162" t="s">
        <v>47</v>
      </c>
      <c r="K1162">
        <f t="shared" si="18"/>
        <v>24000</v>
      </c>
    </row>
    <row r="1163" spans="1:11">
      <c r="A1163" t="s">
        <v>133</v>
      </c>
      <c r="B1163" t="s">
        <v>27</v>
      </c>
      <c r="C1163" t="s">
        <v>36</v>
      </c>
      <c r="D1163" t="s">
        <v>29</v>
      </c>
      <c r="E1163" t="s">
        <v>37</v>
      </c>
      <c r="F1163" t="s">
        <v>38</v>
      </c>
      <c r="G1163" t="s">
        <v>39</v>
      </c>
      <c r="H1163">
        <v>30000</v>
      </c>
      <c r="I1163">
        <v>6</v>
      </c>
      <c r="J1163" t="s">
        <v>42</v>
      </c>
      <c r="K1163">
        <f t="shared" si="18"/>
        <v>24000</v>
      </c>
    </row>
    <row r="1164" spans="1:11">
      <c r="A1164" t="s">
        <v>135</v>
      </c>
      <c r="B1164" t="s">
        <v>27</v>
      </c>
      <c r="C1164" t="s">
        <v>28</v>
      </c>
      <c r="D1164" t="s">
        <v>41</v>
      </c>
      <c r="E1164" t="s">
        <v>37</v>
      </c>
      <c r="F1164" t="s">
        <v>56</v>
      </c>
      <c r="G1164" t="s">
        <v>32</v>
      </c>
      <c r="H1164">
        <v>320000</v>
      </c>
      <c r="I1164">
        <v>2</v>
      </c>
      <c r="J1164" t="s">
        <v>65</v>
      </c>
      <c r="K1164">
        <f t="shared" si="18"/>
        <v>256000</v>
      </c>
    </row>
    <row r="1165" spans="1:11">
      <c r="A1165" t="s">
        <v>176</v>
      </c>
      <c r="B1165" t="s">
        <v>27</v>
      </c>
      <c r="C1165" t="s">
        <v>53</v>
      </c>
      <c r="D1165" t="s">
        <v>29</v>
      </c>
      <c r="E1165" t="s">
        <v>37</v>
      </c>
      <c r="F1165" t="s">
        <v>46</v>
      </c>
      <c r="G1165" t="s">
        <v>39</v>
      </c>
      <c r="H1165">
        <v>60000</v>
      </c>
      <c r="I1165">
        <v>6</v>
      </c>
      <c r="J1165" t="s">
        <v>42</v>
      </c>
      <c r="K1165">
        <f t="shared" si="18"/>
        <v>48000</v>
      </c>
    </row>
    <row r="1166" spans="1:11">
      <c r="A1166" t="s">
        <v>177</v>
      </c>
      <c r="B1166" t="s">
        <v>27</v>
      </c>
      <c r="C1166" t="s">
        <v>36</v>
      </c>
      <c r="D1166" t="s">
        <v>29</v>
      </c>
      <c r="E1166" t="s">
        <v>37</v>
      </c>
      <c r="F1166" t="s">
        <v>73</v>
      </c>
      <c r="G1166" t="s">
        <v>39</v>
      </c>
      <c r="H1166">
        <v>220000</v>
      </c>
      <c r="I1166">
        <v>10</v>
      </c>
      <c r="J1166" t="s">
        <v>69</v>
      </c>
      <c r="K1166">
        <f t="shared" si="18"/>
        <v>176000</v>
      </c>
    </row>
    <row r="1167" spans="1:11">
      <c r="A1167" t="s">
        <v>108</v>
      </c>
      <c r="B1167" t="s">
        <v>27</v>
      </c>
      <c r="C1167" t="s">
        <v>53</v>
      </c>
      <c r="D1167" t="s">
        <v>29</v>
      </c>
      <c r="E1167" t="s">
        <v>30</v>
      </c>
      <c r="F1167" t="s">
        <v>46</v>
      </c>
      <c r="G1167" t="s">
        <v>39</v>
      </c>
      <c r="H1167">
        <v>60000</v>
      </c>
      <c r="I1167">
        <v>6</v>
      </c>
      <c r="J1167" t="s">
        <v>69</v>
      </c>
      <c r="K1167">
        <f t="shared" si="18"/>
        <v>48000</v>
      </c>
    </row>
    <row r="1168" spans="1:11">
      <c r="A1168" t="s">
        <v>84</v>
      </c>
      <c r="B1168" t="s">
        <v>27</v>
      </c>
      <c r="C1168" t="s">
        <v>45</v>
      </c>
      <c r="D1168" t="s">
        <v>29</v>
      </c>
      <c r="E1168" t="s">
        <v>30</v>
      </c>
      <c r="F1168" t="s">
        <v>73</v>
      </c>
      <c r="G1168" t="s">
        <v>39</v>
      </c>
      <c r="H1168">
        <v>220000</v>
      </c>
      <c r="I1168">
        <v>7</v>
      </c>
      <c r="J1168" t="s">
        <v>65</v>
      </c>
      <c r="K1168">
        <f t="shared" si="18"/>
        <v>176000</v>
      </c>
    </row>
    <row r="1169" spans="1:11">
      <c r="A1169" t="s">
        <v>63</v>
      </c>
      <c r="B1169" t="s">
        <v>35</v>
      </c>
      <c r="C1169" t="s">
        <v>36</v>
      </c>
      <c r="D1169" t="s">
        <v>41</v>
      </c>
      <c r="E1169" t="s">
        <v>37</v>
      </c>
      <c r="F1169" t="s">
        <v>67</v>
      </c>
      <c r="G1169" t="s">
        <v>51</v>
      </c>
      <c r="H1169">
        <v>420000</v>
      </c>
      <c r="I1169">
        <v>8</v>
      </c>
      <c r="J1169" t="s">
        <v>65</v>
      </c>
      <c r="K1169">
        <f t="shared" si="18"/>
        <v>336000</v>
      </c>
    </row>
    <row r="1170" spans="1:11">
      <c r="A1170" t="s">
        <v>100</v>
      </c>
      <c r="B1170" t="s">
        <v>35</v>
      </c>
      <c r="C1170" t="s">
        <v>36</v>
      </c>
      <c r="D1170" t="s">
        <v>29</v>
      </c>
      <c r="E1170" t="s">
        <v>37</v>
      </c>
      <c r="F1170" t="s">
        <v>67</v>
      </c>
      <c r="G1170" t="s">
        <v>51</v>
      </c>
      <c r="H1170">
        <v>420000</v>
      </c>
      <c r="I1170">
        <v>1</v>
      </c>
      <c r="J1170" t="s">
        <v>69</v>
      </c>
      <c r="K1170">
        <f t="shared" si="18"/>
        <v>336000</v>
      </c>
    </row>
    <row r="1171" spans="1:11">
      <c r="A1171" t="s">
        <v>177</v>
      </c>
      <c r="B1171" t="s">
        <v>35</v>
      </c>
      <c r="C1171" t="s">
        <v>28</v>
      </c>
      <c r="D1171" t="s">
        <v>41</v>
      </c>
      <c r="E1171" t="s">
        <v>37</v>
      </c>
      <c r="F1171" t="s">
        <v>71</v>
      </c>
      <c r="G1171" t="s">
        <v>51</v>
      </c>
      <c r="H1171">
        <v>250000</v>
      </c>
      <c r="I1171">
        <v>9</v>
      </c>
      <c r="J1171" t="s">
        <v>65</v>
      </c>
      <c r="K1171">
        <f t="shared" si="18"/>
        <v>200000</v>
      </c>
    </row>
    <row r="1172" spans="1:11">
      <c r="A1172" t="s">
        <v>174</v>
      </c>
      <c r="B1172" t="s">
        <v>49</v>
      </c>
      <c r="C1172" t="s">
        <v>53</v>
      </c>
      <c r="D1172" t="s">
        <v>29</v>
      </c>
      <c r="E1172" t="s">
        <v>30</v>
      </c>
      <c r="F1172" t="s">
        <v>38</v>
      </c>
      <c r="G1172" t="s">
        <v>39</v>
      </c>
      <c r="H1172">
        <v>30000</v>
      </c>
      <c r="I1172">
        <v>3</v>
      </c>
      <c r="J1172" t="s">
        <v>42</v>
      </c>
      <c r="K1172">
        <f t="shared" si="18"/>
        <v>24000</v>
      </c>
    </row>
    <row r="1173" spans="1:11">
      <c r="A1173" t="s">
        <v>76</v>
      </c>
      <c r="B1173" t="s">
        <v>49</v>
      </c>
      <c r="C1173" t="s">
        <v>45</v>
      </c>
      <c r="D1173" t="s">
        <v>29</v>
      </c>
      <c r="E1173" t="s">
        <v>30</v>
      </c>
      <c r="F1173" t="s">
        <v>56</v>
      </c>
      <c r="G1173" t="s">
        <v>32</v>
      </c>
      <c r="H1173">
        <v>320000</v>
      </c>
      <c r="I1173">
        <v>1</v>
      </c>
      <c r="J1173" t="s">
        <v>69</v>
      </c>
      <c r="K1173">
        <f t="shared" si="18"/>
        <v>256000</v>
      </c>
    </row>
    <row r="1174" spans="1:11">
      <c r="A1174" t="s">
        <v>159</v>
      </c>
      <c r="B1174" t="s">
        <v>27</v>
      </c>
      <c r="C1174" t="s">
        <v>53</v>
      </c>
      <c r="D1174" t="s">
        <v>41</v>
      </c>
      <c r="E1174" t="s">
        <v>30</v>
      </c>
      <c r="F1174" t="s">
        <v>56</v>
      </c>
      <c r="G1174" t="s">
        <v>32</v>
      </c>
      <c r="H1174">
        <v>320000</v>
      </c>
      <c r="I1174">
        <v>10</v>
      </c>
      <c r="J1174" t="s">
        <v>47</v>
      </c>
      <c r="K1174">
        <f t="shared" si="18"/>
        <v>256000</v>
      </c>
    </row>
    <row r="1175" spans="1:11">
      <c r="A1175" t="s">
        <v>106</v>
      </c>
      <c r="B1175" t="s">
        <v>49</v>
      </c>
      <c r="C1175" t="s">
        <v>36</v>
      </c>
      <c r="D1175" t="s">
        <v>41</v>
      </c>
      <c r="E1175" t="s">
        <v>30</v>
      </c>
      <c r="F1175" t="s">
        <v>54</v>
      </c>
      <c r="G1175" t="s">
        <v>39</v>
      </c>
      <c r="H1175">
        <v>180000</v>
      </c>
      <c r="I1175">
        <v>4</v>
      </c>
      <c r="J1175" t="s">
        <v>47</v>
      </c>
      <c r="K1175">
        <f t="shared" si="18"/>
        <v>144000</v>
      </c>
    </row>
    <row r="1176" spans="1:11">
      <c r="A1176" t="s">
        <v>75</v>
      </c>
      <c r="B1176" t="s">
        <v>27</v>
      </c>
      <c r="C1176" t="s">
        <v>36</v>
      </c>
      <c r="D1176" t="s">
        <v>29</v>
      </c>
      <c r="E1176" t="s">
        <v>37</v>
      </c>
      <c r="F1176" t="s">
        <v>67</v>
      </c>
      <c r="G1176" t="s">
        <v>51</v>
      </c>
      <c r="H1176">
        <v>420000</v>
      </c>
      <c r="I1176">
        <v>5</v>
      </c>
      <c r="J1176" t="s">
        <v>65</v>
      </c>
      <c r="K1176">
        <f t="shared" si="18"/>
        <v>336000</v>
      </c>
    </row>
    <row r="1177" spans="1:11">
      <c r="A1177" t="s">
        <v>102</v>
      </c>
      <c r="B1177" t="s">
        <v>49</v>
      </c>
      <c r="C1177" t="s">
        <v>53</v>
      </c>
      <c r="D1177" t="s">
        <v>29</v>
      </c>
      <c r="E1177" t="s">
        <v>30</v>
      </c>
      <c r="F1177" t="s">
        <v>46</v>
      </c>
      <c r="G1177" t="s">
        <v>39</v>
      </c>
      <c r="H1177">
        <v>60000</v>
      </c>
      <c r="I1177">
        <v>5</v>
      </c>
      <c r="J1177" t="s">
        <v>42</v>
      </c>
      <c r="K1177">
        <f t="shared" si="18"/>
        <v>48000</v>
      </c>
    </row>
    <row r="1178" spans="1:11">
      <c r="A1178" t="s">
        <v>74</v>
      </c>
      <c r="B1178" t="s">
        <v>49</v>
      </c>
      <c r="C1178" t="s">
        <v>53</v>
      </c>
      <c r="D1178" t="s">
        <v>29</v>
      </c>
      <c r="E1178" t="s">
        <v>37</v>
      </c>
      <c r="F1178" t="s">
        <v>46</v>
      </c>
      <c r="G1178" t="s">
        <v>39</v>
      </c>
      <c r="H1178">
        <v>60000</v>
      </c>
      <c r="I1178">
        <v>9</v>
      </c>
      <c r="J1178" t="s">
        <v>65</v>
      </c>
      <c r="K1178">
        <f t="shared" si="18"/>
        <v>48000</v>
      </c>
    </row>
    <row r="1179" spans="1:11">
      <c r="A1179" t="s">
        <v>26</v>
      </c>
      <c r="B1179" t="s">
        <v>35</v>
      </c>
      <c r="C1179" t="s">
        <v>45</v>
      </c>
      <c r="D1179" t="s">
        <v>41</v>
      </c>
      <c r="E1179" t="s">
        <v>37</v>
      </c>
      <c r="F1179" t="s">
        <v>50</v>
      </c>
      <c r="G1179" t="s">
        <v>51</v>
      </c>
      <c r="H1179">
        <v>300000</v>
      </c>
      <c r="I1179">
        <v>10</v>
      </c>
      <c r="J1179" t="s">
        <v>42</v>
      </c>
      <c r="K1179">
        <f t="shared" si="18"/>
        <v>240000</v>
      </c>
    </row>
    <row r="1180" spans="1:11">
      <c r="A1180" t="s">
        <v>123</v>
      </c>
      <c r="B1180" t="s">
        <v>44</v>
      </c>
      <c r="C1180" t="s">
        <v>53</v>
      </c>
      <c r="D1180" t="s">
        <v>29</v>
      </c>
      <c r="E1180" t="s">
        <v>37</v>
      </c>
      <c r="F1180" t="s">
        <v>67</v>
      </c>
      <c r="G1180" t="s">
        <v>51</v>
      </c>
      <c r="H1180">
        <v>420000</v>
      </c>
      <c r="I1180">
        <v>8</v>
      </c>
      <c r="J1180" t="s">
        <v>69</v>
      </c>
      <c r="K1180">
        <f t="shared" si="18"/>
        <v>336000</v>
      </c>
    </row>
    <row r="1181" spans="1:11">
      <c r="A1181" t="s">
        <v>55</v>
      </c>
      <c r="B1181" t="s">
        <v>44</v>
      </c>
      <c r="C1181" t="s">
        <v>45</v>
      </c>
      <c r="D1181" t="s">
        <v>41</v>
      </c>
      <c r="E1181" t="s">
        <v>37</v>
      </c>
      <c r="F1181" t="s">
        <v>54</v>
      </c>
      <c r="G1181" t="s">
        <v>39</v>
      </c>
      <c r="H1181">
        <v>180000</v>
      </c>
      <c r="I1181">
        <v>4</v>
      </c>
      <c r="J1181" t="s">
        <v>42</v>
      </c>
      <c r="K1181">
        <f t="shared" si="18"/>
        <v>144000</v>
      </c>
    </row>
    <row r="1182" spans="1:11">
      <c r="A1182" t="s">
        <v>86</v>
      </c>
      <c r="B1182" t="s">
        <v>35</v>
      </c>
      <c r="C1182" t="s">
        <v>45</v>
      </c>
      <c r="D1182" t="s">
        <v>29</v>
      </c>
      <c r="E1182" t="s">
        <v>37</v>
      </c>
      <c r="F1182" t="s">
        <v>38</v>
      </c>
      <c r="G1182" t="s">
        <v>39</v>
      </c>
      <c r="H1182">
        <v>30000</v>
      </c>
      <c r="I1182">
        <v>5</v>
      </c>
      <c r="J1182" t="s">
        <v>65</v>
      </c>
      <c r="K1182">
        <f t="shared" si="18"/>
        <v>24000</v>
      </c>
    </row>
    <row r="1183" spans="1:11">
      <c r="A1183" t="s">
        <v>92</v>
      </c>
      <c r="B1183" t="s">
        <v>49</v>
      </c>
      <c r="C1183" t="s">
        <v>36</v>
      </c>
      <c r="D1183" t="s">
        <v>29</v>
      </c>
      <c r="E1183" t="s">
        <v>30</v>
      </c>
      <c r="F1183" t="s">
        <v>71</v>
      </c>
      <c r="G1183" t="s">
        <v>51</v>
      </c>
      <c r="H1183">
        <v>250000</v>
      </c>
      <c r="I1183">
        <v>3</v>
      </c>
      <c r="J1183" t="s">
        <v>42</v>
      </c>
      <c r="K1183">
        <f t="shared" si="18"/>
        <v>200000</v>
      </c>
    </row>
    <row r="1184" spans="1:11">
      <c r="A1184" t="s">
        <v>59</v>
      </c>
      <c r="B1184" t="s">
        <v>35</v>
      </c>
      <c r="C1184" t="s">
        <v>45</v>
      </c>
      <c r="D1184" t="s">
        <v>41</v>
      </c>
      <c r="E1184" t="s">
        <v>37</v>
      </c>
      <c r="F1184" t="s">
        <v>31</v>
      </c>
      <c r="G1184" t="s">
        <v>32</v>
      </c>
      <c r="H1184">
        <v>85000</v>
      </c>
      <c r="I1184">
        <v>8</v>
      </c>
      <c r="J1184" t="s">
        <v>47</v>
      </c>
      <c r="K1184">
        <f t="shared" si="18"/>
        <v>68000</v>
      </c>
    </row>
    <row r="1185" spans="1:11">
      <c r="A1185" t="s">
        <v>152</v>
      </c>
      <c r="B1185" t="s">
        <v>44</v>
      </c>
      <c r="C1185" t="s">
        <v>28</v>
      </c>
      <c r="D1185" t="s">
        <v>41</v>
      </c>
      <c r="E1185" t="s">
        <v>30</v>
      </c>
      <c r="F1185" t="s">
        <v>46</v>
      </c>
      <c r="G1185" t="s">
        <v>39</v>
      </c>
      <c r="H1185">
        <v>60000</v>
      </c>
      <c r="I1185">
        <v>8</v>
      </c>
      <c r="J1185" t="s">
        <v>65</v>
      </c>
      <c r="K1185">
        <f t="shared" si="18"/>
        <v>48000</v>
      </c>
    </row>
    <row r="1186" spans="1:11">
      <c r="A1186" t="s">
        <v>177</v>
      </c>
      <c r="B1186" t="s">
        <v>44</v>
      </c>
      <c r="C1186" t="s">
        <v>28</v>
      </c>
      <c r="D1186" t="s">
        <v>41</v>
      </c>
      <c r="E1186" t="s">
        <v>37</v>
      </c>
      <c r="F1186" t="s">
        <v>62</v>
      </c>
      <c r="G1186" t="s">
        <v>51</v>
      </c>
      <c r="H1186">
        <v>150000</v>
      </c>
      <c r="I1186">
        <v>5</v>
      </c>
      <c r="J1186" t="s">
        <v>33</v>
      </c>
      <c r="K1186">
        <f t="shared" si="18"/>
        <v>120000</v>
      </c>
    </row>
    <row r="1187" spans="1:11">
      <c r="A1187" t="s">
        <v>104</v>
      </c>
      <c r="B1187" t="s">
        <v>49</v>
      </c>
      <c r="C1187" t="s">
        <v>28</v>
      </c>
      <c r="D1187" t="s">
        <v>41</v>
      </c>
      <c r="E1187" t="s">
        <v>30</v>
      </c>
      <c r="F1187" t="s">
        <v>56</v>
      </c>
      <c r="G1187" t="s">
        <v>32</v>
      </c>
      <c r="H1187">
        <v>320000</v>
      </c>
      <c r="I1187">
        <v>9</v>
      </c>
      <c r="J1187" t="s">
        <v>58</v>
      </c>
      <c r="K1187">
        <f t="shared" si="18"/>
        <v>256000</v>
      </c>
    </row>
    <row r="1188" spans="1:11">
      <c r="A1188" t="s">
        <v>86</v>
      </c>
      <c r="B1188" t="s">
        <v>49</v>
      </c>
      <c r="C1188" t="s">
        <v>53</v>
      </c>
      <c r="D1188" t="s">
        <v>41</v>
      </c>
      <c r="E1188" t="s">
        <v>30</v>
      </c>
      <c r="F1188" t="s">
        <v>67</v>
      </c>
      <c r="G1188" t="s">
        <v>51</v>
      </c>
      <c r="H1188">
        <v>420000</v>
      </c>
      <c r="I1188">
        <v>7</v>
      </c>
      <c r="J1188" t="s">
        <v>33</v>
      </c>
      <c r="K1188">
        <f t="shared" si="18"/>
        <v>336000</v>
      </c>
    </row>
    <row r="1189" spans="1:11">
      <c r="A1189" t="s">
        <v>106</v>
      </c>
      <c r="B1189" t="s">
        <v>44</v>
      </c>
      <c r="C1189" t="s">
        <v>45</v>
      </c>
      <c r="D1189" t="s">
        <v>41</v>
      </c>
      <c r="E1189" t="s">
        <v>37</v>
      </c>
      <c r="F1189" t="s">
        <v>46</v>
      </c>
      <c r="G1189" t="s">
        <v>39</v>
      </c>
      <c r="H1189">
        <v>60000</v>
      </c>
      <c r="I1189">
        <v>6</v>
      </c>
      <c r="J1189" t="s">
        <v>65</v>
      </c>
      <c r="K1189">
        <f t="shared" si="18"/>
        <v>48000</v>
      </c>
    </row>
    <row r="1190" spans="1:11">
      <c r="A1190" t="s">
        <v>171</v>
      </c>
      <c r="B1190" t="s">
        <v>49</v>
      </c>
      <c r="C1190" t="s">
        <v>28</v>
      </c>
      <c r="D1190" t="s">
        <v>29</v>
      </c>
      <c r="E1190" t="s">
        <v>37</v>
      </c>
      <c r="F1190" t="s">
        <v>62</v>
      </c>
      <c r="G1190" t="s">
        <v>51</v>
      </c>
      <c r="H1190">
        <v>150000</v>
      </c>
      <c r="I1190">
        <v>7</v>
      </c>
      <c r="J1190" t="s">
        <v>69</v>
      </c>
      <c r="K1190">
        <f t="shared" si="18"/>
        <v>120000</v>
      </c>
    </row>
    <row r="1191" spans="1:11">
      <c r="A1191" t="s">
        <v>66</v>
      </c>
      <c r="B1191" t="s">
        <v>35</v>
      </c>
      <c r="C1191" t="s">
        <v>45</v>
      </c>
      <c r="D1191" t="s">
        <v>29</v>
      </c>
      <c r="E1191" t="s">
        <v>37</v>
      </c>
      <c r="F1191" t="s">
        <v>56</v>
      </c>
      <c r="G1191" t="s">
        <v>32</v>
      </c>
      <c r="H1191">
        <v>320000</v>
      </c>
      <c r="I1191">
        <v>10</v>
      </c>
      <c r="J1191" t="s">
        <v>47</v>
      </c>
      <c r="K1191">
        <f t="shared" si="18"/>
        <v>256000</v>
      </c>
    </row>
    <row r="1192" spans="1:11">
      <c r="A1192" t="s">
        <v>96</v>
      </c>
      <c r="B1192" t="s">
        <v>35</v>
      </c>
      <c r="C1192" t="s">
        <v>28</v>
      </c>
      <c r="D1192" t="s">
        <v>41</v>
      </c>
      <c r="E1192" t="s">
        <v>30</v>
      </c>
      <c r="F1192" t="s">
        <v>50</v>
      </c>
      <c r="G1192" t="s">
        <v>51</v>
      </c>
      <c r="H1192">
        <v>300000</v>
      </c>
      <c r="I1192">
        <v>8</v>
      </c>
      <c r="J1192" t="s">
        <v>42</v>
      </c>
      <c r="K1192">
        <f t="shared" si="18"/>
        <v>240000</v>
      </c>
    </row>
    <row r="1193" spans="1:11">
      <c r="A1193" t="s">
        <v>117</v>
      </c>
      <c r="B1193" t="s">
        <v>27</v>
      </c>
      <c r="C1193" t="s">
        <v>28</v>
      </c>
      <c r="D1193" t="s">
        <v>29</v>
      </c>
      <c r="E1193" t="s">
        <v>30</v>
      </c>
      <c r="F1193" t="s">
        <v>67</v>
      </c>
      <c r="G1193" t="s">
        <v>51</v>
      </c>
      <c r="H1193">
        <v>420000</v>
      </c>
      <c r="I1193">
        <v>5</v>
      </c>
      <c r="J1193" t="s">
        <v>58</v>
      </c>
      <c r="K1193">
        <f t="shared" si="18"/>
        <v>336000</v>
      </c>
    </row>
    <row r="1194" spans="1:11">
      <c r="A1194" t="s">
        <v>64</v>
      </c>
      <c r="B1194" t="s">
        <v>35</v>
      </c>
      <c r="C1194" t="s">
        <v>45</v>
      </c>
      <c r="D1194" t="s">
        <v>29</v>
      </c>
      <c r="E1194" t="s">
        <v>37</v>
      </c>
      <c r="F1194" t="s">
        <v>73</v>
      </c>
      <c r="G1194" t="s">
        <v>39</v>
      </c>
      <c r="H1194">
        <v>220000</v>
      </c>
      <c r="I1194">
        <v>5</v>
      </c>
      <c r="J1194" t="s">
        <v>33</v>
      </c>
      <c r="K1194">
        <f t="shared" si="18"/>
        <v>176000</v>
      </c>
    </row>
    <row r="1195" spans="1:11">
      <c r="A1195" t="s">
        <v>99</v>
      </c>
      <c r="B1195" t="s">
        <v>27</v>
      </c>
      <c r="C1195" t="s">
        <v>28</v>
      </c>
      <c r="D1195" t="s">
        <v>41</v>
      </c>
      <c r="E1195" t="s">
        <v>37</v>
      </c>
      <c r="F1195" t="s">
        <v>56</v>
      </c>
      <c r="G1195" t="s">
        <v>32</v>
      </c>
      <c r="H1195">
        <v>320000</v>
      </c>
      <c r="I1195">
        <v>3</v>
      </c>
      <c r="J1195" t="s">
        <v>42</v>
      </c>
      <c r="K1195">
        <f t="shared" si="18"/>
        <v>256000</v>
      </c>
    </row>
    <row r="1196" spans="1:11">
      <c r="A1196" t="s">
        <v>106</v>
      </c>
      <c r="B1196" t="s">
        <v>35</v>
      </c>
      <c r="C1196" t="s">
        <v>28</v>
      </c>
      <c r="D1196" t="s">
        <v>29</v>
      </c>
      <c r="E1196" t="s">
        <v>30</v>
      </c>
      <c r="F1196" t="s">
        <v>54</v>
      </c>
      <c r="G1196" t="s">
        <v>39</v>
      </c>
      <c r="H1196">
        <v>180000</v>
      </c>
      <c r="I1196">
        <v>9</v>
      </c>
      <c r="J1196" t="s">
        <v>69</v>
      </c>
      <c r="K1196">
        <f t="shared" si="18"/>
        <v>144000</v>
      </c>
    </row>
    <row r="1197" spans="1:11">
      <c r="A1197" t="s">
        <v>81</v>
      </c>
      <c r="B1197" t="s">
        <v>49</v>
      </c>
      <c r="C1197" t="s">
        <v>28</v>
      </c>
      <c r="D1197" t="s">
        <v>29</v>
      </c>
      <c r="E1197" t="s">
        <v>30</v>
      </c>
      <c r="F1197" t="s">
        <v>50</v>
      </c>
      <c r="G1197" t="s">
        <v>51</v>
      </c>
      <c r="H1197">
        <v>300000</v>
      </c>
      <c r="I1197">
        <v>1</v>
      </c>
      <c r="J1197" t="s">
        <v>69</v>
      </c>
      <c r="K1197">
        <f t="shared" si="18"/>
        <v>240000</v>
      </c>
    </row>
    <row r="1198" spans="1:11">
      <c r="A1198" t="s">
        <v>143</v>
      </c>
      <c r="B1198" t="s">
        <v>49</v>
      </c>
      <c r="C1198" t="s">
        <v>45</v>
      </c>
      <c r="D1198" t="s">
        <v>29</v>
      </c>
      <c r="E1198" t="s">
        <v>37</v>
      </c>
      <c r="F1198" t="s">
        <v>73</v>
      </c>
      <c r="G1198" t="s">
        <v>39</v>
      </c>
      <c r="H1198">
        <v>220000</v>
      </c>
      <c r="I1198">
        <v>7</v>
      </c>
      <c r="J1198" t="s">
        <v>69</v>
      </c>
      <c r="K1198">
        <f t="shared" si="18"/>
        <v>176000</v>
      </c>
    </row>
    <row r="1199" spans="1:11">
      <c r="A1199" t="s">
        <v>164</v>
      </c>
      <c r="B1199" t="s">
        <v>35</v>
      </c>
      <c r="C1199" t="s">
        <v>36</v>
      </c>
      <c r="D1199" t="s">
        <v>41</v>
      </c>
      <c r="E1199" t="s">
        <v>37</v>
      </c>
      <c r="F1199" t="s">
        <v>31</v>
      </c>
      <c r="G1199" t="s">
        <v>32</v>
      </c>
      <c r="H1199">
        <v>85000</v>
      </c>
      <c r="I1199">
        <v>9</v>
      </c>
      <c r="J1199" t="s">
        <v>42</v>
      </c>
      <c r="K1199">
        <f t="shared" si="18"/>
        <v>68000</v>
      </c>
    </row>
    <row r="1200" spans="1:11">
      <c r="A1200" t="s">
        <v>144</v>
      </c>
      <c r="B1200" t="s">
        <v>35</v>
      </c>
      <c r="C1200" t="s">
        <v>36</v>
      </c>
      <c r="D1200" t="s">
        <v>29</v>
      </c>
      <c r="E1200" t="s">
        <v>30</v>
      </c>
      <c r="F1200" t="s">
        <v>31</v>
      </c>
      <c r="G1200" t="s">
        <v>32</v>
      </c>
      <c r="H1200">
        <v>85000</v>
      </c>
      <c r="I1200">
        <v>4</v>
      </c>
      <c r="J1200" t="s">
        <v>47</v>
      </c>
      <c r="K1200">
        <f t="shared" si="18"/>
        <v>68000</v>
      </c>
    </row>
    <row r="1201" spans="1:11">
      <c r="A1201" t="s">
        <v>81</v>
      </c>
      <c r="B1201" t="s">
        <v>35</v>
      </c>
      <c r="C1201" t="s">
        <v>53</v>
      </c>
      <c r="D1201" t="s">
        <v>29</v>
      </c>
      <c r="E1201" t="s">
        <v>37</v>
      </c>
      <c r="F1201" t="s">
        <v>46</v>
      </c>
      <c r="G1201" t="s">
        <v>39</v>
      </c>
      <c r="H1201">
        <v>60000</v>
      </c>
      <c r="I1201">
        <v>8</v>
      </c>
      <c r="J1201" t="s">
        <v>47</v>
      </c>
      <c r="K1201">
        <f t="shared" si="18"/>
        <v>48000</v>
      </c>
    </row>
    <row r="1202" spans="1:11">
      <c r="A1202" t="s">
        <v>61</v>
      </c>
      <c r="B1202" t="s">
        <v>44</v>
      </c>
      <c r="C1202" t="s">
        <v>36</v>
      </c>
      <c r="D1202" t="s">
        <v>41</v>
      </c>
      <c r="E1202" t="s">
        <v>37</v>
      </c>
      <c r="F1202" t="s">
        <v>62</v>
      </c>
      <c r="G1202" t="s">
        <v>51</v>
      </c>
      <c r="H1202">
        <v>150000</v>
      </c>
      <c r="I1202">
        <v>6</v>
      </c>
      <c r="J1202" t="s">
        <v>58</v>
      </c>
      <c r="K1202">
        <f t="shared" si="18"/>
        <v>120000</v>
      </c>
    </row>
    <row r="1203" spans="1:11">
      <c r="A1203" t="s">
        <v>137</v>
      </c>
      <c r="B1203" t="s">
        <v>35</v>
      </c>
      <c r="C1203" t="s">
        <v>45</v>
      </c>
      <c r="D1203" t="s">
        <v>41</v>
      </c>
      <c r="E1203" t="s">
        <v>30</v>
      </c>
      <c r="F1203" t="s">
        <v>31</v>
      </c>
      <c r="G1203" t="s">
        <v>32</v>
      </c>
      <c r="H1203">
        <v>85000</v>
      </c>
      <c r="I1203">
        <v>10</v>
      </c>
      <c r="J1203" t="s">
        <v>47</v>
      </c>
      <c r="K1203">
        <f t="shared" si="18"/>
        <v>68000</v>
      </c>
    </row>
    <row r="1204" spans="1:11">
      <c r="A1204" t="s">
        <v>149</v>
      </c>
      <c r="B1204" t="s">
        <v>27</v>
      </c>
      <c r="C1204" t="s">
        <v>36</v>
      </c>
      <c r="D1204" t="s">
        <v>41</v>
      </c>
      <c r="E1204" t="s">
        <v>37</v>
      </c>
      <c r="F1204" t="s">
        <v>31</v>
      </c>
      <c r="G1204" t="s">
        <v>32</v>
      </c>
      <c r="H1204">
        <v>85000</v>
      </c>
      <c r="I1204">
        <v>3</v>
      </c>
      <c r="J1204" t="s">
        <v>69</v>
      </c>
      <c r="K1204">
        <f t="shared" si="18"/>
        <v>68000</v>
      </c>
    </row>
    <row r="1205" spans="1:11">
      <c r="A1205" t="s">
        <v>60</v>
      </c>
      <c r="B1205" t="s">
        <v>27</v>
      </c>
      <c r="C1205" t="s">
        <v>45</v>
      </c>
      <c r="D1205" t="s">
        <v>41</v>
      </c>
      <c r="E1205" t="s">
        <v>30</v>
      </c>
      <c r="F1205" t="s">
        <v>50</v>
      </c>
      <c r="G1205" t="s">
        <v>51</v>
      </c>
      <c r="H1205">
        <v>300000</v>
      </c>
      <c r="I1205">
        <v>8</v>
      </c>
      <c r="J1205" t="s">
        <v>58</v>
      </c>
      <c r="K1205">
        <f t="shared" si="18"/>
        <v>240000</v>
      </c>
    </row>
    <row r="1206" spans="1:11">
      <c r="A1206" t="s">
        <v>151</v>
      </c>
      <c r="B1206" t="s">
        <v>27</v>
      </c>
      <c r="C1206" t="s">
        <v>28</v>
      </c>
      <c r="D1206" t="s">
        <v>41</v>
      </c>
      <c r="E1206" t="s">
        <v>30</v>
      </c>
      <c r="F1206" t="s">
        <v>67</v>
      </c>
      <c r="G1206" t="s">
        <v>51</v>
      </c>
      <c r="H1206">
        <v>420000</v>
      </c>
      <c r="I1206">
        <v>6</v>
      </c>
      <c r="J1206" t="s">
        <v>65</v>
      </c>
      <c r="K1206">
        <f t="shared" si="18"/>
        <v>336000</v>
      </c>
    </row>
    <row r="1207" spans="1:11">
      <c r="A1207" t="s">
        <v>147</v>
      </c>
      <c r="B1207" t="s">
        <v>44</v>
      </c>
      <c r="C1207" t="s">
        <v>45</v>
      </c>
      <c r="D1207" t="s">
        <v>41</v>
      </c>
      <c r="E1207" t="s">
        <v>30</v>
      </c>
      <c r="F1207" t="s">
        <v>71</v>
      </c>
      <c r="G1207" t="s">
        <v>51</v>
      </c>
      <c r="H1207">
        <v>250000</v>
      </c>
      <c r="I1207">
        <v>3</v>
      </c>
      <c r="J1207" t="s">
        <v>42</v>
      </c>
      <c r="K1207">
        <f t="shared" si="18"/>
        <v>200000</v>
      </c>
    </row>
    <row r="1208" spans="1:11">
      <c r="A1208" t="s">
        <v>153</v>
      </c>
      <c r="B1208" t="s">
        <v>27</v>
      </c>
      <c r="C1208" t="s">
        <v>53</v>
      </c>
      <c r="D1208" t="s">
        <v>29</v>
      </c>
      <c r="E1208" t="s">
        <v>37</v>
      </c>
      <c r="F1208" t="s">
        <v>71</v>
      </c>
      <c r="G1208" t="s">
        <v>51</v>
      </c>
      <c r="H1208">
        <v>250000</v>
      </c>
      <c r="I1208">
        <v>8</v>
      </c>
      <c r="J1208" t="s">
        <v>47</v>
      </c>
      <c r="K1208">
        <f t="shared" si="18"/>
        <v>200000</v>
      </c>
    </row>
    <row r="1209" spans="1:11">
      <c r="A1209" t="s">
        <v>175</v>
      </c>
      <c r="B1209" t="s">
        <v>49</v>
      </c>
      <c r="C1209" t="s">
        <v>36</v>
      </c>
      <c r="D1209" t="s">
        <v>41</v>
      </c>
      <c r="E1209" t="s">
        <v>30</v>
      </c>
      <c r="F1209" t="s">
        <v>31</v>
      </c>
      <c r="G1209" t="s">
        <v>32</v>
      </c>
      <c r="H1209">
        <v>85000</v>
      </c>
      <c r="I1209">
        <v>3</v>
      </c>
      <c r="J1209" t="s">
        <v>47</v>
      </c>
      <c r="K1209">
        <f t="shared" si="18"/>
        <v>68000</v>
      </c>
    </row>
    <row r="1210" spans="1:11">
      <c r="A1210" t="s">
        <v>161</v>
      </c>
      <c r="B1210" t="s">
        <v>49</v>
      </c>
      <c r="C1210" t="s">
        <v>53</v>
      </c>
      <c r="D1210" t="s">
        <v>41</v>
      </c>
      <c r="E1210" t="s">
        <v>30</v>
      </c>
      <c r="F1210" t="s">
        <v>38</v>
      </c>
      <c r="G1210" t="s">
        <v>39</v>
      </c>
      <c r="H1210">
        <v>30000</v>
      </c>
      <c r="I1210">
        <v>7</v>
      </c>
      <c r="J1210" t="s">
        <v>47</v>
      </c>
      <c r="K1210">
        <f t="shared" si="18"/>
        <v>24000</v>
      </c>
    </row>
    <row r="1211" spans="1:11">
      <c r="A1211" t="s">
        <v>126</v>
      </c>
      <c r="B1211" t="s">
        <v>35</v>
      </c>
      <c r="C1211" t="s">
        <v>45</v>
      </c>
      <c r="D1211" t="s">
        <v>29</v>
      </c>
      <c r="E1211" t="s">
        <v>37</v>
      </c>
      <c r="F1211" t="s">
        <v>46</v>
      </c>
      <c r="G1211" t="s">
        <v>39</v>
      </c>
      <c r="H1211">
        <v>60000</v>
      </c>
      <c r="I1211">
        <v>7</v>
      </c>
      <c r="J1211" t="s">
        <v>58</v>
      </c>
      <c r="K1211">
        <f t="shared" si="18"/>
        <v>48000</v>
      </c>
    </row>
    <row r="1212" spans="1:11">
      <c r="A1212" t="s">
        <v>146</v>
      </c>
      <c r="B1212" t="s">
        <v>44</v>
      </c>
      <c r="C1212" t="s">
        <v>28</v>
      </c>
      <c r="D1212" t="s">
        <v>29</v>
      </c>
      <c r="E1212" t="s">
        <v>37</v>
      </c>
      <c r="F1212" t="s">
        <v>73</v>
      </c>
      <c r="G1212" t="s">
        <v>39</v>
      </c>
      <c r="H1212">
        <v>220000</v>
      </c>
      <c r="I1212">
        <v>10</v>
      </c>
      <c r="J1212" t="s">
        <v>42</v>
      </c>
      <c r="K1212">
        <f t="shared" si="18"/>
        <v>176000</v>
      </c>
    </row>
    <row r="1213" spans="1:11">
      <c r="A1213" t="s">
        <v>137</v>
      </c>
      <c r="B1213" t="s">
        <v>44</v>
      </c>
      <c r="C1213" t="s">
        <v>36</v>
      </c>
      <c r="D1213" t="s">
        <v>29</v>
      </c>
      <c r="E1213" t="s">
        <v>37</v>
      </c>
      <c r="F1213" t="s">
        <v>71</v>
      </c>
      <c r="G1213" t="s">
        <v>51</v>
      </c>
      <c r="H1213">
        <v>250000</v>
      </c>
      <c r="I1213">
        <v>5</v>
      </c>
      <c r="J1213" t="s">
        <v>69</v>
      </c>
      <c r="K1213">
        <f t="shared" si="18"/>
        <v>200000</v>
      </c>
    </row>
    <row r="1214" spans="1:11">
      <c r="A1214" t="s">
        <v>168</v>
      </c>
      <c r="B1214" t="s">
        <v>44</v>
      </c>
      <c r="C1214" t="s">
        <v>53</v>
      </c>
      <c r="D1214" t="s">
        <v>29</v>
      </c>
      <c r="E1214" t="s">
        <v>30</v>
      </c>
      <c r="F1214" t="s">
        <v>31</v>
      </c>
      <c r="G1214" t="s">
        <v>32</v>
      </c>
      <c r="H1214">
        <v>85000</v>
      </c>
      <c r="I1214">
        <v>7</v>
      </c>
      <c r="J1214" t="s">
        <v>69</v>
      </c>
      <c r="K1214">
        <f t="shared" si="18"/>
        <v>68000</v>
      </c>
    </row>
    <row r="1215" spans="1:11">
      <c r="A1215" t="s">
        <v>121</v>
      </c>
      <c r="B1215" t="s">
        <v>27</v>
      </c>
      <c r="C1215" t="s">
        <v>36</v>
      </c>
      <c r="D1215" t="s">
        <v>41</v>
      </c>
      <c r="E1215" t="s">
        <v>30</v>
      </c>
      <c r="F1215" t="s">
        <v>62</v>
      </c>
      <c r="G1215" t="s">
        <v>51</v>
      </c>
      <c r="H1215">
        <v>150000</v>
      </c>
      <c r="I1215">
        <v>4</v>
      </c>
      <c r="J1215" t="s">
        <v>47</v>
      </c>
      <c r="K1215">
        <f t="shared" si="18"/>
        <v>120000</v>
      </c>
    </row>
    <row r="1216" spans="1:11">
      <c r="A1216" t="s">
        <v>137</v>
      </c>
      <c r="B1216" t="s">
        <v>44</v>
      </c>
      <c r="C1216" t="s">
        <v>53</v>
      </c>
      <c r="D1216" t="s">
        <v>29</v>
      </c>
      <c r="E1216" t="s">
        <v>30</v>
      </c>
      <c r="F1216" t="s">
        <v>67</v>
      </c>
      <c r="G1216" t="s">
        <v>51</v>
      </c>
      <c r="H1216">
        <v>420000</v>
      </c>
      <c r="I1216">
        <v>5</v>
      </c>
      <c r="J1216" t="s">
        <v>42</v>
      </c>
      <c r="K1216">
        <f t="shared" si="18"/>
        <v>336000</v>
      </c>
    </row>
    <row r="1217" spans="1:11">
      <c r="A1217" t="s">
        <v>154</v>
      </c>
      <c r="B1217" t="s">
        <v>35</v>
      </c>
      <c r="C1217" t="s">
        <v>45</v>
      </c>
      <c r="D1217" t="s">
        <v>29</v>
      </c>
      <c r="E1217" t="s">
        <v>30</v>
      </c>
      <c r="F1217" t="s">
        <v>46</v>
      </c>
      <c r="G1217" t="s">
        <v>39</v>
      </c>
      <c r="H1217">
        <v>60000</v>
      </c>
      <c r="I1217">
        <v>5</v>
      </c>
      <c r="J1217" t="s">
        <v>33</v>
      </c>
      <c r="K1217">
        <f t="shared" si="18"/>
        <v>48000</v>
      </c>
    </row>
    <row r="1218" spans="1:11">
      <c r="A1218" t="s">
        <v>90</v>
      </c>
      <c r="B1218" t="s">
        <v>44</v>
      </c>
      <c r="C1218" t="s">
        <v>28</v>
      </c>
      <c r="D1218" t="s">
        <v>41</v>
      </c>
      <c r="E1218" t="s">
        <v>30</v>
      </c>
      <c r="F1218" t="s">
        <v>71</v>
      </c>
      <c r="G1218" t="s">
        <v>51</v>
      </c>
      <c r="H1218">
        <v>250000</v>
      </c>
      <c r="I1218">
        <v>10</v>
      </c>
      <c r="J1218" t="s">
        <v>42</v>
      </c>
      <c r="K1218">
        <f t="shared" ref="K1218:K1281" si="19">H1218-H1218*0.2</f>
        <v>200000</v>
      </c>
    </row>
    <row r="1219" spans="1:11">
      <c r="A1219" t="s">
        <v>137</v>
      </c>
      <c r="B1219" t="s">
        <v>27</v>
      </c>
      <c r="C1219" t="s">
        <v>36</v>
      </c>
      <c r="D1219" t="s">
        <v>29</v>
      </c>
      <c r="E1219" t="s">
        <v>30</v>
      </c>
      <c r="F1219" t="s">
        <v>46</v>
      </c>
      <c r="G1219" t="s">
        <v>39</v>
      </c>
      <c r="H1219">
        <v>60000</v>
      </c>
      <c r="I1219">
        <v>3</v>
      </c>
      <c r="J1219" t="s">
        <v>42</v>
      </c>
      <c r="K1219">
        <f t="shared" si="19"/>
        <v>48000</v>
      </c>
    </row>
    <row r="1220" spans="1:11">
      <c r="A1220" t="s">
        <v>150</v>
      </c>
      <c r="B1220" t="s">
        <v>27</v>
      </c>
      <c r="C1220" t="s">
        <v>53</v>
      </c>
      <c r="D1220" t="s">
        <v>41</v>
      </c>
      <c r="E1220" t="s">
        <v>30</v>
      </c>
      <c r="F1220" t="s">
        <v>73</v>
      </c>
      <c r="G1220" t="s">
        <v>39</v>
      </c>
      <c r="H1220">
        <v>220000</v>
      </c>
      <c r="I1220">
        <v>5</v>
      </c>
      <c r="J1220" t="s">
        <v>65</v>
      </c>
      <c r="K1220">
        <f t="shared" si="19"/>
        <v>176000</v>
      </c>
    </row>
    <row r="1221" spans="1:11">
      <c r="A1221" t="s">
        <v>165</v>
      </c>
      <c r="B1221" t="s">
        <v>44</v>
      </c>
      <c r="C1221" t="s">
        <v>28</v>
      </c>
      <c r="D1221" t="s">
        <v>41</v>
      </c>
      <c r="E1221" t="s">
        <v>37</v>
      </c>
      <c r="F1221" t="s">
        <v>67</v>
      </c>
      <c r="G1221" t="s">
        <v>51</v>
      </c>
      <c r="H1221">
        <v>420000</v>
      </c>
      <c r="I1221">
        <v>3</v>
      </c>
      <c r="J1221" t="s">
        <v>47</v>
      </c>
      <c r="K1221">
        <f t="shared" si="19"/>
        <v>336000</v>
      </c>
    </row>
    <row r="1222" spans="1:11">
      <c r="A1222" t="s">
        <v>68</v>
      </c>
      <c r="B1222" t="s">
        <v>27</v>
      </c>
      <c r="C1222" t="s">
        <v>36</v>
      </c>
      <c r="D1222" t="s">
        <v>41</v>
      </c>
      <c r="E1222" t="s">
        <v>37</v>
      </c>
      <c r="F1222" t="s">
        <v>46</v>
      </c>
      <c r="G1222" t="s">
        <v>39</v>
      </c>
      <c r="H1222">
        <v>60000</v>
      </c>
      <c r="I1222">
        <v>7</v>
      </c>
      <c r="J1222" t="s">
        <v>58</v>
      </c>
      <c r="K1222">
        <f t="shared" si="19"/>
        <v>48000</v>
      </c>
    </row>
    <row r="1223" spans="1:11">
      <c r="A1223" t="s">
        <v>75</v>
      </c>
      <c r="B1223" t="s">
        <v>27</v>
      </c>
      <c r="C1223" t="s">
        <v>28</v>
      </c>
      <c r="D1223" t="s">
        <v>29</v>
      </c>
      <c r="E1223" t="s">
        <v>30</v>
      </c>
      <c r="F1223" t="s">
        <v>73</v>
      </c>
      <c r="G1223" t="s">
        <v>39</v>
      </c>
      <c r="H1223">
        <v>220000</v>
      </c>
      <c r="I1223">
        <v>8</v>
      </c>
      <c r="J1223" t="s">
        <v>47</v>
      </c>
      <c r="K1223">
        <f t="shared" si="19"/>
        <v>176000</v>
      </c>
    </row>
    <row r="1224" spans="1:11">
      <c r="A1224" t="s">
        <v>76</v>
      </c>
      <c r="B1224" t="s">
        <v>27</v>
      </c>
      <c r="C1224" t="s">
        <v>53</v>
      </c>
      <c r="D1224" t="s">
        <v>41</v>
      </c>
      <c r="E1224" t="s">
        <v>37</v>
      </c>
      <c r="F1224" t="s">
        <v>71</v>
      </c>
      <c r="G1224" t="s">
        <v>51</v>
      </c>
      <c r="H1224">
        <v>250000</v>
      </c>
      <c r="I1224">
        <v>6</v>
      </c>
      <c r="J1224" t="s">
        <v>65</v>
      </c>
      <c r="K1224">
        <f t="shared" si="19"/>
        <v>200000</v>
      </c>
    </row>
    <row r="1225" spans="1:11">
      <c r="A1225" t="s">
        <v>155</v>
      </c>
      <c r="B1225" t="s">
        <v>27</v>
      </c>
      <c r="C1225" t="s">
        <v>36</v>
      </c>
      <c r="D1225" t="s">
        <v>41</v>
      </c>
      <c r="E1225" t="s">
        <v>30</v>
      </c>
      <c r="F1225" t="s">
        <v>62</v>
      </c>
      <c r="G1225" t="s">
        <v>51</v>
      </c>
      <c r="H1225">
        <v>150000</v>
      </c>
      <c r="I1225">
        <v>5</v>
      </c>
      <c r="J1225" t="s">
        <v>47</v>
      </c>
      <c r="K1225">
        <f t="shared" si="19"/>
        <v>120000</v>
      </c>
    </row>
    <row r="1226" spans="1:11">
      <c r="A1226" t="s">
        <v>63</v>
      </c>
      <c r="B1226" t="s">
        <v>49</v>
      </c>
      <c r="C1226" t="s">
        <v>36</v>
      </c>
      <c r="D1226" t="s">
        <v>41</v>
      </c>
      <c r="E1226" t="s">
        <v>30</v>
      </c>
      <c r="F1226" t="s">
        <v>31</v>
      </c>
      <c r="G1226" t="s">
        <v>32</v>
      </c>
      <c r="H1226">
        <v>85000</v>
      </c>
      <c r="I1226">
        <v>2</v>
      </c>
      <c r="J1226" t="s">
        <v>58</v>
      </c>
      <c r="K1226">
        <f t="shared" si="19"/>
        <v>68000</v>
      </c>
    </row>
    <row r="1227" spans="1:11">
      <c r="A1227" t="s">
        <v>144</v>
      </c>
      <c r="B1227" t="s">
        <v>44</v>
      </c>
      <c r="C1227" t="s">
        <v>28</v>
      </c>
      <c r="D1227" t="s">
        <v>41</v>
      </c>
      <c r="E1227" t="s">
        <v>37</v>
      </c>
      <c r="F1227" t="s">
        <v>31</v>
      </c>
      <c r="G1227" t="s">
        <v>32</v>
      </c>
      <c r="H1227">
        <v>85000</v>
      </c>
      <c r="I1227">
        <v>6</v>
      </c>
      <c r="J1227" t="s">
        <v>42</v>
      </c>
      <c r="K1227">
        <f t="shared" si="19"/>
        <v>68000</v>
      </c>
    </row>
    <row r="1228" spans="1:11">
      <c r="A1228" t="s">
        <v>160</v>
      </c>
      <c r="B1228" t="s">
        <v>27</v>
      </c>
      <c r="C1228" t="s">
        <v>53</v>
      </c>
      <c r="D1228" t="s">
        <v>41</v>
      </c>
      <c r="E1228" t="s">
        <v>30</v>
      </c>
      <c r="F1228" t="s">
        <v>62</v>
      </c>
      <c r="G1228" t="s">
        <v>51</v>
      </c>
      <c r="H1228">
        <v>150000</v>
      </c>
      <c r="I1228">
        <v>5</v>
      </c>
      <c r="J1228" t="s">
        <v>58</v>
      </c>
      <c r="K1228">
        <f t="shared" si="19"/>
        <v>120000</v>
      </c>
    </row>
    <row r="1229" spans="1:11">
      <c r="A1229" t="s">
        <v>145</v>
      </c>
      <c r="B1229" t="s">
        <v>27</v>
      </c>
      <c r="C1229" t="s">
        <v>45</v>
      </c>
      <c r="D1229" t="s">
        <v>41</v>
      </c>
      <c r="E1229" t="s">
        <v>37</v>
      </c>
      <c r="F1229" t="s">
        <v>67</v>
      </c>
      <c r="G1229" t="s">
        <v>51</v>
      </c>
      <c r="H1229">
        <v>420000</v>
      </c>
      <c r="I1229">
        <v>4</v>
      </c>
      <c r="J1229" t="s">
        <v>65</v>
      </c>
      <c r="K1229">
        <f t="shared" si="19"/>
        <v>336000</v>
      </c>
    </row>
    <row r="1230" spans="1:11">
      <c r="A1230" t="s">
        <v>138</v>
      </c>
      <c r="B1230" t="s">
        <v>35</v>
      </c>
      <c r="C1230" t="s">
        <v>45</v>
      </c>
      <c r="D1230" t="s">
        <v>41</v>
      </c>
      <c r="E1230" t="s">
        <v>37</v>
      </c>
      <c r="F1230" t="s">
        <v>50</v>
      </c>
      <c r="G1230" t="s">
        <v>51</v>
      </c>
      <c r="H1230">
        <v>300000</v>
      </c>
      <c r="I1230">
        <v>6</v>
      </c>
      <c r="J1230" t="s">
        <v>69</v>
      </c>
      <c r="K1230">
        <f t="shared" si="19"/>
        <v>240000</v>
      </c>
    </row>
    <row r="1231" spans="1:11">
      <c r="A1231" t="s">
        <v>177</v>
      </c>
      <c r="B1231" t="s">
        <v>49</v>
      </c>
      <c r="C1231" t="s">
        <v>28</v>
      </c>
      <c r="D1231" t="s">
        <v>41</v>
      </c>
      <c r="E1231" t="s">
        <v>30</v>
      </c>
      <c r="F1231" t="s">
        <v>46</v>
      </c>
      <c r="G1231" t="s">
        <v>39</v>
      </c>
      <c r="H1231">
        <v>60000</v>
      </c>
      <c r="I1231">
        <v>2</v>
      </c>
      <c r="J1231" t="s">
        <v>65</v>
      </c>
      <c r="K1231">
        <f t="shared" si="19"/>
        <v>48000</v>
      </c>
    </row>
    <row r="1232" spans="1:11">
      <c r="A1232" t="s">
        <v>63</v>
      </c>
      <c r="B1232" t="s">
        <v>49</v>
      </c>
      <c r="C1232" t="s">
        <v>53</v>
      </c>
      <c r="D1232" t="s">
        <v>41</v>
      </c>
      <c r="E1232" t="s">
        <v>30</v>
      </c>
      <c r="F1232" t="s">
        <v>31</v>
      </c>
      <c r="G1232" t="s">
        <v>32</v>
      </c>
      <c r="H1232">
        <v>85000</v>
      </c>
      <c r="I1232">
        <v>5</v>
      </c>
      <c r="J1232" t="s">
        <v>58</v>
      </c>
      <c r="K1232">
        <f t="shared" si="19"/>
        <v>68000</v>
      </c>
    </row>
    <row r="1233" spans="1:11">
      <c r="A1233" t="s">
        <v>167</v>
      </c>
      <c r="B1233" t="s">
        <v>27</v>
      </c>
      <c r="C1233" t="s">
        <v>53</v>
      </c>
      <c r="D1233" t="s">
        <v>29</v>
      </c>
      <c r="E1233" t="s">
        <v>37</v>
      </c>
      <c r="F1233" t="s">
        <v>46</v>
      </c>
      <c r="G1233" t="s">
        <v>39</v>
      </c>
      <c r="H1233">
        <v>60000</v>
      </c>
      <c r="I1233">
        <v>3</v>
      </c>
      <c r="J1233" t="s">
        <v>42</v>
      </c>
      <c r="K1233">
        <f t="shared" si="19"/>
        <v>48000</v>
      </c>
    </row>
    <row r="1234" spans="1:11">
      <c r="A1234" t="s">
        <v>72</v>
      </c>
      <c r="B1234" t="s">
        <v>49</v>
      </c>
      <c r="C1234" t="s">
        <v>53</v>
      </c>
      <c r="D1234" t="s">
        <v>41</v>
      </c>
      <c r="E1234" t="s">
        <v>30</v>
      </c>
      <c r="F1234" t="s">
        <v>31</v>
      </c>
      <c r="G1234" t="s">
        <v>32</v>
      </c>
      <c r="H1234">
        <v>85000</v>
      </c>
      <c r="I1234">
        <v>7</v>
      </c>
      <c r="J1234" t="s">
        <v>58</v>
      </c>
      <c r="K1234">
        <f t="shared" si="19"/>
        <v>68000</v>
      </c>
    </row>
    <row r="1235" spans="1:11">
      <c r="A1235" t="s">
        <v>77</v>
      </c>
      <c r="B1235" t="s">
        <v>49</v>
      </c>
      <c r="C1235" t="s">
        <v>36</v>
      </c>
      <c r="D1235" t="s">
        <v>41</v>
      </c>
      <c r="E1235" t="s">
        <v>30</v>
      </c>
      <c r="F1235" t="s">
        <v>54</v>
      </c>
      <c r="G1235" t="s">
        <v>39</v>
      </c>
      <c r="H1235">
        <v>180000</v>
      </c>
      <c r="I1235">
        <v>5</v>
      </c>
      <c r="J1235" t="s">
        <v>69</v>
      </c>
      <c r="K1235">
        <f t="shared" si="19"/>
        <v>144000</v>
      </c>
    </row>
    <row r="1236" spans="1:11">
      <c r="A1236" t="s">
        <v>135</v>
      </c>
      <c r="B1236" t="s">
        <v>35</v>
      </c>
      <c r="C1236" t="s">
        <v>36</v>
      </c>
      <c r="D1236" t="s">
        <v>29</v>
      </c>
      <c r="E1236" t="s">
        <v>30</v>
      </c>
      <c r="F1236" t="s">
        <v>67</v>
      </c>
      <c r="G1236" t="s">
        <v>51</v>
      </c>
      <c r="H1236">
        <v>420000</v>
      </c>
      <c r="I1236">
        <v>5</v>
      </c>
      <c r="J1236" t="s">
        <v>47</v>
      </c>
      <c r="K1236">
        <f t="shared" si="19"/>
        <v>336000</v>
      </c>
    </row>
    <row r="1237" spans="1:11">
      <c r="A1237" t="s">
        <v>108</v>
      </c>
      <c r="B1237" t="s">
        <v>35</v>
      </c>
      <c r="C1237" t="s">
        <v>53</v>
      </c>
      <c r="D1237" t="s">
        <v>41</v>
      </c>
      <c r="E1237" t="s">
        <v>37</v>
      </c>
      <c r="F1237" t="s">
        <v>31</v>
      </c>
      <c r="G1237" t="s">
        <v>32</v>
      </c>
      <c r="H1237">
        <v>85000</v>
      </c>
      <c r="I1237">
        <v>6</v>
      </c>
      <c r="J1237" t="s">
        <v>47</v>
      </c>
      <c r="K1237">
        <f t="shared" si="19"/>
        <v>68000</v>
      </c>
    </row>
    <row r="1238" spans="1:11">
      <c r="A1238" t="s">
        <v>103</v>
      </c>
      <c r="B1238" t="s">
        <v>49</v>
      </c>
      <c r="C1238" t="s">
        <v>28</v>
      </c>
      <c r="D1238" t="s">
        <v>29</v>
      </c>
      <c r="E1238" t="s">
        <v>37</v>
      </c>
      <c r="F1238" t="s">
        <v>67</v>
      </c>
      <c r="G1238" t="s">
        <v>51</v>
      </c>
      <c r="H1238">
        <v>420000</v>
      </c>
      <c r="I1238">
        <v>7</v>
      </c>
      <c r="J1238" t="s">
        <v>33</v>
      </c>
      <c r="K1238">
        <f t="shared" si="19"/>
        <v>336000</v>
      </c>
    </row>
    <row r="1239" spans="1:11">
      <c r="A1239" t="s">
        <v>159</v>
      </c>
      <c r="B1239" t="s">
        <v>44</v>
      </c>
      <c r="C1239" t="s">
        <v>53</v>
      </c>
      <c r="D1239" t="s">
        <v>41</v>
      </c>
      <c r="E1239" t="s">
        <v>30</v>
      </c>
      <c r="F1239" t="s">
        <v>67</v>
      </c>
      <c r="G1239" t="s">
        <v>51</v>
      </c>
      <c r="H1239">
        <v>420000</v>
      </c>
      <c r="I1239">
        <v>9</v>
      </c>
      <c r="J1239" t="s">
        <v>69</v>
      </c>
      <c r="K1239">
        <f t="shared" si="19"/>
        <v>336000</v>
      </c>
    </row>
    <row r="1240" spans="1:11">
      <c r="A1240" t="s">
        <v>90</v>
      </c>
      <c r="B1240" t="s">
        <v>27</v>
      </c>
      <c r="C1240" t="s">
        <v>36</v>
      </c>
      <c r="D1240" t="s">
        <v>41</v>
      </c>
      <c r="E1240" t="s">
        <v>30</v>
      </c>
      <c r="F1240" t="s">
        <v>50</v>
      </c>
      <c r="G1240" t="s">
        <v>51</v>
      </c>
      <c r="H1240">
        <v>300000</v>
      </c>
      <c r="I1240">
        <v>3</v>
      </c>
      <c r="J1240" t="s">
        <v>65</v>
      </c>
      <c r="K1240">
        <f t="shared" si="19"/>
        <v>240000</v>
      </c>
    </row>
    <row r="1241" spans="1:11">
      <c r="A1241" t="s">
        <v>145</v>
      </c>
      <c r="B1241" t="s">
        <v>35</v>
      </c>
      <c r="C1241" t="s">
        <v>45</v>
      </c>
      <c r="D1241" t="s">
        <v>29</v>
      </c>
      <c r="E1241" t="s">
        <v>30</v>
      </c>
      <c r="F1241" t="s">
        <v>31</v>
      </c>
      <c r="G1241" t="s">
        <v>32</v>
      </c>
      <c r="H1241">
        <v>85000</v>
      </c>
      <c r="I1241">
        <v>9</v>
      </c>
      <c r="J1241" t="s">
        <v>65</v>
      </c>
      <c r="K1241">
        <f t="shared" si="19"/>
        <v>68000</v>
      </c>
    </row>
    <row r="1242" spans="1:11">
      <c r="A1242" t="s">
        <v>141</v>
      </c>
      <c r="B1242" t="s">
        <v>44</v>
      </c>
      <c r="C1242" t="s">
        <v>28</v>
      </c>
      <c r="D1242" t="s">
        <v>41</v>
      </c>
      <c r="E1242" t="s">
        <v>37</v>
      </c>
      <c r="F1242" t="s">
        <v>73</v>
      </c>
      <c r="G1242" t="s">
        <v>39</v>
      </c>
      <c r="H1242">
        <v>220000</v>
      </c>
      <c r="I1242">
        <v>7</v>
      </c>
      <c r="J1242" t="s">
        <v>58</v>
      </c>
      <c r="K1242">
        <f t="shared" si="19"/>
        <v>176000</v>
      </c>
    </row>
    <row r="1243" spans="1:11">
      <c r="A1243" t="s">
        <v>142</v>
      </c>
      <c r="B1243" t="s">
        <v>27</v>
      </c>
      <c r="C1243" t="s">
        <v>36</v>
      </c>
      <c r="D1243" t="s">
        <v>41</v>
      </c>
      <c r="E1243" t="s">
        <v>37</v>
      </c>
      <c r="F1243" t="s">
        <v>50</v>
      </c>
      <c r="G1243" t="s">
        <v>51</v>
      </c>
      <c r="H1243">
        <v>300000</v>
      </c>
      <c r="I1243">
        <v>10</v>
      </c>
      <c r="J1243" t="s">
        <v>33</v>
      </c>
      <c r="K1243">
        <f t="shared" si="19"/>
        <v>240000</v>
      </c>
    </row>
    <row r="1244" spans="1:11">
      <c r="A1244" t="s">
        <v>114</v>
      </c>
      <c r="B1244" t="s">
        <v>27</v>
      </c>
      <c r="C1244" t="s">
        <v>28</v>
      </c>
      <c r="D1244" t="s">
        <v>29</v>
      </c>
      <c r="E1244" t="s">
        <v>37</v>
      </c>
      <c r="F1244" t="s">
        <v>31</v>
      </c>
      <c r="G1244" t="s">
        <v>32</v>
      </c>
      <c r="H1244">
        <v>85000</v>
      </c>
      <c r="I1244">
        <v>8</v>
      </c>
      <c r="J1244" t="s">
        <v>65</v>
      </c>
      <c r="K1244">
        <f t="shared" si="19"/>
        <v>68000</v>
      </c>
    </row>
    <row r="1245" spans="1:11">
      <c r="A1245" t="s">
        <v>86</v>
      </c>
      <c r="B1245" t="s">
        <v>35</v>
      </c>
      <c r="C1245" t="s">
        <v>36</v>
      </c>
      <c r="D1245" t="s">
        <v>41</v>
      </c>
      <c r="E1245" t="s">
        <v>30</v>
      </c>
      <c r="F1245" t="s">
        <v>38</v>
      </c>
      <c r="G1245" t="s">
        <v>39</v>
      </c>
      <c r="H1245">
        <v>30000</v>
      </c>
      <c r="I1245">
        <v>3</v>
      </c>
      <c r="J1245" t="s">
        <v>65</v>
      </c>
      <c r="K1245">
        <f t="shared" si="19"/>
        <v>24000</v>
      </c>
    </row>
    <row r="1246" spans="1:11">
      <c r="A1246" t="s">
        <v>125</v>
      </c>
      <c r="B1246" t="s">
        <v>44</v>
      </c>
      <c r="C1246" t="s">
        <v>45</v>
      </c>
      <c r="D1246" t="s">
        <v>41</v>
      </c>
      <c r="E1246" t="s">
        <v>37</v>
      </c>
      <c r="F1246" t="s">
        <v>31</v>
      </c>
      <c r="G1246" t="s">
        <v>32</v>
      </c>
      <c r="H1246">
        <v>85000</v>
      </c>
      <c r="I1246">
        <v>8</v>
      </c>
      <c r="J1246" t="s">
        <v>58</v>
      </c>
      <c r="K1246">
        <f t="shared" si="19"/>
        <v>68000</v>
      </c>
    </row>
    <row r="1247" spans="1:11">
      <c r="A1247" t="s">
        <v>80</v>
      </c>
      <c r="B1247" t="s">
        <v>27</v>
      </c>
      <c r="C1247" t="s">
        <v>45</v>
      </c>
      <c r="D1247" t="s">
        <v>29</v>
      </c>
      <c r="E1247" t="s">
        <v>37</v>
      </c>
      <c r="F1247" t="s">
        <v>54</v>
      </c>
      <c r="G1247" t="s">
        <v>39</v>
      </c>
      <c r="H1247">
        <v>180000</v>
      </c>
      <c r="I1247">
        <v>3</v>
      </c>
      <c r="J1247" t="s">
        <v>58</v>
      </c>
      <c r="K1247">
        <f t="shared" si="19"/>
        <v>144000</v>
      </c>
    </row>
    <row r="1248" spans="1:11">
      <c r="A1248" t="s">
        <v>164</v>
      </c>
      <c r="B1248" t="s">
        <v>49</v>
      </c>
      <c r="C1248" t="s">
        <v>28</v>
      </c>
      <c r="D1248" t="s">
        <v>29</v>
      </c>
      <c r="E1248" t="s">
        <v>30</v>
      </c>
      <c r="F1248" t="s">
        <v>73</v>
      </c>
      <c r="G1248" t="s">
        <v>39</v>
      </c>
      <c r="H1248">
        <v>220000</v>
      </c>
      <c r="I1248">
        <v>7</v>
      </c>
      <c r="J1248" t="s">
        <v>65</v>
      </c>
      <c r="K1248">
        <f t="shared" si="19"/>
        <v>176000</v>
      </c>
    </row>
    <row r="1249" spans="1:11">
      <c r="A1249" t="s">
        <v>55</v>
      </c>
      <c r="B1249" t="s">
        <v>49</v>
      </c>
      <c r="C1249" t="s">
        <v>45</v>
      </c>
      <c r="D1249" t="s">
        <v>29</v>
      </c>
      <c r="E1249" t="s">
        <v>30</v>
      </c>
      <c r="F1249" t="s">
        <v>54</v>
      </c>
      <c r="G1249" t="s">
        <v>39</v>
      </c>
      <c r="H1249">
        <v>180000</v>
      </c>
      <c r="I1249">
        <v>8</v>
      </c>
      <c r="J1249" t="s">
        <v>69</v>
      </c>
      <c r="K1249">
        <f t="shared" si="19"/>
        <v>144000</v>
      </c>
    </row>
    <row r="1250" spans="1:11">
      <c r="A1250" t="s">
        <v>172</v>
      </c>
      <c r="B1250" t="s">
        <v>44</v>
      </c>
      <c r="C1250" t="s">
        <v>53</v>
      </c>
      <c r="D1250" t="s">
        <v>29</v>
      </c>
      <c r="E1250" t="s">
        <v>30</v>
      </c>
      <c r="F1250" t="s">
        <v>38</v>
      </c>
      <c r="G1250" t="s">
        <v>39</v>
      </c>
      <c r="H1250">
        <v>30000</v>
      </c>
      <c r="I1250">
        <v>1</v>
      </c>
      <c r="J1250" t="s">
        <v>47</v>
      </c>
      <c r="K1250">
        <f t="shared" si="19"/>
        <v>24000</v>
      </c>
    </row>
    <row r="1251" spans="1:11">
      <c r="A1251" t="s">
        <v>90</v>
      </c>
      <c r="B1251" t="s">
        <v>35</v>
      </c>
      <c r="C1251" t="s">
        <v>36</v>
      </c>
      <c r="D1251" t="s">
        <v>29</v>
      </c>
      <c r="E1251" t="s">
        <v>30</v>
      </c>
      <c r="F1251" t="s">
        <v>38</v>
      </c>
      <c r="G1251" t="s">
        <v>39</v>
      </c>
      <c r="H1251">
        <v>30000</v>
      </c>
      <c r="I1251">
        <v>8</v>
      </c>
      <c r="J1251" t="s">
        <v>58</v>
      </c>
      <c r="K1251">
        <f t="shared" si="19"/>
        <v>24000</v>
      </c>
    </row>
    <row r="1252" spans="1:11">
      <c r="A1252" t="s">
        <v>154</v>
      </c>
      <c r="B1252" t="s">
        <v>44</v>
      </c>
      <c r="C1252" t="s">
        <v>28</v>
      </c>
      <c r="D1252" t="s">
        <v>29</v>
      </c>
      <c r="E1252" t="s">
        <v>30</v>
      </c>
      <c r="F1252" t="s">
        <v>54</v>
      </c>
      <c r="G1252" t="s">
        <v>39</v>
      </c>
      <c r="H1252">
        <v>180000</v>
      </c>
      <c r="I1252">
        <v>3</v>
      </c>
      <c r="J1252" t="s">
        <v>69</v>
      </c>
      <c r="K1252">
        <f t="shared" si="19"/>
        <v>144000</v>
      </c>
    </row>
    <row r="1253" spans="1:11">
      <c r="A1253" t="s">
        <v>151</v>
      </c>
      <c r="B1253" t="s">
        <v>44</v>
      </c>
      <c r="C1253" t="s">
        <v>36</v>
      </c>
      <c r="D1253" t="s">
        <v>29</v>
      </c>
      <c r="E1253" t="s">
        <v>37</v>
      </c>
      <c r="F1253" t="s">
        <v>31</v>
      </c>
      <c r="G1253" t="s">
        <v>32</v>
      </c>
      <c r="H1253">
        <v>85000</v>
      </c>
      <c r="I1253">
        <v>7</v>
      </c>
      <c r="J1253" t="s">
        <v>42</v>
      </c>
      <c r="K1253">
        <f t="shared" si="19"/>
        <v>68000</v>
      </c>
    </row>
    <row r="1254" spans="1:11">
      <c r="A1254" t="s">
        <v>173</v>
      </c>
      <c r="B1254" t="s">
        <v>27</v>
      </c>
      <c r="C1254" t="s">
        <v>36</v>
      </c>
      <c r="D1254" t="s">
        <v>29</v>
      </c>
      <c r="E1254" t="s">
        <v>37</v>
      </c>
      <c r="F1254" t="s">
        <v>38</v>
      </c>
      <c r="G1254" t="s">
        <v>39</v>
      </c>
      <c r="H1254">
        <v>30000</v>
      </c>
      <c r="I1254">
        <v>7</v>
      </c>
      <c r="J1254" t="s">
        <v>47</v>
      </c>
      <c r="K1254">
        <f t="shared" si="19"/>
        <v>24000</v>
      </c>
    </row>
    <row r="1255" spans="1:11">
      <c r="A1255" t="s">
        <v>171</v>
      </c>
      <c r="B1255" t="s">
        <v>49</v>
      </c>
      <c r="C1255" t="s">
        <v>53</v>
      </c>
      <c r="D1255" t="s">
        <v>29</v>
      </c>
      <c r="E1255" t="s">
        <v>37</v>
      </c>
      <c r="F1255" t="s">
        <v>46</v>
      </c>
      <c r="G1255" t="s">
        <v>39</v>
      </c>
      <c r="H1255">
        <v>60000</v>
      </c>
      <c r="I1255">
        <v>3</v>
      </c>
      <c r="J1255" t="s">
        <v>47</v>
      </c>
      <c r="K1255">
        <f t="shared" si="19"/>
        <v>48000</v>
      </c>
    </row>
    <row r="1256" spans="1:11">
      <c r="A1256" t="s">
        <v>136</v>
      </c>
      <c r="B1256" t="s">
        <v>49</v>
      </c>
      <c r="C1256" t="s">
        <v>53</v>
      </c>
      <c r="D1256" t="s">
        <v>29</v>
      </c>
      <c r="E1256" t="s">
        <v>37</v>
      </c>
      <c r="F1256" t="s">
        <v>31</v>
      </c>
      <c r="G1256" t="s">
        <v>32</v>
      </c>
      <c r="H1256">
        <v>85000</v>
      </c>
      <c r="I1256">
        <v>5</v>
      </c>
      <c r="J1256" t="s">
        <v>33</v>
      </c>
      <c r="K1256">
        <f t="shared" si="19"/>
        <v>68000</v>
      </c>
    </row>
    <row r="1257" spans="1:11">
      <c r="A1257" t="s">
        <v>154</v>
      </c>
      <c r="B1257" t="s">
        <v>35</v>
      </c>
      <c r="C1257" t="s">
        <v>53</v>
      </c>
      <c r="D1257" t="s">
        <v>41</v>
      </c>
      <c r="E1257" t="s">
        <v>30</v>
      </c>
      <c r="F1257" t="s">
        <v>67</v>
      </c>
      <c r="G1257" t="s">
        <v>51</v>
      </c>
      <c r="H1257">
        <v>420000</v>
      </c>
      <c r="I1257">
        <v>1</v>
      </c>
      <c r="J1257" t="s">
        <v>33</v>
      </c>
      <c r="K1257">
        <f t="shared" si="19"/>
        <v>336000</v>
      </c>
    </row>
    <row r="1258" spans="1:11">
      <c r="A1258" t="s">
        <v>142</v>
      </c>
      <c r="B1258" t="s">
        <v>44</v>
      </c>
      <c r="C1258" t="s">
        <v>45</v>
      </c>
      <c r="D1258" t="s">
        <v>41</v>
      </c>
      <c r="E1258" t="s">
        <v>37</v>
      </c>
      <c r="F1258" t="s">
        <v>38</v>
      </c>
      <c r="G1258" t="s">
        <v>39</v>
      </c>
      <c r="H1258">
        <v>30000</v>
      </c>
      <c r="I1258">
        <v>5</v>
      </c>
      <c r="J1258" t="s">
        <v>33</v>
      </c>
      <c r="K1258">
        <f t="shared" si="19"/>
        <v>24000</v>
      </c>
    </row>
    <row r="1259" spans="1:11">
      <c r="A1259" t="s">
        <v>137</v>
      </c>
      <c r="B1259" t="s">
        <v>27</v>
      </c>
      <c r="C1259" t="s">
        <v>45</v>
      </c>
      <c r="D1259" t="s">
        <v>29</v>
      </c>
      <c r="E1259" t="s">
        <v>30</v>
      </c>
      <c r="F1259" t="s">
        <v>71</v>
      </c>
      <c r="G1259" t="s">
        <v>51</v>
      </c>
      <c r="H1259">
        <v>250000</v>
      </c>
      <c r="I1259">
        <v>9</v>
      </c>
      <c r="J1259" t="s">
        <v>58</v>
      </c>
      <c r="K1259">
        <f t="shared" si="19"/>
        <v>200000</v>
      </c>
    </row>
    <row r="1260" spans="1:11">
      <c r="A1260" t="s">
        <v>63</v>
      </c>
      <c r="B1260" t="s">
        <v>49</v>
      </c>
      <c r="C1260" t="s">
        <v>36</v>
      </c>
      <c r="D1260" t="s">
        <v>41</v>
      </c>
      <c r="E1260" t="s">
        <v>30</v>
      </c>
      <c r="F1260" t="s">
        <v>62</v>
      </c>
      <c r="G1260" t="s">
        <v>51</v>
      </c>
      <c r="H1260">
        <v>150000</v>
      </c>
      <c r="I1260">
        <v>3</v>
      </c>
      <c r="J1260" t="s">
        <v>69</v>
      </c>
      <c r="K1260">
        <f t="shared" si="19"/>
        <v>120000</v>
      </c>
    </row>
    <row r="1261" spans="1:11">
      <c r="A1261" t="s">
        <v>26</v>
      </c>
      <c r="B1261" t="s">
        <v>35</v>
      </c>
      <c r="C1261" t="s">
        <v>36</v>
      </c>
      <c r="D1261" t="s">
        <v>41</v>
      </c>
      <c r="E1261" t="s">
        <v>30</v>
      </c>
      <c r="F1261" t="s">
        <v>50</v>
      </c>
      <c r="G1261" t="s">
        <v>51</v>
      </c>
      <c r="H1261">
        <v>300000</v>
      </c>
      <c r="I1261">
        <v>5</v>
      </c>
      <c r="J1261" t="s">
        <v>69</v>
      </c>
      <c r="K1261">
        <f t="shared" si="19"/>
        <v>240000</v>
      </c>
    </row>
    <row r="1262" spans="1:11">
      <c r="A1262" t="s">
        <v>145</v>
      </c>
      <c r="B1262" t="s">
        <v>27</v>
      </c>
      <c r="C1262" t="s">
        <v>28</v>
      </c>
      <c r="D1262" t="s">
        <v>29</v>
      </c>
      <c r="E1262" t="s">
        <v>37</v>
      </c>
      <c r="F1262" t="s">
        <v>56</v>
      </c>
      <c r="G1262" t="s">
        <v>32</v>
      </c>
      <c r="H1262">
        <v>320000</v>
      </c>
      <c r="I1262">
        <v>5</v>
      </c>
      <c r="J1262" t="s">
        <v>33</v>
      </c>
      <c r="K1262">
        <f t="shared" si="19"/>
        <v>256000</v>
      </c>
    </row>
    <row r="1263" spans="1:11">
      <c r="A1263" t="s">
        <v>101</v>
      </c>
      <c r="B1263" t="s">
        <v>27</v>
      </c>
      <c r="C1263" t="s">
        <v>53</v>
      </c>
      <c r="D1263" t="s">
        <v>41</v>
      </c>
      <c r="E1263" t="s">
        <v>37</v>
      </c>
      <c r="F1263" t="s">
        <v>31</v>
      </c>
      <c r="G1263" t="s">
        <v>32</v>
      </c>
      <c r="H1263">
        <v>85000</v>
      </c>
      <c r="I1263">
        <v>10</v>
      </c>
      <c r="J1263" t="s">
        <v>65</v>
      </c>
      <c r="K1263">
        <f t="shared" si="19"/>
        <v>68000</v>
      </c>
    </row>
    <row r="1264" spans="1:11">
      <c r="A1264" t="s">
        <v>61</v>
      </c>
      <c r="B1264" t="s">
        <v>27</v>
      </c>
      <c r="C1264" t="s">
        <v>36</v>
      </c>
      <c r="D1264" t="s">
        <v>29</v>
      </c>
      <c r="E1264" t="s">
        <v>37</v>
      </c>
      <c r="F1264" t="s">
        <v>54</v>
      </c>
      <c r="G1264" t="s">
        <v>39</v>
      </c>
      <c r="H1264">
        <v>180000</v>
      </c>
      <c r="I1264">
        <v>3</v>
      </c>
      <c r="J1264" t="s">
        <v>65</v>
      </c>
      <c r="K1264">
        <f t="shared" si="19"/>
        <v>144000</v>
      </c>
    </row>
    <row r="1265" spans="1:11">
      <c r="A1265" t="s">
        <v>141</v>
      </c>
      <c r="B1265" t="s">
        <v>35</v>
      </c>
      <c r="C1265" t="s">
        <v>53</v>
      </c>
      <c r="D1265" t="s">
        <v>41</v>
      </c>
      <c r="E1265" t="s">
        <v>37</v>
      </c>
      <c r="F1265" t="s">
        <v>38</v>
      </c>
      <c r="G1265" t="s">
        <v>39</v>
      </c>
      <c r="H1265">
        <v>30000</v>
      </c>
      <c r="I1265">
        <v>3</v>
      </c>
      <c r="J1265" t="s">
        <v>69</v>
      </c>
      <c r="K1265">
        <f t="shared" si="19"/>
        <v>24000</v>
      </c>
    </row>
    <row r="1266" spans="1:11">
      <c r="A1266" t="s">
        <v>94</v>
      </c>
      <c r="B1266" t="s">
        <v>49</v>
      </c>
      <c r="C1266" t="s">
        <v>36</v>
      </c>
      <c r="D1266" t="s">
        <v>29</v>
      </c>
      <c r="E1266" t="s">
        <v>37</v>
      </c>
      <c r="F1266" t="s">
        <v>62</v>
      </c>
      <c r="G1266" t="s">
        <v>51</v>
      </c>
      <c r="H1266">
        <v>150000</v>
      </c>
      <c r="I1266">
        <v>5</v>
      </c>
      <c r="J1266" t="s">
        <v>65</v>
      </c>
      <c r="K1266">
        <f t="shared" si="19"/>
        <v>120000</v>
      </c>
    </row>
    <row r="1267" spans="1:11">
      <c r="A1267" t="s">
        <v>174</v>
      </c>
      <c r="B1267" t="s">
        <v>49</v>
      </c>
      <c r="C1267" t="s">
        <v>45</v>
      </c>
      <c r="D1267" t="s">
        <v>29</v>
      </c>
      <c r="E1267" t="s">
        <v>30</v>
      </c>
      <c r="F1267" t="s">
        <v>50</v>
      </c>
      <c r="G1267" t="s">
        <v>51</v>
      </c>
      <c r="H1267">
        <v>300000</v>
      </c>
      <c r="I1267">
        <v>4</v>
      </c>
      <c r="J1267" t="s">
        <v>58</v>
      </c>
      <c r="K1267">
        <f t="shared" si="19"/>
        <v>240000</v>
      </c>
    </row>
    <row r="1268" spans="1:11">
      <c r="A1268" t="s">
        <v>133</v>
      </c>
      <c r="B1268" t="s">
        <v>35</v>
      </c>
      <c r="C1268" t="s">
        <v>45</v>
      </c>
      <c r="D1268" t="s">
        <v>41</v>
      </c>
      <c r="E1268" t="s">
        <v>37</v>
      </c>
      <c r="F1268" t="s">
        <v>38</v>
      </c>
      <c r="G1268" t="s">
        <v>39</v>
      </c>
      <c r="H1268">
        <v>30000</v>
      </c>
      <c r="I1268">
        <v>8</v>
      </c>
      <c r="J1268" t="s">
        <v>65</v>
      </c>
      <c r="K1268">
        <f t="shared" si="19"/>
        <v>24000</v>
      </c>
    </row>
    <row r="1269" spans="1:11">
      <c r="A1269" t="s">
        <v>79</v>
      </c>
      <c r="B1269" t="s">
        <v>27</v>
      </c>
      <c r="C1269" t="s">
        <v>28</v>
      </c>
      <c r="D1269" t="s">
        <v>29</v>
      </c>
      <c r="E1269" t="s">
        <v>37</v>
      </c>
      <c r="F1269" t="s">
        <v>73</v>
      </c>
      <c r="G1269" t="s">
        <v>39</v>
      </c>
      <c r="H1269">
        <v>220000</v>
      </c>
      <c r="I1269">
        <v>10</v>
      </c>
      <c r="J1269" t="s">
        <v>42</v>
      </c>
      <c r="K1269">
        <f t="shared" si="19"/>
        <v>176000</v>
      </c>
    </row>
    <row r="1270" spans="1:11">
      <c r="A1270" t="s">
        <v>55</v>
      </c>
      <c r="B1270" t="s">
        <v>44</v>
      </c>
      <c r="C1270" t="s">
        <v>45</v>
      </c>
      <c r="D1270" t="s">
        <v>29</v>
      </c>
      <c r="E1270" t="s">
        <v>30</v>
      </c>
      <c r="F1270" t="s">
        <v>38</v>
      </c>
      <c r="G1270" t="s">
        <v>39</v>
      </c>
      <c r="H1270">
        <v>30000</v>
      </c>
      <c r="I1270">
        <v>10</v>
      </c>
      <c r="J1270" t="s">
        <v>47</v>
      </c>
      <c r="K1270">
        <f t="shared" si="19"/>
        <v>24000</v>
      </c>
    </row>
    <row r="1271" spans="1:11">
      <c r="A1271" t="s">
        <v>43</v>
      </c>
      <c r="B1271" t="s">
        <v>35</v>
      </c>
      <c r="C1271" t="s">
        <v>36</v>
      </c>
      <c r="D1271" t="s">
        <v>41</v>
      </c>
      <c r="E1271" t="s">
        <v>37</v>
      </c>
      <c r="F1271" t="s">
        <v>71</v>
      </c>
      <c r="G1271" t="s">
        <v>51</v>
      </c>
      <c r="H1271">
        <v>250000</v>
      </c>
      <c r="I1271">
        <v>5</v>
      </c>
      <c r="J1271" t="s">
        <v>33</v>
      </c>
      <c r="K1271">
        <f t="shared" si="19"/>
        <v>200000</v>
      </c>
    </row>
    <row r="1272" spans="1:11">
      <c r="A1272" t="s">
        <v>95</v>
      </c>
      <c r="B1272" t="s">
        <v>44</v>
      </c>
      <c r="C1272" t="s">
        <v>36</v>
      </c>
      <c r="D1272" t="s">
        <v>41</v>
      </c>
      <c r="E1272" t="s">
        <v>37</v>
      </c>
      <c r="F1272" t="s">
        <v>62</v>
      </c>
      <c r="G1272" t="s">
        <v>51</v>
      </c>
      <c r="H1272">
        <v>150000</v>
      </c>
      <c r="I1272">
        <v>8</v>
      </c>
      <c r="J1272" t="s">
        <v>33</v>
      </c>
      <c r="K1272">
        <f t="shared" si="19"/>
        <v>120000</v>
      </c>
    </row>
    <row r="1273" spans="1:11">
      <c r="A1273" t="s">
        <v>123</v>
      </c>
      <c r="B1273" t="s">
        <v>44</v>
      </c>
      <c r="C1273" t="s">
        <v>28</v>
      </c>
      <c r="D1273" t="s">
        <v>29</v>
      </c>
      <c r="E1273" t="s">
        <v>37</v>
      </c>
      <c r="F1273" t="s">
        <v>31</v>
      </c>
      <c r="G1273" t="s">
        <v>32</v>
      </c>
      <c r="H1273">
        <v>85000</v>
      </c>
      <c r="I1273">
        <v>1</v>
      </c>
      <c r="J1273" t="s">
        <v>33</v>
      </c>
      <c r="K1273">
        <f t="shared" si="19"/>
        <v>68000</v>
      </c>
    </row>
    <row r="1274" spans="1:11">
      <c r="A1274" t="s">
        <v>76</v>
      </c>
      <c r="B1274" t="s">
        <v>35</v>
      </c>
      <c r="C1274" t="s">
        <v>45</v>
      </c>
      <c r="D1274" t="s">
        <v>29</v>
      </c>
      <c r="E1274" t="s">
        <v>30</v>
      </c>
      <c r="F1274" t="s">
        <v>73</v>
      </c>
      <c r="G1274" t="s">
        <v>39</v>
      </c>
      <c r="H1274">
        <v>220000</v>
      </c>
      <c r="I1274">
        <v>2</v>
      </c>
      <c r="J1274" t="s">
        <v>65</v>
      </c>
      <c r="K1274">
        <f t="shared" si="19"/>
        <v>176000</v>
      </c>
    </row>
    <row r="1275" spans="1:11">
      <c r="A1275" t="s">
        <v>92</v>
      </c>
      <c r="B1275" t="s">
        <v>44</v>
      </c>
      <c r="C1275" t="s">
        <v>36</v>
      </c>
      <c r="D1275" t="s">
        <v>41</v>
      </c>
      <c r="E1275" t="s">
        <v>30</v>
      </c>
      <c r="F1275" t="s">
        <v>46</v>
      </c>
      <c r="G1275" t="s">
        <v>39</v>
      </c>
      <c r="H1275">
        <v>60000</v>
      </c>
      <c r="I1275">
        <v>9</v>
      </c>
      <c r="J1275" t="s">
        <v>47</v>
      </c>
      <c r="K1275">
        <f t="shared" si="19"/>
        <v>48000</v>
      </c>
    </row>
    <row r="1276" spans="1:11">
      <c r="A1276" t="s">
        <v>112</v>
      </c>
      <c r="B1276" t="s">
        <v>49</v>
      </c>
      <c r="C1276" t="s">
        <v>45</v>
      </c>
      <c r="D1276" t="s">
        <v>29</v>
      </c>
      <c r="E1276" t="s">
        <v>30</v>
      </c>
      <c r="F1276" t="s">
        <v>71</v>
      </c>
      <c r="G1276" t="s">
        <v>51</v>
      </c>
      <c r="H1276">
        <v>250000</v>
      </c>
      <c r="I1276">
        <v>9</v>
      </c>
      <c r="J1276" t="s">
        <v>58</v>
      </c>
      <c r="K1276">
        <f t="shared" si="19"/>
        <v>200000</v>
      </c>
    </row>
    <row r="1277" spans="1:11">
      <c r="A1277" t="s">
        <v>164</v>
      </c>
      <c r="B1277" t="s">
        <v>35</v>
      </c>
      <c r="C1277" t="s">
        <v>28</v>
      </c>
      <c r="D1277" t="s">
        <v>29</v>
      </c>
      <c r="E1277" t="s">
        <v>37</v>
      </c>
      <c r="F1277" t="s">
        <v>31</v>
      </c>
      <c r="G1277" t="s">
        <v>32</v>
      </c>
      <c r="H1277">
        <v>85000</v>
      </c>
      <c r="I1277">
        <v>7</v>
      </c>
      <c r="J1277" t="s">
        <v>65</v>
      </c>
      <c r="K1277">
        <f t="shared" si="19"/>
        <v>68000</v>
      </c>
    </row>
    <row r="1278" spans="1:11">
      <c r="A1278" t="s">
        <v>64</v>
      </c>
      <c r="B1278" t="s">
        <v>44</v>
      </c>
      <c r="C1278" t="s">
        <v>45</v>
      </c>
      <c r="D1278" t="s">
        <v>29</v>
      </c>
      <c r="E1278" t="s">
        <v>37</v>
      </c>
      <c r="F1278" t="s">
        <v>62</v>
      </c>
      <c r="G1278" t="s">
        <v>51</v>
      </c>
      <c r="H1278">
        <v>150000</v>
      </c>
      <c r="I1278">
        <v>7</v>
      </c>
      <c r="J1278" t="s">
        <v>58</v>
      </c>
      <c r="K1278">
        <f t="shared" si="19"/>
        <v>120000</v>
      </c>
    </row>
    <row r="1279" spans="1:11">
      <c r="A1279" t="s">
        <v>79</v>
      </c>
      <c r="B1279" t="s">
        <v>35</v>
      </c>
      <c r="C1279" t="s">
        <v>45</v>
      </c>
      <c r="D1279" t="s">
        <v>41</v>
      </c>
      <c r="E1279" t="s">
        <v>30</v>
      </c>
      <c r="F1279" t="s">
        <v>38</v>
      </c>
      <c r="G1279" t="s">
        <v>39</v>
      </c>
      <c r="H1279">
        <v>30000</v>
      </c>
      <c r="I1279">
        <v>3</v>
      </c>
      <c r="J1279" t="s">
        <v>42</v>
      </c>
      <c r="K1279">
        <f t="shared" si="19"/>
        <v>24000</v>
      </c>
    </row>
    <row r="1280" spans="1:11">
      <c r="A1280" t="s">
        <v>167</v>
      </c>
      <c r="B1280" t="s">
        <v>35</v>
      </c>
      <c r="C1280" t="s">
        <v>45</v>
      </c>
      <c r="D1280" t="s">
        <v>41</v>
      </c>
      <c r="E1280" t="s">
        <v>37</v>
      </c>
      <c r="F1280" t="s">
        <v>38</v>
      </c>
      <c r="G1280" t="s">
        <v>39</v>
      </c>
      <c r="H1280">
        <v>30000</v>
      </c>
      <c r="I1280">
        <v>3</v>
      </c>
      <c r="J1280" t="s">
        <v>69</v>
      </c>
      <c r="K1280">
        <f t="shared" si="19"/>
        <v>24000</v>
      </c>
    </row>
    <row r="1281" spans="1:11">
      <c r="A1281" t="s">
        <v>148</v>
      </c>
      <c r="B1281" t="s">
        <v>49</v>
      </c>
      <c r="C1281" t="s">
        <v>53</v>
      </c>
      <c r="D1281" t="s">
        <v>29</v>
      </c>
      <c r="E1281" t="s">
        <v>30</v>
      </c>
      <c r="F1281" t="s">
        <v>38</v>
      </c>
      <c r="G1281" t="s">
        <v>39</v>
      </c>
      <c r="H1281">
        <v>30000</v>
      </c>
      <c r="I1281">
        <v>4</v>
      </c>
      <c r="J1281" t="s">
        <v>65</v>
      </c>
      <c r="K1281">
        <f t="shared" si="19"/>
        <v>24000</v>
      </c>
    </row>
    <row r="1282" spans="1:11">
      <c r="A1282" t="s">
        <v>163</v>
      </c>
      <c r="B1282" t="s">
        <v>44</v>
      </c>
      <c r="C1282" t="s">
        <v>36</v>
      </c>
      <c r="D1282" t="s">
        <v>29</v>
      </c>
      <c r="E1282" t="s">
        <v>37</v>
      </c>
      <c r="F1282" t="s">
        <v>46</v>
      </c>
      <c r="G1282" t="s">
        <v>39</v>
      </c>
      <c r="H1282">
        <v>60000</v>
      </c>
      <c r="I1282">
        <v>9</v>
      </c>
      <c r="J1282" t="s">
        <v>42</v>
      </c>
      <c r="K1282">
        <f t="shared" ref="K1282:K1345" si="20">H1282-H1282*0.2</f>
        <v>48000</v>
      </c>
    </row>
    <row r="1283" spans="1:11">
      <c r="A1283" t="s">
        <v>139</v>
      </c>
      <c r="B1283" t="s">
        <v>44</v>
      </c>
      <c r="C1283" t="s">
        <v>53</v>
      </c>
      <c r="D1283" t="s">
        <v>41</v>
      </c>
      <c r="E1283" t="s">
        <v>30</v>
      </c>
      <c r="F1283" t="s">
        <v>46</v>
      </c>
      <c r="G1283" t="s">
        <v>39</v>
      </c>
      <c r="H1283">
        <v>60000</v>
      </c>
      <c r="I1283">
        <v>9</v>
      </c>
      <c r="J1283" t="s">
        <v>58</v>
      </c>
      <c r="K1283">
        <f t="shared" si="20"/>
        <v>48000</v>
      </c>
    </row>
    <row r="1284" spans="1:11">
      <c r="A1284" t="s">
        <v>109</v>
      </c>
      <c r="B1284" t="s">
        <v>44</v>
      </c>
      <c r="C1284" t="s">
        <v>28</v>
      </c>
      <c r="D1284" t="s">
        <v>41</v>
      </c>
      <c r="E1284" t="s">
        <v>30</v>
      </c>
      <c r="F1284" t="s">
        <v>67</v>
      </c>
      <c r="G1284" t="s">
        <v>51</v>
      </c>
      <c r="H1284">
        <v>420000</v>
      </c>
      <c r="I1284">
        <v>2</v>
      </c>
      <c r="J1284" t="s">
        <v>47</v>
      </c>
      <c r="K1284">
        <f t="shared" si="20"/>
        <v>336000</v>
      </c>
    </row>
    <row r="1285" spans="1:11">
      <c r="A1285" t="s">
        <v>153</v>
      </c>
      <c r="B1285" t="s">
        <v>49</v>
      </c>
      <c r="C1285" t="s">
        <v>45</v>
      </c>
      <c r="D1285" t="s">
        <v>29</v>
      </c>
      <c r="E1285" t="s">
        <v>37</v>
      </c>
      <c r="F1285" t="s">
        <v>56</v>
      </c>
      <c r="G1285" t="s">
        <v>32</v>
      </c>
      <c r="H1285">
        <v>320000</v>
      </c>
      <c r="I1285">
        <v>1</v>
      </c>
      <c r="J1285" t="s">
        <v>69</v>
      </c>
      <c r="K1285">
        <f t="shared" si="20"/>
        <v>256000</v>
      </c>
    </row>
    <row r="1286" spans="1:11">
      <c r="A1286" t="s">
        <v>101</v>
      </c>
      <c r="B1286" t="s">
        <v>27</v>
      </c>
      <c r="C1286" t="s">
        <v>28</v>
      </c>
      <c r="D1286" t="s">
        <v>29</v>
      </c>
      <c r="E1286" t="s">
        <v>37</v>
      </c>
      <c r="F1286" t="s">
        <v>38</v>
      </c>
      <c r="G1286" t="s">
        <v>39</v>
      </c>
      <c r="H1286">
        <v>30000</v>
      </c>
      <c r="I1286">
        <v>5</v>
      </c>
      <c r="J1286" t="s">
        <v>42</v>
      </c>
      <c r="K1286">
        <f t="shared" si="20"/>
        <v>24000</v>
      </c>
    </row>
    <row r="1287" spans="1:11">
      <c r="A1287" t="s">
        <v>141</v>
      </c>
      <c r="B1287" t="s">
        <v>27</v>
      </c>
      <c r="C1287" t="s">
        <v>45</v>
      </c>
      <c r="D1287" t="s">
        <v>41</v>
      </c>
      <c r="E1287" t="s">
        <v>37</v>
      </c>
      <c r="F1287" t="s">
        <v>31</v>
      </c>
      <c r="G1287" t="s">
        <v>32</v>
      </c>
      <c r="H1287">
        <v>85000</v>
      </c>
      <c r="I1287">
        <v>5</v>
      </c>
      <c r="J1287" t="s">
        <v>69</v>
      </c>
      <c r="K1287">
        <f t="shared" si="20"/>
        <v>68000</v>
      </c>
    </row>
    <row r="1288" spans="1:11">
      <c r="A1288" t="s">
        <v>126</v>
      </c>
      <c r="B1288" t="s">
        <v>27</v>
      </c>
      <c r="C1288" t="s">
        <v>45</v>
      </c>
      <c r="D1288" t="s">
        <v>41</v>
      </c>
      <c r="E1288" t="s">
        <v>30</v>
      </c>
      <c r="F1288" t="s">
        <v>67</v>
      </c>
      <c r="G1288" t="s">
        <v>51</v>
      </c>
      <c r="H1288">
        <v>420000</v>
      </c>
      <c r="I1288">
        <v>10</v>
      </c>
      <c r="J1288" t="s">
        <v>58</v>
      </c>
      <c r="K1288">
        <f t="shared" si="20"/>
        <v>336000</v>
      </c>
    </row>
    <row r="1289" spans="1:11">
      <c r="A1289" t="s">
        <v>128</v>
      </c>
      <c r="B1289" t="s">
        <v>35</v>
      </c>
      <c r="C1289" t="s">
        <v>28</v>
      </c>
      <c r="D1289" t="s">
        <v>41</v>
      </c>
      <c r="E1289" t="s">
        <v>30</v>
      </c>
      <c r="F1289" t="s">
        <v>71</v>
      </c>
      <c r="G1289" t="s">
        <v>51</v>
      </c>
      <c r="H1289">
        <v>250000</v>
      </c>
      <c r="I1289">
        <v>8</v>
      </c>
      <c r="J1289" t="s">
        <v>65</v>
      </c>
      <c r="K1289">
        <f t="shared" si="20"/>
        <v>200000</v>
      </c>
    </row>
    <row r="1290" spans="1:11">
      <c r="A1290" t="s">
        <v>164</v>
      </c>
      <c r="B1290" t="s">
        <v>27</v>
      </c>
      <c r="C1290" t="s">
        <v>36</v>
      </c>
      <c r="D1290" t="s">
        <v>41</v>
      </c>
      <c r="E1290" t="s">
        <v>37</v>
      </c>
      <c r="F1290" t="s">
        <v>71</v>
      </c>
      <c r="G1290" t="s">
        <v>51</v>
      </c>
      <c r="H1290">
        <v>250000</v>
      </c>
      <c r="I1290">
        <v>10</v>
      </c>
      <c r="J1290" t="s">
        <v>58</v>
      </c>
      <c r="K1290">
        <f t="shared" si="20"/>
        <v>200000</v>
      </c>
    </row>
    <row r="1291" spans="1:11">
      <c r="A1291" t="s">
        <v>125</v>
      </c>
      <c r="B1291" t="s">
        <v>35</v>
      </c>
      <c r="C1291" t="s">
        <v>36</v>
      </c>
      <c r="D1291" t="s">
        <v>41</v>
      </c>
      <c r="E1291" t="s">
        <v>37</v>
      </c>
      <c r="F1291" t="s">
        <v>62</v>
      </c>
      <c r="G1291" t="s">
        <v>51</v>
      </c>
      <c r="H1291">
        <v>150000</v>
      </c>
      <c r="I1291">
        <v>4</v>
      </c>
      <c r="J1291" t="s">
        <v>47</v>
      </c>
      <c r="K1291">
        <f t="shared" si="20"/>
        <v>120000</v>
      </c>
    </row>
    <row r="1292" spans="1:11">
      <c r="A1292" t="s">
        <v>136</v>
      </c>
      <c r="B1292" t="s">
        <v>35</v>
      </c>
      <c r="C1292" t="s">
        <v>36</v>
      </c>
      <c r="D1292" t="s">
        <v>41</v>
      </c>
      <c r="E1292" t="s">
        <v>30</v>
      </c>
      <c r="F1292" t="s">
        <v>54</v>
      </c>
      <c r="G1292" t="s">
        <v>39</v>
      </c>
      <c r="H1292">
        <v>180000</v>
      </c>
      <c r="I1292">
        <v>6</v>
      </c>
      <c r="J1292" t="s">
        <v>47</v>
      </c>
      <c r="K1292">
        <f t="shared" si="20"/>
        <v>144000</v>
      </c>
    </row>
    <row r="1293" spans="1:11">
      <c r="A1293" t="s">
        <v>121</v>
      </c>
      <c r="B1293" t="s">
        <v>35</v>
      </c>
      <c r="C1293" t="s">
        <v>45</v>
      </c>
      <c r="D1293" t="s">
        <v>41</v>
      </c>
      <c r="E1293" t="s">
        <v>37</v>
      </c>
      <c r="F1293" t="s">
        <v>38</v>
      </c>
      <c r="G1293" t="s">
        <v>39</v>
      </c>
      <c r="H1293">
        <v>30000</v>
      </c>
      <c r="I1293">
        <v>6</v>
      </c>
      <c r="J1293" t="s">
        <v>47</v>
      </c>
      <c r="K1293">
        <f t="shared" si="20"/>
        <v>24000</v>
      </c>
    </row>
    <row r="1294" spans="1:11">
      <c r="A1294" t="s">
        <v>95</v>
      </c>
      <c r="B1294" t="s">
        <v>27</v>
      </c>
      <c r="C1294" t="s">
        <v>36</v>
      </c>
      <c r="D1294" t="s">
        <v>41</v>
      </c>
      <c r="E1294" t="s">
        <v>30</v>
      </c>
      <c r="F1294" t="s">
        <v>71</v>
      </c>
      <c r="G1294" t="s">
        <v>51</v>
      </c>
      <c r="H1294">
        <v>250000</v>
      </c>
      <c r="I1294">
        <v>5</v>
      </c>
      <c r="J1294" t="s">
        <v>58</v>
      </c>
      <c r="K1294">
        <f t="shared" si="20"/>
        <v>200000</v>
      </c>
    </row>
    <row r="1295" spans="1:11">
      <c r="A1295" t="s">
        <v>159</v>
      </c>
      <c r="B1295" t="s">
        <v>44</v>
      </c>
      <c r="C1295" t="s">
        <v>36</v>
      </c>
      <c r="D1295" t="s">
        <v>41</v>
      </c>
      <c r="E1295" t="s">
        <v>30</v>
      </c>
      <c r="F1295" t="s">
        <v>56</v>
      </c>
      <c r="G1295" t="s">
        <v>32</v>
      </c>
      <c r="H1295">
        <v>320000</v>
      </c>
      <c r="I1295">
        <v>2</v>
      </c>
      <c r="J1295" t="s">
        <v>69</v>
      </c>
      <c r="K1295">
        <f t="shared" si="20"/>
        <v>256000</v>
      </c>
    </row>
    <row r="1296" spans="1:11">
      <c r="A1296" t="s">
        <v>74</v>
      </c>
      <c r="B1296" t="s">
        <v>35</v>
      </c>
      <c r="C1296" t="s">
        <v>36</v>
      </c>
      <c r="D1296" t="s">
        <v>41</v>
      </c>
      <c r="E1296" t="s">
        <v>37</v>
      </c>
      <c r="F1296" t="s">
        <v>50</v>
      </c>
      <c r="G1296" t="s">
        <v>51</v>
      </c>
      <c r="H1296">
        <v>300000</v>
      </c>
      <c r="I1296">
        <v>10</v>
      </c>
      <c r="J1296" t="s">
        <v>58</v>
      </c>
      <c r="K1296">
        <f t="shared" si="20"/>
        <v>240000</v>
      </c>
    </row>
    <row r="1297" spans="1:11">
      <c r="A1297" t="s">
        <v>61</v>
      </c>
      <c r="B1297" t="s">
        <v>27</v>
      </c>
      <c r="C1297" t="s">
        <v>36</v>
      </c>
      <c r="D1297" t="s">
        <v>41</v>
      </c>
      <c r="E1297" t="s">
        <v>37</v>
      </c>
      <c r="F1297" t="s">
        <v>50</v>
      </c>
      <c r="G1297" t="s">
        <v>51</v>
      </c>
      <c r="H1297">
        <v>300000</v>
      </c>
      <c r="I1297">
        <v>7</v>
      </c>
      <c r="J1297" t="s">
        <v>65</v>
      </c>
      <c r="K1297">
        <f t="shared" si="20"/>
        <v>240000</v>
      </c>
    </row>
    <row r="1298" spans="1:11">
      <c r="A1298" t="s">
        <v>150</v>
      </c>
      <c r="B1298" t="s">
        <v>49</v>
      </c>
      <c r="C1298" t="s">
        <v>28</v>
      </c>
      <c r="D1298" t="s">
        <v>41</v>
      </c>
      <c r="E1298" t="s">
        <v>30</v>
      </c>
      <c r="F1298" t="s">
        <v>54</v>
      </c>
      <c r="G1298" t="s">
        <v>39</v>
      </c>
      <c r="H1298">
        <v>180000</v>
      </c>
      <c r="I1298">
        <v>1</v>
      </c>
      <c r="J1298" t="s">
        <v>69</v>
      </c>
      <c r="K1298">
        <f t="shared" si="20"/>
        <v>144000</v>
      </c>
    </row>
    <row r="1299" spans="1:11">
      <c r="A1299" t="s">
        <v>151</v>
      </c>
      <c r="B1299" t="s">
        <v>35</v>
      </c>
      <c r="C1299" t="s">
        <v>45</v>
      </c>
      <c r="D1299" t="s">
        <v>41</v>
      </c>
      <c r="E1299" t="s">
        <v>37</v>
      </c>
      <c r="F1299" t="s">
        <v>50</v>
      </c>
      <c r="G1299" t="s">
        <v>51</v>
      </c>
      <c r="H1299">
        <v>300000</v>
      </c>
      <c r="I1299">
        <v>10</v>
      </c>
      <c r="J1299" t="s">
        <v>33</v>
      </c>
      <c r="K1299">
        <f t="shared" si="20"/>
        <v>240000</v>
      </c>
    </row>
    <row r="1300" spans="1:11">
      <c r="A1300" t="s">
        <v>165</v>
      </c>
      <c r="B1300" t="s">
        <v>27</v>
      </c>
      <c r="C1300" t="s">
        <v>53</v>
      </c>
      <c r="D1300" t="s">
        <v>41</v>
      </c>
      <c r="E1300" t="s">
        <v>30</v>
      </c>
      <c r="F1300" t="s">
        <v>54</v>
      </c>
      <c r="G1300" t="s">
        <v>39</v>
      </c>
      <c r="H1300">
        <v>180000</v>
      </c>
      <c r="I1300">
        <v>7</v>
      </c>
      <c r="J1300" t="s">
        <v>65</v>
      </c>
      <c r="K1300">
        <f t="shared" si="20"/>
        <v>144000</v>
      </c>
    </row>
    <row r="1301" spans="1:11">
      <c r="A1301" t="s">
        <v>139</v>
      </c>
      <c r="B1301" t="s">
        <v>27</v>
      </c>
      <c r="C1301" t="s">
        <v>36</v>
      </c>
      <c r="D1301" t="s">
        <v>41</v>
      </c>
      <c r="E1301" t="s">
        <v>30</v>
      </c>
      <c r="F1301" t="s">
        <v>38</v>
      </c>
      <c r="G1301" t="s">
        <v>39</v>
      </c>
      <c r="H1301">
        <v>30000</v>
      </c>
      <c r="I1301">
        <v>7</v>
      </c>
      <c r="J1301" t="s">
        <v>47</v>
      </c>
      <c r="K1301">
        <f t="shared" si="20"/>
        <v>24000</v>
      </c>
    </row>
    <row r="1302" spans="1:11">
      <c r="A1302" t="s">
        <v>92</v>
      </c>
      <c r="B1302" t="s">
        <v>35</v>
      </c>
      <c r="C1302" t="s">
        <v>28</v>
      </c>
      <c r="D1302" t="s">
        <v>41</v>
      </c>
      <c r="E1302" t="s">
        <v>30</v>
      </c>
      <c r="F1302" t="s">
        <v>38</v>
      </c>
      <c r="G1302" t="s">
        <v>39</v>
      </c>
      <c r="H1302">
        <v>30000</v>
      </c>
      <c r="I1302">
        <v>6</v>
      </c>
      <c r="J1302" t="s">
        <v>42</v>
      </c>
      <c r="K1302">
        <f t="shared" si="20"/>
        <v>24000</v>
      </c>
    </row>
    <row r="1303" spans="1:11">
      <c r="A1303" t="s">
        <v>148</v>
      </c>
      <c r="B1303" t="s">
        <v>35</v>
      </c>
      <c r="C1303" t="s">
        <v>36</v>
      </c>
      <c r="D1303" t="s">
        <v>41</v>
      </c>
      <c r="E1303" t="s">
        <v>30</v>
      </c>
      <c r="F1303" t="s">
        <v>31</v>
      </c>
      <c r="G1303" t="s">
        <v>32</v>
      </c>
      <c r="H1303">
        <v>85000</v>
      </c>
      <c r="I1303">
        <v>7</v>
      </c>
      <c r="J1303" t="s">
        <v>58</v>
      </c>
      <c r="K1303">
        <f t="shared" si="20"/>
        <v>68000</v>
      </c>
    </row>
    <row r="1304" spans="1:11">
      <c r="A1304" t="s">
        <v>78</v>
      </c>
      <c r="B1304" t="s">
        <v>35</v>
      </c>
      <c r="C1304" t="s">
        <v>28</v>
      </c>
      <c r="D1304" t="s">
        <v>41</v>
      </c>
      <c r="E1304" t="s">
        <v>37</v>
      </c>
      <c r="F1304" t="s">
        <v>71</v>
      </c>
      <c r="G1304" t="s">
        <v>51</v>
      </c>
      <c r="H1304">
        <v>250000</v>
      </c>
      <c r="I1304">
        <v>3</v>
      </c>
      <c r="J1304" t="s">
        <v>58</v>
      </c>
      <c r="K1304">
        <f t="shared" si="20"/>
        <v>200000</v>
      </c>
    </row>
    <row r="1305" spans="1:11">
      <c r="A1305" t="s">
        <v>85</v>
      </c>
      <c r="B1305" t="s">
        <v>27</v>
      </c>
      <c r="C1305" t="s">
        <v>36</v>
      </c>
      <c r="D1305" t="s">
        <v>41</v>
      </c>
      <c r="E1305" t="s">
        <v>30</v>
      </c>
      <c r="F1305" t="s">
        <v>56</v>
      </c>
      <c r="G1305" t="s">
        <v>32</v>
      </c>
      <c r="H1305">
        <v>320000</v>
      </c>
      <c r="I1305">
        <v>7</v>
      </c>
      <c r="J1305" t="s">
        <v>47</v>
      </c>
      <c r="K1305">
        <f t="shared" si="20"/>
        <v>256000</v>
      </c>
    </row>
    <row r="1306" spans="1:11">
      <c r="A1306" t="s">
        <v>158</v>
      </c>
      <c r="B1306" t="s">
        <v>44</v>
      </c>
      <c r="C1306" t="s">
        <v>45</v>
      </c>
      <c r="D1306" t="s">
        <v>41</v>
      </c>
      <c r="E1306" t="s">
        <v>37</v>
      </c>
      <c r="F1306" t="s">
        <v>38</v>
      </c>
      <c r="G1306" t="s">
        <v>39</v>
      </c>
      <c r="H1306">
        <v>30000</v>
      </c>
      <c r="I1306">
        <v>7</v>
      </c>
      <c r="J1306" t="s">
        <v>58</v>
      </c>
      <c r="K1306">
        <f t="shared" si="20"/>
        <v>24000</v>
      </c>
    </row>
    <row r="1307" spans="1:11">
      <c r="A1307" t="s">
        <v>128</v>
      </c>
      <c r="B1307" t="s">
        <v>27</v>
      </c>
      <c r="C1307" t="s">
        <v>45</v>
      </c>
      <c r="D1307" t="s">
        <v>41</v>
      </c>
      <c r="E1307" t="s">
        <v>30</v>
      </c>
      <c r="F1307" t="s">
        <v>56</v>
      </c>
      <c r="G1307" t="s">
        <v>32</v>
      </c>
      <c r="H1307">
        <v>320000</v>
      </c>
      <c r="I1307">
        <v>8</v>
      </c>
      <c r="J1307" t="s">
        <v>33</v>
      </c>
      <c r="K1307">
        <f t="shared" si="20"/>
        <v>256000</v>
      </c>
    </row>
    <row r="1308" spans="1:11">
      <c r="A1308" t="s">
        <v>43</v>
      </c>
      <c r="B1308" t="s">
        <v>49</v>
      </c>
      <c r="C1308" t="s">
        <v>53</v>
      </c>
      <c r="D1308" t="s">
        <v>41</v>
      </c>
      <c r="E1308" t="s">
        <v>30</v>
      </c>
      <c r="F1308" t="s">
        <v>56</v>
      </c>
      <c r="G1308" t="s">
        <v>32</v>
      </c>
      <c r="H1308">
        <v>320000</v>
      </c>
      <c r="I1308">
        <v>7</v>
      </c>
      <c r="J1308" t="s">
        <v>65</v>
      </c>
      <c r="K1308">
        <f t="shared" si="20"/>
        <v>256000</v>
      </c>
    </row>
    <row r="1309" spans="1:11">
      <c r="A1309" t="s">
        <v>167</v>
      </c>
      <c r="B1309" t="s">
        <v>35</v>
      </c>
      <c r="C1309" t="s">
        <v>36</v>
      </c>
      <c r="D1309" t="s">
        <v>41</v>
      </c>
      <c r="E1309" t="s">
        <v>37</v>
      </c>
      <c r="F1309" t="s">
        <v>46</v>
      </c>
      <c r="G1309" t="s">
        <v>39</v>
      </c>
      <c r="H1309">
        <v>60000</v>
      </c>
      <c r="I1309">
        <v>2</v>
      </c>
      <c r="J1309" t="s">
        <v>47</v>
      </c>
      <c r="K1309">
        <f t="shared" si="20"/>
        <v>48000</v>
      </c>
    </row>
    <row r="1310" spans="1:11">
      <c r="A1310" t="s">
        <v>103</v>
      </c>
      <c r="B1310" t="s">
        <v>27</v>
      </c>
      <c r="C1310" t="s">
        <v>28</v>
      </c>
      <c r="D1310" t="s">
        <v>41</v>
      </c>
      <c r="E1310" t="s">
        <v>37</v>
      </c>
      <c r="F1310" t="s">
        <v>73</v>
      </c>
      <c r="G1310" t="s">
        <v>39</v>
      </c>
      <c r="H1310">
        <v>220000</v>
      </c>
      <c r="I1310">
        <v>8</v>
      </c>
      <c r="J1310" t="s">
        <v>65</v>
      </c>
      <c r="K1310">
        <f t="shared" si="20"/>
        <v>176000</v>
      </c>
    </row>
    <row r="1311" spans="1:11">
      <c r="A1311" t="s">
        <v>139</v>
      </c>
      <c r="B1311" t="s">
        <v>44</v>
      </c>
      <c r="C1311" t="s">
        <v>45</v>
      </c>
      <c r="D1311" t="s">
        <v>41</v>
      </c>
      <c r="E1311" t="s">
        <v>30</v>
      </c>
      <c r="F1311" t="s">
        <v>46</v>
      </c>
      <c r="G1311" t="s">
        <v>39</v>
      </c>
      <c r="H1311">
        <v>60000</v>
      </c>
      <c r="I1311">
        <v>2</v>
      </c>
      <c r="J1311" t="s">
        <v>47</v>
      </c>
      <c r="K1311">
        <f t="shared" si="20"/>
        <v>48000</v>
      </c>
    </row>
    <row r="1312" spans="1:11">
      <c r="A1312" t="s">
        <v>99</v>
      </c>
      <c r="B1312" t="s">
        <v>27</v>
      </c>
      <c r="C1312" t="s">
        <v>45</v>
      </c>
      <c r="D1312" t="s">
        <v>41</v>
      </c>
      <c r="E1312" t="s">
        <v>30</v>
      </c>
      <c r="F1312" t="s">
        <v>56</v>
      </c>
      <c r="G1312" t="s">
        <v>32</v>
      </c>
      <c r="H1312">
        <v>320000</v>
      </c>
      <c r="I1312">
        <v>2</v>
      </c>
      <c r="J1312" t="s">
        <v>69</v>
      </c>
      <c r="K1312">
        <f t="shared" si="20"/>
        <v>256000</v>
      </c>
    </row>
    <row r="1313" spans="1:11">
      <c r="A1313" t="s">
        <v>78</v>
      </c>
      <c r="B1313" t="s">
        <v>35</v>
      </c>
      <c r="C1313" t="s">
        <v>28</v>
      </c>
      <c r="D1313" t="s">
        <v>41</v>
      </c>
      <c r="E1313" t="s">
        <v>37</v>
      </c>
      <c r="F1313" t="s">
        <v>38</v>
      </c>
      <c r="G1313" t="s">
        <v>39</v>
      </c>
      <c r="H1313">
        <v>30000</v>
      </c>
      <c r="I1313">
        <v>2</v>
      </c>
      <c r="J1313" t="s">
        <v>58</v>
      </c>
      <c r="K1313">
        <f t="shared" si="20"/>
        <v>24000</v>
      </c>
    </row>
    <row r="1314" spans="1:11">
      <c r="A1314" t="s">
        <v>132</v>
      </c>
      <c r="B1314" t="s">
        <v>49</v>
      </c>
      <c r="C1314" t="s">
        <v>36</v>
      </c>
      <c r="D1314" t="s">
        <v>41</v>
      </c>
      <c r="E1314" t="s">
        <v>37</v>
      </c>
      <c r="F1314" t="s">
        <v>38</v>
      </c>
      <c r="G1314" t="s">
        <v>39</v>
      </c>
      <c r="H1314">
        <v>30000</v>
      </c>
      <c r="I1314">
        <v>7</v>
      </c>
      <c r="J1314" t="s">
        <v>58</v>
      </c>
      <c r="K1314">
        <f t="shared" si="20"/>
        <v>24000</v>
      </c>
    </row>
    <row r="1315" spans="1:11">
      <c r="A1315" t="s">
        <v>177</v>
      </c>
      <c r="B1315" t="s">
        <v>49</v>
      </c>
      <c r="C1315" t="s">
        <v>28</v>
      </c>
      <c r="D1315" t="s">
        <v>41</v>
      </c>
      <c r="E1315" t="s">
        <v>37</v>
      </c>
      <c r="F1315" t="s">
        <v>71</v>
      </c>
      <c r="G1315" t="s">
        <v>51</v>
      </c>
      <c r="H1315">
        <v>250000</v>
      </c>
      <c r="I1315">
        <v>10</v>
      </c>
      <c r="J1315" t="s">
        <v>58</v>
      </c>
      <c r="K1315">
        <f t="shared" si="20"/>
        <v>200000</v>
      </c>
    </row>
    <row r="1316" spans="1:11">
      <c r="A1316" t="s">
        <v>113</v>
      </c>
      <c r="B1316" t="s">
        <v>35</v>
      </c>
      <c r="C1316" t="s">
        <v>53</v>
      </c>
      <c r="D1316" t="s">
        <v>41</v>
      </c>
      <c r="E1316" t="s">
        <v>37</v>
      </c>
      <c r="F1316" t="s">
        <v>50</v>
      </c>
      <c r="G1316" t="s">
        <v>51</v>
      </c>
      <c r="H1316">
        <v>300000</v>
      </c>
      <c r="I1316">
        <v>9</v>
      </c>
      <c r="J1316" t="s">
        <v>47</v>
      </c>
      <c r="K1316">
        <f t="shared" si="20"/>
        <v>240000</v>
      </c>
    </row>
    <row r="1317" spans="1:11">
      <c r="A1317" t="s">
        <v>118</v>
      </c>
      <c r="B1317" t="s">
        <v>44</v>
      </c>
      <c r="C1317" t="s">
        <v>45</v>
      </c>
      <c r="D1317" t="s">
        <v>41</v>
      </c>
      <c r="E1317" t="s">
        <v>37</v>
      </c>
      <c r="F1317" t="s">
        <v>31</v>
      </c>
      <c r="G1317" t="s">
        <v>32</v>
      </c>
      <c r="H1317">
        <v>85000</v>
      </c>
      <c r="I1317">
        <v>6</v>
      </c>
      <c r="J1317" t="s">
        <v>65</v>
      </c>
      <c r="K1317">
        <f t="shared" si="20"/>
        <v>68000</v>
      </c>
    </row>
    <row r="1318" spans="1:11">
      <c r="A1318" t="s">
        <v>166</v>
      </c>
      <c r="B1318" t="s">
        <v>27</v>
      </c>
      <c r="C1318" t="s">
        <v>28</v>
      </c>
      <c r="D1318" t="s">
        <v>41</v>
      </c>
      <c r="E1318" t="s">
        <v>37</v>
      </c>
      <c r="F1318" t="s">
        <v>38</v>
      </c>
      <c r="G1318" t="s">
        <v>39</v>
      </c>
      <c r="H1318">
        <v>30000</v>
      </c>
      <c r="I1318">
        <v>4</v>
      </c>
      <c r="J1318" t="s">
        <v>33</v>
      </c>
      <c r="K1318">
        <f t="shared" si="20"/>
        <v>24000</v>
      </c>
    </row>
    <row r="1319" spans="1:11">
      <c r="A1319" t="s">
        <v>173</v>
      </c>
      <c r="B1319" t="s">
        <v>44</v>
      </c>
      <c r="C1319" t="s">
        <v>53</v>
      </c>
      <c r="D1319" t="s">
        <v>41</v>
      </c>
      <c r="E1319" t="s">
        <v>30</v>
      </c>
      <c r="F1319" t="s">
        <v>50</v>
      </c>
      <c r="G1319" t="s">
        <v>51</v>
      </c>
      <c r="H1319">
        <v>300000</v>
      </c>
      <c r="I1319">
        <v>4</v>
      </c>
      <c r="J1319" t="s">
        <v>33</v>
      </c>
      <c r="K1319">
        <f t="shared" si="20"/>
        <v>240000</v>
      </c>
    </row>
    <row r="1320" spans="1:11">
      <c r="A1320" t="s">
        <v>80</v>
      </c>
      <c r="B1320" t="s">
        <v>44</v>
      </c>
      <c r="C1320" t="s">
        <v>53</v>
      </c>
      <c r="D1320" t="s">
        <v>41</v>
      </c>
      <c r="E1320" t="s">
        <v>37</v>
      </c>
      <c r="F1320" t="s">
        <v>73</v>
      </c>
      <c r="G1320" t="s">
        <v>39</v>
      </c>
      <c r="H1320">
        <v>220000</v>
      </c>
      <c r="I1320">
        <v>5</v>
      </c>
      <c r="J1320" t="s">
        <v>58</v>
      </c>
      <c r="K1320">
        <f t="shared" si="20"/>
        <v>176000</v>
      </c>
    </row>
    <row r="1321" spans="1:11">
      <c r="A1321" t="s">
        <v>134</v>
      </c>
      <c r="B1321" t="s">
        <v>35</v>
      </c>
      <c r="C1321" t="s">
        <v>53</v>
      </c>
      <c r="D1321" t="s">
        <v>41</v>
      </c>
      <c r="E1321" t="s">
        <v>37</v>
      </c>
      <c r="F1321" t="s">
        <v>73</v>
      </c>
      <c r="G1321" t="s">
        <v>39</v>
      </c>
      <c r="H1321">
        <v>220000</v>
      </c>
      <c r="I1321">
        <v>4</v>
      </c>
      <c r="J1321" t="s">
        <v>58</v>
      </c>
      <c r="K1321">
        <f t="shared" si="20"/>
        <v>176000</v>
      </c>
    </row>
    <row r="1322" spans="1:11">
      <c r="A1322" t="s">
        <v>115</v>
      </c>
      <c r="B1322" t="s">
        <v>35</v>
      </c>
      <c r="C1322" t="s">
        <v>53</v>
      </c>
      <c r="D1322" t="s">
        <v>41</v>
      </c>
      <c r="E1322" t="s">
        <v>30</v>
      </c>
      <c r="F1322" t="s">
        <v>38</v>
      </c>
      <c r="G1322" t="s">
        <v>39</v>
      </c>
      <c r="H1322">
        <v>30000</v>
      </c>
      <c r="I1322">
        <v>1</v>
      </c>
      <c r="J1322" t="s">
        <v>69</v>
      </c>
      <c r="K1322">
        <f t="shared" si="20"/>
        <v>24000</v>
      </c>
    </row>
    <row r="1323" spans="1:11">
      <c r="A1323" t="s">
        <v>72</v>
      </c>
      <c r="B1323" t="s">
        <v>44</v>
      </c>
      <c r="C1323" t="s">
        <v>36</v>
      </c>
      <c r="D1323" t="s">
        <v>29</v>
      </c>
      <c r="E1323" t="s">
        <v>30</v>
      </c>
      <c r="F1323" t="s">
        <v>67</v>
      </c>
      <c r="G1323" t="s">
        <v>51</v>
      </c>
      <c r="H1323">
        <v>420000</v>
      </c>
      <c r="I1323">
        <v>9</v>
      </c>
      <c r="J1323" t="s">
        <v>42</v>
      </c>
      <c r="K1323">
        <f t="shared" si="20"/>
        <v>336000</v>
      </c>
    </row>
    <row r="1324" spans="1:11">
      <c r="A1324" t="s">
        <v>114</v>
      </c>
      <c r="B1324" t="s">
        <v>27</v>
      </c>
      <c r="C1324" t="s">
        <v>36</v>
      </c>
      <c r="D1324" t="s">
        <v>41</v>
      </c>
      <c r="E1324" t="s">
        <v>30</v>
      </c>
      <c r="F1324" t="s">
        <v>46</v>
      </c>
      <c r="G1324" t="s">
        <v>39</v>
      </c>
      <c r="H1324">
        <v>60000</v>
      </c>
      <c r="I1324">
        <v>6</v>
      </c>
      <c r="J1324" t="s">
        <v>42</v>
      </c>
      <c r="K1324">
        <f t="shared" si="20"/>
        <v>48000</v>
      </c>
    </row>
    <row r="1325" spans="1:11">
      <c r="A1325" t="s">
        <v>139</v>
      </c>
      <c r="B1325" t="s">
        <v>27</v>
      </c>
      <c r="C1325" t="s">
        <v>53</v>
      </c>
      <c r="D1325" t="s">
        <v>29</v>
      </c>
      <c r="E1325" t="s">
        <v>30</v>
      </c>
      <c r="F1325" t="s">
        <v>54</v>
      </c>
      <c r="G1325" t="s">
        <v>39</v>
      </c>
      <c r="H1325">
        <v>180000</v>
      </c>
      <c r="I1325">
        <v>2</v>
      </c>
      <c r="J1325" t="s">
        <v>47</v>
      </c>
      <c r="K1325">
        <f t="shared" si="20"/>
        <v>144000</v>
      </c>
    </row>
    <row r="1326" spans="1:11">
      <c r="A1326" t="s">
        <v>106</v>
      </c>
      <c r="B1326" t="s">
        <v>35</v>
      </c>
      <c r="C1326" t="s">
        <v>36</v>
      </c>
      <c r="D1326" t="s">
        <v>29</v>
      </c>
      <c r="E1326" t="s">
        <v>30</v>
      </c>
      <c r="F1326" t="s">
        <v>31</v>
      </c>
      <c r="G1326" t="s">
        <v>32</v>
      </c>
      <c r="H1326">
        <v>85000</v>
      </c>
      <c r="I1326">
        <v>1</v>
      </c>
      <c r="J1326" t="s">
        <v>42</v>
      </c>
      <c r="K1326">
        <f t="shared" si="20"/>
        <v>68000</v>
      </c>
    </row>
    <row r="1327" spans="1:11">
      <c r="A1327" t="s">
        <v>86</v>
      </c>
      <c r="B1327" t="s">
        <v>27</v>
      </c>
      <c r="C1327" t="s">
        <v>45</v>
      </c>
      <c r="D1327" t="s">
        <v>29</v>
      </c>
      <c r="E1327" t="s">
        <v>37</v>
      </c>
      <c r="F1327" t="s">
        <v>71</v>
      </c>
      <c r="G1327" t="s">
        <v>51</v>
      </c>
      <c r="H1327">
        <v>250000</v>
      </c>
      <c r="I1327">
        <v>2</v>
      </c>
      <c r="J1327" t="s">
        <v>33</v>
      </c>
      <c r="K1327">
        <f t="shared" si="20"/>
        <v>200000</v>
      </c>
    </row>
    <row r="1328" spans="1:11">
      <c r="A1328" t="s">
        <v>130</v>
      </c>
      <c r="B1328" t="s">
        <v>49</v>
      </c>
      <c r="C1328" t="s">
        <v>53</v>
      </c>
      <c r="D1328" t="s">
        <v>29</v>
      </c>
      <c r="E1328" t="s">
        <v>37</v>
      </c>
      <c r="F1328" t="s">
        <v>38</v>
      </c>
      <c r="G1328" t="s">
        <v>39</v>
      </c>
      <c r="H1328">
        <v>30000</v>
      </c>
      <c r="I1328">
        <v>7</v>
      </c>
      <c r="J1328" t="s">
        <v>58</v>
      </c>
      <c r="K1328">
        <f t="shared" si="20"/>
        <v>24000</v>
      </c>
    </row>
    <row r="1329" spans="1:11">
      <c r="A1329" t="s">
        <v>155</v>
      </c>
      <c r="B1329" t="s">
        <v>27</v>
      </c>
      <c r="C1329" t="s">
        <v>36</v>
      </c>
      <c r="D1329" t="s">
        <v>29</v>
      </c>
      <c r="E1329" t="s">
        <v>37</v>
      </c>
      <c r="F1329" t="s">
        <v>67</v>
      </c>
      <c r="G1329" t="s">
        <v>51</v>
      </c>
      <c r="H1329">
        <v>420000</v>
      </c>
      <c r="I1329">
        <v>9</v>
      </c>
      <c r="J1329" t="s">
        <v>58</v>
      </c>
      <c r="K1329">
        <f t="shared" si="20"/>
        <v>336000</v>
      </c>
    </row>
    <row r="1330" spans="1:11">
      <c r="A1330" t="s">
        <v>26</v>
      </c>
      <c r="B1330" t="s">
        <v>44</v>
      </c>
      <c r="C1330" t="s">
        <v>53</v>
      </c>
      <c r="D1330" t="s">
        <v>29</v>
      </c>
      <c r="E1330" t="s">
        <v>30</v>
      </c>
      <c r="F1330" t="s">
        <v>46</v>
      </c>
      <c r="G1330" t="s">
        <v>39</v>
      </c>
      <c r="H1330">
        <v>60000</v>
      </c>
      <c r="I1330">
        <v>7</v>
      </c>
      <c r="J1330" t="s">
        <v>42</v>
      </c>
      <c r="K1330">
        <f t="shared" si="20"/>
        <v>48000</v>
      </c>
    </row>
    <row r="1331" spans="1:11">
      <c r="A1331" t="s">
        <v>157</v>
      </c>
      <c r="B1331" t="s">
        <v>49</v>
      </c>
      <c r="C1331" t="s">
        <v>45</v>
      </c>
      <c r="D1331" t="s">
        <v>29</v>
      </c>
      <c r="E1331" t="s">
        <v>37</v>
      </c>
      <c r="F1331" t="s">
        <v>50</v>
      </c>
      <c r="G1331" t="s">
        <v>51</v>
      </c>
      <c r="H1331">
        <v>300000</v>
      </c>
      <c r="I1331">
        <v>7</v>
      </c>
      <c r="J1331" t="s">
        <v>58</v>
      </c>
      <c r="K1331">
        <f t="shared" si="20"/>
        <v>240000</v>
      </c>
    </row>
    <row r="1332" spans="1:11">
      <c r="A1332" t="s">
        <v>75</v>
      </c>
      <c r="B1332" t="s">
        <v>35</v>
      </c>
      <c r="C1332" t="s">
        <v>28</v>
      </c>
      <c r="D1332" t="s">
        <v>41</v>
      </c>
      <c r="E1332" t="s">
        <v>30</v>
      </c>
      <c r="F1332" t="s">
        <v>62</v>
      </c>
      <c r="G1332" t="s">
        <v>51</v>
      </c>
      <c r="H1332">
        <v>150000</v>
      </c>
      <c r="I1332">
        <v>9</v>
      </c>
      <c r="J1332" t="s">
        <v>69</v>
      </c>
      <c r="K1332">
        <f t="shared" si="20"/>
        <v>120000</v>
      </c>
    </row>
    <row r="1333" spans="1:11">
      <c r="A1333" t="s">
        <v>107</v>
      </c>
      <c r="B1333" t="s">
        <v>44</v>
      </c>
      <c r="C1333" t="s">
        <v>45</v>
      </c>
      <c r="D1333" t="s">
        <v>41</v>
      </c>
      <c r="E1333" t="s">
        <v>30</v>
      </c>
      <c r="F1333" t="s">
        <v>50</v>
      </c>
      <c r="G1333" t="s">
        <v>51</v>
      </c>
      <c r="H1333">
        <v>300000</v>
      </c>
      <c r="I1333">
        <v>7</v>
      </c>
      <c r="J1333" t="s">
        <v>47</v>
      </c>
      <c r="K1333">
        <f t="shared" si="20"/>
        <v>240000</v>
      </c>
    </row>
    <row r="1334" spans="1:11">
      <c r="A1334" t="s">
        <v>61</v>
      </c>
      <c r="B1334" t="s">
        <v>27</v>
      </c>
      <c r="C1334" t="s">
        <v>36</v>
      </c>
      <c r="D1334" t="s">
        <v>29</v>
      </c>
      <c r="E1334" t="s">
        <v>30</v>
      </c>
      <c r="F1334" t="s">
        <v>71</v>
      </c>
      <c r="G1334" t="s">
        <v>51</v>
      </c>
      <c r="H1334">
        <v>250000</v>
      </c>
      <c r="I1334">
        <v>1</v>
      </c>
      <c r="J1334" t="s">
        <v>65</v>
      </c>
      <c r="K1334">
        <f t="shared" si="20"/>
        <v>200000</v>
      </c>
    </row>
    <row r="1335" spans="1:11">
      <c r="A1335" t="s">
        <v>158</v>
      </c>
      <c r="B1335" t="s">
        <v>27</v>
      </c>
      <c r="C1335" t="s">
        <v>36</v>
      </c>
      <c r="D1335" t="s">
        <v>41</v>
      </c>
      <c r="E1335" t="s">
        <v>30</v>
      </c>
      <c r="F1335" t="s">
        <v>71</v>
      </c>
      <c r="G1335" t="s">
        <v>51</v>
      </c>
      <c r="H1335">
        <v>250000</v>
      </c>
      <c r="I1335">
        <v>6</v>
      </c>
      <c r="J1335" t="s">
        <v>47</v>
      </c>
      <c r="K1335">
        <f t="shared" si="20"/>
        <v>200000</v>
      </c>
    </row>
    <row r="1336" spans="1:11">
      <c r="A1336" t="s">
        <v>147</v>
      </c>
      <c r="B1336" t="s">
        <v>35</v>
      </c>
      <c r="C1336" t="s">
        <v>45</v>
      </c>
      <c r="D1336" t="s">
        <v>41</v>
      </c>
      <c r="E1336" t="s">
        <v>37</v>
      </c>
      <c r="F1336" t="s">
        <v>67</v>
      </c>
      <c r="G1336" t="s">
        <v>51</v>
      </c>
      <c r="H1336">
        <v>420000</v>
      </c>
      <c r="I1336">
        <v>9</v>
      </c>
      <c r="J1336" t="s">
        <v>69</v>
      </c>
      <c r="K1336">
        <f t="shared" si="20"/>
        <v>336000</v>
      </c>
    </row>
    <row r="1337" spans="1:11">
      <c r="A1337" t="s">
        <v>128</v>
      </c>
      <c r="B1337" t="s">
        <v>44</v>
      </c>
      <c r="C1337" t="s">
        <v>53</v>
      </c>
      <c r="D1337" t="s">
        <v>41</v>
      </c>
      <c r="E1337" t="s">
        <v>30</v>
      </c>
      <c r="F1337" t="s">
        <v>54</v>
      </c>
      <c r="G1337" t="s">
        <v>39</v>
      </c>
      <c r="H1337">
        <v>180000</v>
      </c>
      <c r="I1337">
        <v>6</v>
      </c>
      <c r="J1337" t="s">
        <v>42</v>
      </c>
      <c r="K1337">
        <f t="shared" si="20"/>
        <v>144000</v>
      </c>
    </row>
    <row r="1338" spans="1:11">
      <c r="A1338" t="s">
        <v>158</v>
      </c>
      <c r="B1338" t="s">
        <v>44</v>
      </c>
      <c r="C1338" t="s">
        <v>45</v>
      </c>
      <c r="D1338" t="s">
        <v>41</v>
      </c>
      <c r="E1338" t="s">
        <v>30</v>
      </c>
      <c r="F1338" t="s">
        <v>31</v>
      </c>
      <c r="G1338" t="s">
        <v>32</v>
      </c>
      <c r="H1338">
        <v>85000</v>
      </c>
      <c r="I1338">
        <v>5</v>
      </c>
      <c r="J1338" t="s">
        <v>69</v>
      </c>
      <c r="K1338">
        <f t="shared" si="20"/>
        <v>68000</v>
      </c>
    </row>
    <row r="1339" spans="1:11">
      <c r="A1339" t="s">
        <v>121</v>
      </c>
      <c r="B1339" t="s">
        <v>27</v>
      </c>
      <c r="C1339" t="s">
        <v>45</v>
      </c>
      <c r="D1339" t="s">
        <v>41</v>
      </c>
      <c r="E1339" t="s">
        <v>30</v>
      </c>
      <c r="F1339" t="s">
        <v>73</v>
      </c>
      <c r="G1339" t="s">
        <v>39</v>
      </c>
      <c r="H1339">
        <v>220000</v>
      </c>
      <c r="I1339">
        <v>5</v>
      </c>
      <c r="J1339" t="s">
        <v>69</v>
      </c>
      <c r="K1339">
        <f t="shared" si="20"/>
        <v>176000</v>
      </c>
    </row>
    <row r="1340" spans="1:11">
      <c r="A1340" t="s">
        <v>129</v>
      </c>
      <c r="B1340" t="s">
        <v>35</v>
      </c>
      <c r="C1340" t="s">
        <v>53</v>
      </c>
      <c r="D1340" t="s">
        <v>29</v>
      </c>
      <c r="E1340" t="s">
        <v>30</v>
      </c>
      <c r="F1340" t="s">
        <v>46</v>
      </c>
      <c r="G1340" t="s">
        <v>39</v>
      </c>
      <c r="H1340">
        <v>60000</v>
      </c>
      <c r="I1340">
        <v>8</v>
      </c>
      <c r="J1340" t="s">
        <v>65</v>
      </c>
      <c r="K1340">
        <f t="shared" si="20"/>
        <v>48000</v>
      </c>
    </row>
    <row r="1341" spans="1:11">
      <c r="A1341" t="s">
        <v>100</v>
      </c>
      <c r="B1341" t="s">
        <v>35</v>
      </c>
      <c r="C1341" t="s">
        <v>53</v>
      </c>
      <c r="D1341" t="s">
        <v>41</v>
      </c>
      <c r="E1341" t="s">
        <v>37</v>
      </c>
      <c r="F1341" t="s">
        <v>31</v>
      </c>
      <c r="G1341" t="s">
        <v>32</v>
      </c>
      <c r="H1341">
        <v>85000</v>
      </c>
      <c r="I1341">
        <v>10</v>
      </c>
      <c r="J1341" t="s">
        <v>58</v>
      </c>
      <c r="K1341">
        <f t="shared" si="20"/>
        <v>68000</v>
      </c>
    </row>
    <row r="1342" spans="1:11">
      <c r="A1342" t="s">
        <v>112</v>
      </c>
      <c r="B1342" t="s">
        <v>49</v>
      </c>
      <c r="C1342" t="s">
        <v>36</v>
      </c>
      <c r="D1342" t="s">
        <v>29</v>
      </c>
      <c r="E1342" t="s">
        <v>37</v>
      </c>
      <c r="F1342" t="s">
        <v>38</v>
      </c>
      <c r="G1342" t="s">
        <v>39</v>
      </c>
      <c r="H1342">
        <v>30000</v>
      </c>
      <c r="I1342">
        <v>6</v>
      </c>
      <c r="J1342" t="s">
        <v>69</v>
      </c>
      <c r="K1342">
        <f t="shared" si="20"/>
        <v>24000</v>
      </c>
    </row>
    <row r="1343" spans="1:11">
      <c r="A1343" t="s">
        <v>142</v>
      </c>
      <c r="B1343" t="s">
        <v>27</v>
      </c>
      <c r="C1343" t="s">
        <v>36</v>
      </c>
      <c r="D1343" t="s">
        <v>41</v>
      </c>
      <c r="E1343" t="s">
        <v>37</v>
      </c>
      <c r="F1343" t="s">
        <v>56</v>
      </c>
      <c r="G1343" t="s">
        <v>32</v>
      </c>
      <c r="H1343">
        <v>320000</v>
      </c>
      <c r="I1343">
        <v>10</v>
      </c>
      <c r="J1343" t="s">
        <v>42</v>
      </c>
      <c r="K1343">
        <f t="shared" si="20"/>
        <v>256000</v>
      </c>
    </row>
    <row r="1344" spans="1:11">
      <c r="A1344" t="s">
        <v>116</v>
      </c>
      <c r="B1344" t="s">
        <v>44</v>
      </c>
      <c r="C1344" t="s">
        <v>53</v>
      </c>
      <c r="D1344" t="s">
        <v>41</v>
      </c>
      <c r="E1344" t="s">
        <v>37</v>
      </c>
      <c r="F1344" t="s">
        <v>46</v>
      </c>
      <c r="G1344" t="s">
        <v>39</v>
      </c>
      <c r="H1344">
        <v>60000</v>
      </c>
      <c r="I1344">
        <v>2</v>
      </c>
      <c r="J1344" t="s">
        <v>42</v>
      </c>
      <c r="K1344">
        <f t="shared" si="20"/>
        <v>48000</v>
      </c>
    </row>
    <row r="1345" spans="1:11">
      <c r="A1345" t="s">
        <v>70</v>
      </c>
      <c r="B1345" t="s">
        <v>35</v>
      </c>
      <c r="C1345" t="s">
        <v>36</v>
      </c>
      <c r="D1345" t="s">
        <v>41</v>
      </c>
      <c r="E1345" t="s">
        <v>37</v>
      </c>
      <c r="F1345" t="s">
        <v>67</v>
      </c>
      <c r="G1345" t="s">
        <v>51</v>
      </c>
      <c r="H1345">
        <v>420000</v>
      </c>
      <c r="I1345">
        <v>3</v>
      </c>
      <c r="J1345" t="s">
        <v>33</v>
      </c>
      <c r="K1345">
        <f t="shared" si="20"/>
        <v>336000</v>
      </c>
    </row>
    <row r="1346" spans="1:11">
      <c r="A1346" t="s">
        <v>55</v>
      </c>
      <c r="B1346" t="s">
        <v>35</v>
      </c>
      <c r="C1346" t="s">
        <v>36</v>
      </c>
      <c r="D1346" t="s">
        <v>29</v>
      </c>
      <c r="E1346" t="s">
        <v>30</v>
      </c>
      <c r="F1346" t="s">
        <v>62</v>
      </c>
      <c r="G1346" t="s">
        <v>51</v>
      </c>
      <c r="H1346">
        <v>150000</v>
      </c>
      <c r="I1346">
        <v>5</v>
      </c>
      <c r="J1346" t="s">
        <v>47</v>
      </c>
      <c r="K1346">
        <f t="shared" ref="K1346:K1409" si="21">H1346-H1346*0.2</f>
        <v>120000</v>
      </c>
    </row>
    <row r="1347" spans="1:11">
      <c r="A1347" t="s">
        <v>90</v>
      </c>
      <c r="B1347" t="s">
        <v>44</v>
      </c>
      <c r="C1347" t="s">
        <v>36</v>
      </c>
      <c r="D1347" t="s">
        <v>29</v>
      </c>
      <c r="E1347" t="s">
        <v>37</v>
      </c>
      <c r="F1347" t="s">
        <v>62</v>
      </c>
      <c r="G1347" t="s">
        <v>51</v>
      </c>
      <c r="H1347">
        <v>150000</v>
      </c>
      <c r="I1347">
        <v>9</v>
      </c>
      <c r="J1347" t="s">
        <v>58</v>
      </c>
      <c r="K1347">
        <f t="shared" si="21"/>
        <v>120000</v>
      </c>
    </row>
    <row r="1348" spans="1:11">
      <c r="A1348" t="s">
        <v>119</v>
      </c>
      <c r="B1348" t="s">
        <v>44</v>
      </c>
      <c r="C1348" t="s">
        <v>28</v>
      </c>
      <c r="D1348" t="s">
        <v>41</v>
      </c>
      <c r="E1348" t="s">
        <v>37</v>
      </c>
      <c r="F1348" t="s">
        <v>31</v>
      </c>
      <c r="G1348" t="s">
        <v>32</v>
      </c>
      <c r="H1348">
        <v>85000</v>
      </c>
      <c r="I1348">
        <v>5</v>
      </c>
      <c r="J1348" t="s">
        <v>65</v>
      </c>
      <c r="K1348">
        <f t="shared" si="21"/>
        <v>68000</v>
      </c>
    </row>
    <row r="1349" spans="1:11">
      <c r="A1349" t="s">
        <v>57</v>
      </c>
      <c r="B1349" t="s">
        <v>49</v>
      </c>
      <c r="C1349" t="s">
        <v>36</v>
      </c>
      <c r="D1349" t="s">
        <v>41</v>
      </c>
      <c r="E1349" t="s">
        <v>30</v>
      </c>
      <c r="F1349" t="s">
        <v>56</v>
      </c>
      <c r="G1349" t="s">
        <v>32</v>
      </c>
      <c r="H1349">
        <v>320000</v>
      </c>
      <c r="I1349">
        <v>1</v>
      </c>
      <c r="J1349" t="s">
        <v>42</v>
      </c>
      <c r="K1349">
        <f t="shared" si="21"/>
        <v>256000</v>
      </c>
    </row>
    <row r="1350" spans="1:11">
      <c r="A1350" t="s">
        <v>60</v>
      </c>
      <c r="B1350" t="s">
        <v>35</v>
      </c>
      <c r="C1350" t="s">
        <v>28</v>
      </c>
      <c r="D1350" t="s">
        <v>29</v>
      </c>
      <c r="E1350" t="s">
        <v>37</v>
      </c>
      <c r="F1350" t="s">
        <v>38</v>
      </c>
      <c r="G1350" t="s">
        <v>39</v>
      </c>
      <c r="H1350">
        <v>30000</v>
      </c>
      <c r="I1350">
        <v>4</v>
      </c>
      <c r="J1350" t="s">
        <v>47</v>
      </c>
      <c r="K1350">
        <f t="shared" si="21"/>
        <v>24000</v>
      </c>
    </row>
    <row r="1351" spans="1:11">
      <c r="A1351" t="s">
        <v>48</v>
      </c>
      <c r="B1351" t="s">
        <v>44</v>
      </c>
      <c r="C1351" t="s">
        <v>45</v>
      </c>
      <c r="D1351" t="s">
        <v>41</v>
      </c>
      <c r="E1351" t="s">
        <v>37</v>
      </c>
      <c r="F1351" t="s">
        <v>73</v>
      </c>
      <c r="G1351" t="s">
        <v>39</v>
      </c>
      <c r="H1351">
        <v>220000</v>
      </c>
      <c r="I1351">
        <v>8</v>
      </c>
      <c r="J1351" t="s">
        <v>65</v>
      </c>
      <c r="K1351">
        <f t="shared" si="21"/>
        <v>176000</v>
      </c>
    </row>
    <row r="1352" spans="1:11">
      <c r="A1352" t="s">
        <v>164</v>
      </c>
      <c r="B1352" t="s">
        <v>27</v>
      </c>
      <c r="C1352" t="s">
        <v>53</v>
      </c>
      <c r="D1352" t="s">
        <v>41</v>
      </c>
      <c r="E1352" t="s">
        <v>37</v>
      </c>
      <c r="F1352" t="s">
        <v>56</v>
      </c>
      <c r="G1352" t="s">
        <v>32</v>
      </c>
      <c r="H1352">
        <v>320000</v>
      </c>
      <c r="I1352">
        <v>5</v>
      </c>
      <c r="J1352" t="s">
        <v>69</v>
      </c>
      <c r="K1352">
        <f t="shared" si="21"/>
        <v>256000</v>
      </c>
    </row>
    <row r="1353" spans="1:11">
      <c r="A1353" t="s">
        <v>154</v>
      </c>
      <c r="B1353" t="s">
        <v>27</v>
      </c>
      <c r="C1353" t="s">
        <v>53</v>
      </c>
      <c r="D1353" t="s">
        <v>41</v>
      </c>
      <c r="E1353" t="s">
        <v>37</v>
      </c>
      <c r="F1353" t="s">
        <v>31</v>
      </c>
      <c r="G1353" t="s">
        <v>32</v>
      </c>
      <c r="H1353">
        <v>85000</v>
      </c>
      <c r="I1353">
        <v>3</v>
      </c>
      <c r="J1353" t="s">
        <v>65</v>
      </c>
      <c r="K1353">
        <f t="shared" si="21"/>
        <v>68000</v>
      </c>
    </row>
    <row r="1354" spans="1:11">
      <c r="A1354" t="s">
        <v>136</v>
      </c>
      <c r="B1354" t="s">
        <v>35</v>
      </c>
      <c r="C1354" t="s">
        <v>45</v>
      </c>
      <c r="D1354" t="s">
        <v>29</v>
      </c>
      <c r="E1354" t="s">
        <v>37</v>
      </c>
      <c r="F1354" t="s">
        <v>56</v>
      </c>
      <c r="G1354" t="s">
        <v>32</v>
      </c>
      <c r="H1354">
        <v>320000</v>
      </c>
      <c r="I1354">
        <v>10</v>
      </c>
      <c r="J1354" t="s">
        <v>33</v>
      </c>
      <c r="K1354">
        <f t="shared" si="21"/>
        <v>256000</v>
      </c>
    </row>
    <row r="1355" spans="1:11">
      <c r="A1355" t="s">
        <v>174</v>
      </c>
      <c r="B1355" t="s">
        <v>27</v>
      </c>
      <c r="C1355" t="s">
        <v>45</v>
      </c>
      <c r="D1355" t="s">
        <v>29</v>
      </c>
      <c r="E1355" t="s">
        <v>30</v>
      </c>
      <c r="F1355" t="s">
        <v>67</v>
      </c>
      <c r="G1355" t="s">
        <v>51</v>
      </c>
      <c r="H1355">
        <v>420000</v>
      </c>
      <c r="I1355">
        <v>2</v>
      </c>
      <c r="J1355" t="s">
        <v>69</v>
      </c>
      <c r="K1355">
        <f t="shared" si="21"/>
        <v>336000</v>
      </c>
    </row>
    <row r="1356" spans="1:11">
      <c r="A1356" t="s">
        <v>172</v>
      </c>
      <c r="B1356" t="s">
        <v>49</v>
      </c>
      <c r="C1356" t="s">
        <v>53</v>
      </c>
      <c r="D1356" t="s">
        <v>29</v>
      </c>
      <c r="E1356" t="s">
        <v>30</v>
      </c>
      <c r="F1356" t="s">
        <v>38</v>
      </c>
      <c r="G1356" t="s">
        <v>39</v>
      </c>
      <c r="H1356">
        <v>30000</v>
      </c>
      <c r="I1356">
        <v>3</v>
      </c>
      <c r="J1356" t="s">
        <v>33</v>
      </c>
      <c r="K1356">
        <f t="shared" si="21"/>
        <v>24000</v>
      </c>
    </row>
    <row r="1357" spans="1:11">
      <c r="A1357" t="s">
        <v>108</v>
      </c>
      <c r="B1357" t="s">
        <v>27</v>
      </c>
      <c r="C1357" t="s">
        <v>53</v>
      </c>
      <c r="D1357" t="s">
        <v>41</v>
      </c>
      <c r="E1357" t="s">
        <v>30</v>
      </c>
      <c r="F1357" t="s">
        <v>38</v>
      </c>
      <c r="G1357" t="s">
        <v>39</v>
      </c>
      <c r="H1357">
        <v>30000</v>
      </c>
      <c r="I1357">
        <v>1</v>
      </c>
      <c r="J1357" t="s">
        <v>69</v>
      </c>
      <c r="K1357">
        <f t="shared" si="21"/>
        <v>24000</v>
      </c>
    </row>
    <row r="1358" spans="1:11">
      <c r="A1358" t="s">
        <v>110</v>
      </c>
      <c r="B1358" t="s">
        <v>35</v>
      </c>
      <c r="C1358" t="s">
        <v>45</v>
      </c>
      <c r="D1358" t="s">
        <v>29</v>
      </c>
      <c r="E1358" t="s">
        <v>37</v>
      </c>
      <c r="F1358" t="s">
        <v>67</v>
      </c>
      <c r="G1358" t="s">
        <v>51</v>
      </c>
      <c r="H1358">
        <v>420000</v>
      </c>
      <c r="I1358">
        <v>10</v>
      </c>
      <c r="J1358" t="s">
        <v>69</v>
      </c>
      <c r="K1358">
        <f t="shared" si="21"/>
        <v>336000</v>
      </c>
    </row>
    <row r="1359" spans="1:11">
      <c r="A1359" t="s">
        <v>78</v>
      </c>
      <c r="B1359" t="s">
        <v>44</v>
      </c>
      <c r="C1359" t="s">
        <v>45</v>
      </c>
      <c r="D1359" t="s">
        <v>29</v>
      </c>
      <c r="E1359" t="s">
        <v>37</v>
      </c>
      <c r="F1359" t="s">
        <v>62</v>
      </c>
      <c r="G1359" t="s">
        <v>51</v>
      </c>
      <c r="H1359">
        <v>150000</v>
      </c>
      <c r="I1359">
        <v>8</v>
      </c>
      <c r="J1359" t="s">
        <v>33</v>
      </c>
      <c r="K1359">
        <f t="shared" si="21"/>
        <v>120000</v>
      </c>
    </row>
    <row r="1360" spans="1:11">
      <c r="A1360" t="s">
        <v>82</v>
      </c>
      <c r="B1360" t="s">
        <v>49</v>
      </c>
      <c r="C1360" t="s">
        <v>36</v>
      </c>
      <c r="D1360" t="s">
        <v>41</v>
      </c>
      <c r="E1360" t="s">
        <v>37</v>
      </c>
      <c r="F1360" t="s">
        <v>73</v>
      </c>
      <c r="G1360" t="s">
        <v>39</v>
      </c>
      <c r="H1360">
        <v>220000</v>
      </c>
      <c r="I1360">
        <v>8</v>
      </c>
      <c r="J1360" t="s">
        <v>33</v>
      </c>
      <c r="K1360">
        <f t="shared" si="21"/>
        <v>176000</v>
      </c>
    </row>
    <row r="1361" spans="1:11">
      <c r="A1361" t="s">
        <v>92</v>
      </c>
      <c r="B1361" t="s">
        <v>35</v>
      </c>
      <c r="C1361" t="s">
        <v>53</v>
      </c>
      <c r="D1361" t="s">
        <v>29</v>
      </c>
      <c r="E1361" t="s">
        <v>37</v>
      </c>
      <c r="F1361" t="s">
        <v>56</v>
      </c>
      <c r="G1361" t="s">
        <v>32</v>
      </c>
      <c r="H1361">
        <v>320000</v>
      </c>
      <c r="I1361">
        <v>9</v>
      </c>
      <c r="J1361" t="s">
        <v>58</v>
      </c>
      <c r="K1361">
        <f t="shared" si="21"/>
        <v>256000</v>
      </c>
    </row>
    <row r="1362" spans="1:11">
      <c r="A1362" t="s">
        <v>131</v>
      </c>
      <c r="B1362" t="s">
        <v>49</v>
      </c>
      <c r="C1362" t="s">
        <v>28</v>
      </c>
      <c r="D1362" t="s">
        <v>29</v>
      </c>
      <c r="E1362" t="s">
        <v>37</v>
      </c>
      <c r="F1362" t="s">
        <v>73</v>
      </c>
      <c r="G1362" t="s">
        <v>39</v>
      </c>
      <c r="H1362">
        <v>220000</v>
      </c>
      <c r="I1362">
        <v>3</v>
      </c>
      <c r="J1362" t="s">
        <v>69</v>
      </c>
      <c r="K1362">
        <f t="shared" si="21"/>
        <v>176000</v>
      </c>
    </row>
    <row r="1363" spans="1:11">
      <c r="A1363" t="s">
        <v>151</v>
      </c>
      <c r="B1363" t="s">
        <v>27</v>
      </c>
      <c r="C1363" t="s">
        <v>45</v>
      </c>
      <c r="D1363" t="s">
        <v>41</v>
      </c>
      <c r="E1363" t="s">
        <v>30</v>
      </c>
      <c r="F1363" t="s">
        <v>54</v>
      </c>
      <c r="G1363" t="s">
        <v>39</v>
      </c>
      <c r="H1363">
        <v>180000</v>
      </c>
      <c r="I1363">
        <v>8</v>
      </c>
      <c r="J1363" t="s">
        <v>58</v>
      </c>
      <c r="K1363">
        <f t="shared" si="21"/>
        <v>144000</v>
      </c>
    </row>
    <row r="1364" spans="1:11">
      <c r="A1364" t="s">
        <v>144</v>
      </c>
      <c r="B1364" t="s">
        <v>49</v>
      </c>
      <c r="C1364" t="s">
        <v>45</v>
      </c>
      <c r="D1364" t="s">
        <v>29</v>
      </c>
      <c r="E1364" t="s">
        <v>37</v>
      </c>
      <c r="F1364" t="s">
        <v>71</v>
      </c>
      <c r="G1364" t="s">
        <v>51</v>
      </c>
      <c r="H1364">
        <v>250000</v>
      </c>
      <c r="I1364">
        <v>4</v>
      </c>
      <c r="J1364" t="s">
        <v>47</v>
      </c>
      <c r="K1364">
        <f t="shared" si="21"/>
        <v>200000</v>
      </c>
    </row>
    <row r="1365" spans="1:11">
      <c r="A1365" t="s">
        <v>148</v>
      </c>
      <c r="B1365" t="s">
        <v>49</v>
      </c>
      <c r="C1365" t="s">
        <v>36</v>
      </c>
      <c r="D1365" t="s">
        <v>41</v>
      </c>
      <c r="E1365" t="s">
        <v>37</v>
      </c>
      <c r="F1365" t="s">
        <v>46</v>
      </c>
      <c r="G1365" t="s">
        <v>39</v>
      </c>
      <c r="H1365">
        <v>60000</v>
      </c>
      <c r="I1365">
        <v>7</v>
      </c>
      <c r="J1365" t="s">
        <v>58</v>
      </c>
      <c r="K1365">
        <f t="shared" si="21"/>
        <v>48000</v>
      </c>
    </row>
    <row r="1366" spans="1:11">
      <c r="A1366" t="s">
        <v>147</v>
      </c>
      <c r="B1366" t="s">
        <v>49</v>
      </c>
      <c r="C1366" t="s">
        <v>28</v>
      </c>
      <c r="D1366" t="s">
        <v>41</v>
      </c>
      <c r="E1366" t="s">
        <v>37</v>
      </c>
      <c r="F1366" t="s">
        <v>73</v>
      </c>
      <c r="G1366" t="s">
        <v>39</v>
      </c>
      <c r="H1366">
        <v>220000</v>
      </c>
      <c r="I1366">
        <v>10</v>
      </c>
      <c r="J1366" t="s">
        <v>69</v>
      </c>
      <c r="K1366">
        <f t="shared" si="21"/>
        <v>176000</v>
      </c>
    </row>
    <row r="1367" spans="1:11">
      <c r="A1367" t="s">
        <v>138</v>
      </c>
      <c r="B1367" t="s">
        <v>44</v>
      </c>
      <c r="C1367" t="s">
        <v>45</v>
      </c>
      <c r="D1367" t="s">
        <v>29</v>
      </c>
      <c r="E1367" t="s">
        <v>30</v>
      </c>
      <c r="F1367" t="s">
        <v>46</v>
      </c>
      <c r="G1367" t="s">
        <v>39</v>
      </c>
      <c r="H1367">
        <v>60000</v>
      </c>
      <c r="I1367">
        <v>9</v>
      </c>
      <c r="J1367" t="s">
        <v>69</v>
      </c>
      <c r="K1367">
        <f t="shared" si="21"/>
        <v>48000</v>
      </c>
    </row>
    <row r="1368" spans="1:11">
      <c r="A1368" t="s">
        <v>119</v>
      </c>
      <c r="B1368" t="s">
        <v>27</v>
      </c>
      <c r="C1368" t="s">
        <v>45</v>
      </c>
      <c r="D1368" t="s">
        <v>41</v>
      </c>
      <c r="E1368" t="s">
        <v>30</v>
      </c>
      <c r="F1368" t="s">
        <v>46</v>
      </c>
      <c r="G1368" t="s">
        <v>39</v>
      </c>
      <c r="H1368">
        <v>60000</v>
      </c>
      <c r="I1368">
        <v>2</v>
      </c>
      <c r="J1368" t="s">
        <v>47</v>
      </c>
      <c r="K1368">
        <f t="shared" si="21"/>
        <v>48000</v>
      </c>
    </row>
    <row r="1369" spans="1:11">
      <c r="A1369" t="s">
        <v>154</v>
      </c>
      <c r="B1369" t="s">
        <v>35</v>
      </c>
      <c r="C1369" t="s">
        <v>36</v>
      </c>
      <c r="D1369" t="s">
        <v>41</v>
      </c>
      <c r="E1369" t="s">
        <v>30</v>
      </c>
      <c r="F1369" t="s">
        <v>62</v>
      </c>
      <c r="G1369" t="s">
        <v>51</v>
      </c>
      <c r="H1369">
        <v>150000</v>
      </c>
      <c r="I1369">
        <v>3</v>
      </c>
      <c r="J1369" t="s">
        <v>33</v>
      </c>
      <c r="K1369">
        <f t="shared" si="21"/>
        <v>120000</v>
      </c>
    </row>
    <row r="1370" spans="1:11">
      <c r="A1370" t="s">
        <v>158</v>
      </c>
      <c r="B1370" t="s">
        <v>27</v>
      </c>
      <c r="C1370" t="s">
        <v>36</v>
      </c>
      <c r="D1370" t="s">
        <v>41</v>
      </c>
      <c r="E1370" t="s">
        <v>30</v>
      </c>
      <c r="F1370" t="s">
        <v>62</v>
      </c>
      <c r="G1370" t="s">
        <v>51</v>
      </c>
      <c r="H1370">
        <v>150000</v>
      </c>
      <c r="I1370">
        <v>10</v>
      </c>
      <c r="J1370" t="s">
        <v>33</v>
      </c>
      <c r="K1370">
        <f t="shared" si="21"/>
        <v>120000</v>
      </c>
    </row>
    <row r="1371" spans="1:11">
      <c r="A1371" t="s">
        <v>26</v>
      </c>
      <c r="B1371" t="s">
        <v>49</v>
      </c>
      <c r="C1371" t="s">
        <v>45</v>
      </c>
      <c r="D1371" t="s">
        <v>41</v>
      </c>
      <c r="E1371" t="s">
        <v>30</v>
      </c>
      <c r="F1371" t="s">
        <v>62</v>
      </c>
      <c r="G1371" t="s">
        <v>51</v>
      </c>
      <c r="H1371">
        <v>150000</v>
      </c>
      <c r="I1371">
        <v>9</v>
      </c>
      <c r="J1371" t="s">
        <v>58</v>
      </c>
      <c r="K1371">
        <f t="shared" si="21"/>
        <v>120000</v>
      </c>
    </row>
    <row r="1372" spans="1:11">
      <c r="A1372" t="s">
        <v>130</v>
      </c>
      <c r="B1372" t="s">
        <v>27</v>
      </c>
      <c r="C1372" t="s">
        <v>53</v>
      </c>
      <c r="D1372" t="s">
        <v>29</v>
      </c>
      <c r="E1372" t="s">
        <v>30</v>
      </c>
      <c r="F1372" t="s">
        <v>56</v>
      </c>
      <c r="G1372" t="s">
        <v>32</v>
      </c>
      <c r="H1372">
        <v>320000</v>
      </c>
      <c r="I1372">
        <v>5</v>
      </c>
      <c r="J1372" t="s">
        <v>69</v>
      </c>
      <c r="K1372">
        <f t="shared" si="21"/>
        <v>256000</v>
      </c>
    </row>
    <row r="1373" spans="1:11">
      <c r="A1373" t="s">
        <v>117</v>
      </c>
      <c r="B1373" t="s">
        <v>35</v>
      </c>
      <c r="C1373" t="s">
        <v>53</v>
      </c>
      <c r="D1373" t="s">
        <v>29</v>
      </c>
      <c r="E1373" t="s">
        <v>30</v>
      </c>
      <c r="F1373" t="s">
        <v>54</v>
      </c>
      <c r="G1373" t="s">
        <v>39</v>
      </c>
      <c r="H1373">
        <v>180000</v>
      </c>
      <c r="I1373">
        <v>3</v>
      </c>
      <c r="J1373" t="s">
        <v>33</v>
      </c>
      <c r="K1373">
        <f t="shared" si="21"/>
        <v>144000</v>
      </c>
    </row>
    <row r="1374" spans="1:11">
      <c r="A1374" t="s">
        <v>147</v>
      </c>
      <c r="B1374" t="s">
        <v>27</v>
      </c>
      <c r="C1374" t="s">
        <v>45</v>
      </c>
      <c r="D1374" t="s">
        <v>41</v>
      </c>
      <c r="E1374" t="s">
        <v>30</v>
      </c>
      <c r="F1374" t="s">
        <v>31</v>
      </c>
      <c r="G1374" t="s">
        <v>32</v>
      </c>
      <c r="H1374">
        <v>85000</v>
      </c>
      <c r="I1374">
        <v>4</v>
      </c>
      <c r="J1374" t="s">
        <v>58</v>
      </c>
      <c r="K1374">
        <f t="shared" si="21"/>
        <v>68000</v>
      </c>
    </row>
    <row r="1375" spans="1:11">
      <c r="A1375" t="s">
        <v>128</v>
      </c>
      <c r="B1375" t="s">
        <v>27</v>
      </c>
      <c r="C1375" t="s">
        <v>53</v>
      </c>
      <c r="D1375" t="s">
        <v>41</v>
      </c>
      <c r="E1375" t="s">
        <v>37</v>
      </c>
      <c r="F1375" t="s">
        <v>56</v>
      </c>
      <c r="G1375" t="s">
        <v>32</v>
      </c>
      <c r="H1375">
        <v>320000</v>
      </c>
      <c r="I1375">
        <v>7</v>
      </c>
      <c r="J1375" t="s">
        <v>69</v>
      </c>
      <c r="K1375">
        <f t="shared" si="21"/>
        <v>256000</v>
      </c>
    </row>
    <row r="1376" spans="1:11">
      <c r="A1376" t="s">
        <v>137</v>
      </c>
      <c r="B1376" t="s">
        <v>44</v>
      </c>
      <c r="C1376" t="s">
        <v>36</v>
      </c>
      <c r="D1376" t="s">
        <v>29</v>
      </c>
      <c r="E1376" t="s">
        <v>37</v>
      </c>
      <c r="F1376" t="s">
        <v>73</v>
      </c>
      <c r="G1376" t="s">
        <v>39</v>
      </c>
      <c r="H1376">
        <v>220000</v>
      </c>
      <c r="I1376">
        <v>5</v>
      </c>
      <c r="J1376" t="s">
        <v>58</v>
      </c>
      <c r="K1376">
        <f t="shared" si="21"/>
        <v>176000</v>
      </c>
    </row>
    <row r="1377" spans="1:11">
      <c r="A1377" t="s">
        <v>122</v>
      </c>
      <c r="B1377" t="s">
        <v>44</v>
      </c>
      <c r="C1377" t="s">
        <v>36</v>
      </c>
      <c r="D1377" t="s">
        <v>41</v>
      </c>
      <c r="E1377" t="s">
        <v>37</v>
      </c>
      <c r="F1377" t="s">
        <v>62</v>
      </c>
      <c r="G1377" t="s">
        <v>51</v>
      </c>
      <c r="H1377">
        <v>150000</v>
      </c>
      <c r="I1377">
        <v>3</v>
      </c>
      <c r="J1377" t="s">
        <v>33</v>
      </c>
      <c r="K1377">
        <f t="shared" si="21"/>
        <v>120000</v>
      </c>
    </row>
    <row r="1378" spans="1:11">
      <c r="A1378" t="s">
        <v>101</v>
      </c>
      <c r="B1378" t="s">
        <v>27</v>
      </c>
      <c r="C1378" t="s">
        <v>36</v>
      </c>
      <c r="D1378" t="s">
        <v>41</v>
      </c>
      <c r="E1378" t="s">
        <v>30</v>
      </c>
      <c r="F1378" t="s">
        <v>67</v>
      </c>
      <c r="G1378" t="s">
        <v>51</v>
      </c>
      <c r="H1378">
        <v>420000</v>
      </c>
      <c r="I1378">
        <v>8</v>
      </c>
      <c r="J1378" t="s">
        <v>42</v>
      </c>
      <c r="K1378">
        <f t="shared" si="21"/>
        <v>336000</v>
      </c>
    </row>
    <row r="1379" spans="1:11">
      <c r="A1379" t="s">
        <v>146</v>
      </c>
      <c r="B1379" t="s">
        <v>35</v>
      </c>
      <c r="C1379" t="s">
        <v>53</v>
      </c>
      <c r="D1379" t="s">
        <v>29</v>
      </c>
      <c r="E1379" t="s">
        <v>30</v>
      </c>
      <c r="F1379" t="s">
        <v>73</v>
      </c>
      <c r="G1379" t="s">
        <v>39</v>
      </c>
      <c r="H1379">
        <v>220000</v>
      </c>
      <c r="I1379">
        <v>9</v>
      </c>
      <c r="J1379" t="s">
        <v>42</v>
      </c>
      <c r="K1379">
        <f t="shared" si="21"/>
        <v>176000</v>
      </c>
    </row>
    <row r="1380" spans="1:11">
      <c r="A1380" t="s">
        <v>76</v>
      </c>
      <c r="B1380" t="s">
        <v>49</v>
      </c>
      <c r="C1380" t="s">
        <v>28</v>
      </c>
      <c r="D1380" t="s">
        <v>29</v>
      </c>
      <c r="E1380" t="s">
        <v>30</v>
      </c>
      <c r="F1380" t="s">
        <v>67</v>
      </c>
      <c r="G1380" t="s">
        <v>51</v>
      </c>
      <c r="H1380">
        <v>420000</v>
      </c>
      <c r="I1380">
        <v>3</v>
      </c>
      <c r="J1380" t="s">
        <v>69</v>
      </c>
      <c r="K1380">
        <f t="shared" si="21"/>
        <v>336000</v>
      </c>
    </row>
    <row r="1381" spans="1:11">
      <c r="A1381" t="s">
        <v>83</v>
      </c>
      <c r="B1381" t="s">
        <v>49</v>
      </c>
      <c r="C1381" t="s">
        <v>28</v>
      </c>
      <c r="D1381" t="s">
        <v>29</v>
      </c>
      <c r="E1381" t="s">
        <v>37</v>
      </c>
      <c r="F1381" t="s">
        <v>71</v>
      </c>
      <c r="G1381" t="s">
        <v>51</v>
      </c>
      <c r="H1381">
        <v>250000</v>
      </c>
      <c r="I1381">
        <v>1</v>
      </c>
      <c r="J1381" t="s">
        <v>47</v>
      </c>
      <c r="K1381">
        <f t="shared" si="21"/>
        <v>200000</v>
      </c>
    </row>
    <row r="1382" spans="1:11">
      <c r="A1382" t="s">
        <v>134</v>
      </c>
      <c r="B1382" t="s">
        <v>35</v>
      </c>
      <c r="C1382" t="s">
        <v>36</v>
      </c>
      <c r="D1382" t="s">
        <v>29</v>
      </c>
      <c r="E1382" t="s">
        <v>37</v>
      </c>
      <c r="F1382" t="s">
        <v>56</v>
      </c>
      <c r="G1382" t="s">
        <v>32</v>
      </c>
      <c r="H1382">
        <v>320000</v>
      </c>
      <c r="I1382">
        <v>7</v>
      </c>
      <c r="J1382" t="s">
        <v>65</v>
      </c>
      <c r="K1382">
        <f t="shared" si="21"/>
        <v>256000</v>
      </c>
    </row>
    <row r="1383" spans="1:11">
      <c r="A1383" t="s">
        <v>166</v>
      </c>
      <c r="B1383" t="s">
        <v>49</v>
      </c>
      <c r="C1383" t="s">
        <v>36</v>
      </c>
      <c r="D1383" t="s">
        <v>29</v>
      </c>
      <c r="E1383" t="s">
        <v>30</v>
      </c>
      <c r="F1383" t="s">
        <v>67</v>
      </c>
      <c r="G1383" t="s">
        <v>51</v>
      </c>
      <c r="H1383">
        <v>420000</v>
      </c>
      <c r="I1383">
        <v>2</v>
      </c>
      <c r="J1383" t="s">
        <v>69</v>
      </c>
      <c r="K1383">
        <f t="shared" si="21"/>
        <v>336000</v>
      </c>
    </row>
    <row r="1384" spans="1:11">
      <c r="A1384" t="s">
        <v>164</v>
      </c>
      <c r="B1384" t="s">
        <v>44</v>
      </c>
      <c r="C1384" t="s">
        <v>28</v>
      </c>
      <c r="D1384" t="s">
        <v>29</v>
      </c>
      <c r="E1384" t="s">
        <v>37</v>
      </c>
      <c r="F1384" t="s">
        <v>56</v>
      </c>
      <c r="G1384" t="s">
        <v>32</v>
      </c>
      <c r="H1384">
        <v>320000</v>
      </c>
      <c r="I1384">
        <v>3</v>
      </c>
      <c r="J1384" t="s">
        <v>47</v>
      </c>
      <c r="K1384">
        <f t="shared" si="21"/>
        <v>256000</v>
      </c>
    </row>
    <row r="1385" spans="1:11">
      <c r="A1385" t="s">
        <v>90</v>
      </c>
      <c r="B1385" t="s">
        <v>44</v>
      </c>
      <c r="C1385" t="s">
        <v>28</v>
      </c>
      <c r="D1385" t="s">
        <v>41</v>
      </c>
      <c r="E1385" t="s">
        <v>30</v>
      </c>
      <c r="F1385" t="s">
        <v>62</v>
      </c>
      <c r="G1385" t="s">
        <v>51</v>
      </c>
      <c r="H1385">
        <v>150000</v>
      </c>
      <c r="I1385">
        <v>2</v>
      </c>
      <c r="J1385" t="s">
        <v>65</v>
      </c>
      <c r="K1385">
        <f t="shared" si="21"/>
        <v>120000</v>
      </c>
    </row>
    <row r="1386" spans="1:11">
      <c r="A1386" t="s">
        <v>125</v>
      </c>
      <c r="B1386" t="s">
        <v>27</v>
      </c>
      <c r="C1386" t="s">
        <v>36</v>
      </c>
      <c r="D1386" t="s">
        <v>41</v>
      </c>
      <c r="E1386" t="s">
        <v>37</v>
      </c>
      <c r="F1386" t="s">
        <v>67</v>
      </c>
      <c r="G1386" t="s">
        <v>51</v>
      </c>
      <c r="H1386">
        <v>420000</v>
      </c>
      <c r="I1386">
        <v>8</v>
      </c>
      <c r="J1386" t="s">
        <v>47</v>
      </c>
      <c r="K1386">
        <f t="shared" si="21"/>
        <v>336000</v>
      </c>
    </row>
    <row r="1387" spans="1:11">
      <c r="A1387" t="s">
        <v>34</v>
      </c>
      <c r="B1387" t="s">
        <v>35</v>
      </c>
      <c r="C1387" t="s">
        <v>28</v>
      </c>
      <c r="D1387" t="s">
        <v>41</v>
      </c>
      <c r="E1387" t="s">
        <v>37</v>
      </c>
      <c r="F1387" t="s">
        <v>67</v>
      </c>
      <c r="G1387" t="s">
        <v>51</v>
      </c>
      <c r="H1387">
        <v>420000</v>
      </c>
      <c r="I1387">
        <v>1</v>
      </c>
      <c r="J1387" t="s">
        <v>69</v>
      </c>
      <c r="K1387">
        <f t="shared" si="21"/>
        <v>336000</v>
      </c>
    </row>
    <row r="1388" spans="1:11">
      <c r="A1388" t="s">
        <v>171</v>
      </c>
      <c r="B1388" t="s">
        <v>27</v>
      </c>
      <c r="C1388" t="s">
        <v>53</v>
      </c>
      <c r="D1388" t="s">
        <v>29</v>
      </c>
      <c r="E1388" t="s">
        <v>30</v>
      </c>
      <c r="F1388" t="s">
        <v>50</v>
      </c>
      <c r="G1388" t="s">
        <v>51</v>
      </c>
      <c r="H1388">
        <v>300000</v>
      </c>
      <c r="I1388">
        <v>5</v>
      </c>
      <c r="J1388" t="s">
        <v>58</v>
      </c>
      <c r="K1388">
        <f t="shared" si="21"/>
        <v>240000</v>
      </c>
    </row>
    <row r="1389" spans="1:11">
      <c r="A1389" t="s">
        <v>124</v>
      </c>
      <c r="B1389" t="s">
        <v>35</v>
      </c>
      <c r="C1389" t="s">
        <v>28</v>
      </c>
      <c r="D1389" t="s">
        <v>29</v>
      </c>
      <c r="E1389" t="s">
        <v>37</v>
      </c>
      <c r="F1389" t="s">
        <v>54</v>
      </c>
      <c r="G1389" t="s">
        <v>39</v>
      </c>
      <c r="H1389">
        <v>180000</v>
      </c>
      <c r="I1389">
        <v>7</v>
      </c>
      <c r="J1389" t="s">
        <v>65</v>
      </c>
      <c r="K1389">
        <f t="shared" si="21"/>
        <v>144000</v>
      </c>
    </row>
    <row r="1390" spans="1:11">
      <c r="A1390" t="s">
        <v>98</v>
      </c>
      <c r="B1390" t="s">
        <v>27</v>
      </c>
      <c r="C1390" t="s">
        <v>53</v>
      </c>
      <c r="D1390" t="s">
        <v>29</v>
      </c>
      <c r="E1390" t="s">
        <v>37</v>
      </c>
      <c r="F1390" t="s">
        <v>62</v>
      </c>
      <c r="G1390" t="s">
        <v>51</v>
      </c>
      <c r="H1390">
        <v>150000</v>
      </c>
      <c r="I1390">
        <v>10</v>
      </c>
      <c r="J1390" t="s">
        <v>42</v>
      </c>
      <c r="K1390">
        <f t="shared" si="21"/>
        <v>120000</v>
      </c>
    </row>
    <row r="1391" spans="1:11">
      <c r="A1391" t="s">
        <v>57</v>
      </c>
      <c r="B1391" t="s">
        <v>27</v>
      </c>
      <c r="C1391" t="s">
        <v>53</v>
      </c>
      <c r="D1391" t="s">
        <v>41</v>
      </c>
      <c r="E1391" t="s">
        <v>30</v>
      </c>
      <c r="F1391" t="s">
        <v>50</v>
      </c>
      <c r="G1391" t="s">
        <v>51</v>
      </c>
      <c r="H1391">
        <v>300000</v>
      </c>
      <c r="I1391">
        <v>7</v>
      </c>
      <c r="J1391" t="s">
        <v>58</v>
      </c>
      <c r="K1391">
        <f t="shared" si="21"/>
        <v>240000</v>
      </c>
    </row>
    <row r="1392" spans="1:11">
      <c r="A1392" t="s">
        <v>80</v>
      </c>
      <c r="B1392" t="s">
        <v>49</v>
      </c>
      <c r="C1392" t="s">
        <v>36</v>
      </c>
      <c r="D1392" t="s">
        <v>29</v>
      </c>
      <c r="E1392" t="s">
        <v>37</v>
      </c>
      <c r="F1392" t="s">
        <v>73</v>
      </c>
      <c r="G1392" t="s">
        <v>39</v>
      </c>
      <c r="H1392">
        <v>220000</v>
      </c>
      <c r="I1392">
        <v>2</v>
      </c>
      <c r="J1392" t="s">
        <v>33</v>
      </c>
      <c r="K1392">
        <f t="shared" si="21"/>
        <v>176000</v>
      </c>
    </row>
    <row r="1393" spans="1:11">
      <c r="A1393" t="s">
        <v>43</v>
      </c>
      <c r="B1393" t="s">
        <v>35</v>
      </c>
      <c r="C1393" t="s">
        <v>28</v>
      </c>
      <c r="D1393" t="s">
        <v>29</v>
      </c>
      <c r="E1393" t="s">
        <v>37</v>
      </c>
      <c r="F1393" t="s">
        <v>31</v>
      </c>
      <c r="G1393" t="s">
        <v>32</v>
      </c>
      <c r="H1393">
        <v>85000</v>
      </c>
      <c r="I1393">
        <v>8</v>
      </c>
      <c r="J1393" t="s">
        <v>47</v>
      </c>
      <c r="K1393">
        <f t="shared" si="21"/>
        <v>68000</v>
      </c>
    </row>
    <row r="1394" spans="1:11">
      <c r="A1394" t="s">
        <v>162</v>
      </c>
      <c r="B1394" t="s">
        <v>27</v>
      </c>
      <c r="C1394" t="s">
        <v>36</v>
      </c>
      <c r="D1394" t="s">
        <v>29</v>
      </c>
      <c r="E1394" t="s">
        <v>30</v>
      </c>
      <c r="F1394" t="s">
        <v>73</v>
      </c>
      <c r="G1394" t="s">
        <v>39</v>
      </c>
      <c r="H1394">
        <v>220000</v>
      </c>
      <c r="I1394">
        <v>7</v>
      </c>
      <c r="J1394" t="s">
        <v>69</v>
      </c>
      <c r="K1394">
        <f t="shared" si="21"/>
        <v>176000</v>
      </c>
    </row>
    <row r="1395" spans="1:11">
      <c r="A1395" t="s">
        <v>163</v>
      </c>
      <c r="B1395" t="s">
        <v>49</v>
      </c>
      <c r="C1395" t="s">
        <v>53</v>
      </c>
      <c r="D1395" t="s">
        <v>29</v>
      </c>
      <c r="E1395" t="s">
        <v>37</v>
      </c>
      <c r="F1395" t="s">
        <v>73</v>
      </c>
      <c r="G1395" t="s">
        <v>39</v>
      </c>
      <c r="H1395">
        <v>220000</v>
      </c>
      <c r="I1395">
        <v>6</v>
      </c>
      <c r="J1395" t="s">
        <v>58</v>
      </c>
      <c r="K1395">
        <f t="shared" si="21"/>
        <v>176000</v>
      </c>
    </row>
    <row r="1396" spans="1:11">
      <c r="A1396" t="s">
        <v>131</v>
      </c>
      <c r="B1396" t="s">
        <v>49</v>
      </c>
      <c r="C1396" t="s">
        <v>28</v>
      </c>
      <c r="D1396" t="s">
        <v>29</v>
      </c>
      <c r="E1396" t="s">
        <v>37</v>
      </c>
      <c r="F1396" t="s">
        <v>54</v>
      </c>
      <c r="G1396" t="s">
        <v>39</v>
      </c>
      <c r="H1396">
        <v>180000</v>
      </c>
      <c r="I1396">
        <v>3</v>
      </c>
      <c r="J1396" t="s">
        <v>47</v>
      </c>
      <c r="K1396">
        <f t="shared" si="21"/>
        <v>144000</v>
      </c>
    </row>
    <row r="1397" spans="1:11">
      <c r="A1397" t="s">
        <v>97</v>
      </c>
      <c r="B1397" t="s">
        <v>44</v>
      </c>
      <c r="C1397" t="s">
        <v>36</v>
      </c>
      <c r="D1397" t="s">
        <v>29</v>
      </c>
      <c r="E1397" t="s">
        <v>30</v>
      </c>
      <c r="F1397" t="s">
        <v>71</v>
      </c>
      <c r="G1397" t="s">
        <v>51</v>
      </c>
      <c r="H1397">
        <v>250000</v>
      </c>
      <c r="I1397">
        <v>6</v>
      </c>
      <c r="J1397" t="s">
        <v>58</v>
      </c>
      <c r="K1397">
        <f t="shared" si="21"/>
        <v>200000</v>
      </c>
    </row>
    <row r="1398" spans="1:11">
      <c r="A1398" t="s">
        <v>105</v>
      </c>
      <c r="B1398" t="s">
        <v>27</v>
      </c>
      <c r="C1398" t="s">
        <v>45</v>
      </c>
      <c r="D1398" t="s">
        <v>41</v>
      </c>
      <c r="E1398" t="s">
        <v>37</v>
      </c>
      <c r="F1398" t="s">
        <v>62</v>
      </c>
      <c r="G1398" t="s">
        <v>51</v>
      </c>
      <c r="H1398">
        <v>150000</v>
      </c>
      <c r="I1398">
        <v>7</v>
      </c>
      <c r="J1398" t="s">
        <v>65</v>
      </c>
      <c r="K1398">
        <f t="shared" si="21"/>
        <v>120000</v>
      </c>
    </row>
    <row r="1399" spans="1:11">
      <c r="A1399" t="s">
        <v>123</v>
      </c>
      <c r="B1399" t="s">
        <v>44</v>
      </c>
      <c r="C1399" t="s">
        <v>28</v>
      </c>
      <c r="D1399" t="s">
        <v>29</v>
      </c>
      <c r="E1399" t="s">
        <v>30</v>
      </c>
      <c r="F1399" t="s">
        <v>50</v>
      </c>
      <c r="G1399" t="s">
        <v>51</v>
      </c>
      <c r="H1399">
        <v>300000</v>
      </c>
      <c r="I1399">
        <v>9</v>
      </c>
      <c r="J1399" t="s">
        <v>33</v>
      </c>
      <c r="K1399">
        <f t="shared" si="21"/>
        <v>240000</v>
      </c>
    </row>
    <row r="1400" spans="1:11">
      <c r="A1400" t="s">
        <v>155</v>
      </c>
      <c r="B1400" t="s">
        <v>27</v>
      </c>
      <c r="C1400" t="s">
        <v>45</v>
      </c>
      <c r="D1400" t="s">
        <v>29</v>
      </c>
      <c r="E1400" t="s">
        <v>30</v>
      </c>
      <c r="F1400" t="s">
        <v>67</v>
      </c>
      <c r="G1400" t="s">
        <v>51</v>
      </c>
      <c r="H1400">
        <v>420000</v>
      </c>
      <c r="I1400">
        <v>5</v>
      </c>
      <c r="J1400" t="s">
        <v>47</v>
      </c>
      <c r="K1400">
        <f t="shared" si="21"/>
        <v>336000</v>
      </c>
    </row>
    <row r="1401" spans="1:11">
      <c r="A1401" t="s">
        <v>161</v>
      </c>
      <c r="B1401" t="s">
        <v>44</v>
      </c>
      <c r="C1401" t="s">
        <v>28</v>
      </c>
      <c r="D1401" t="s">
        <v>29</v>
      </c>
      <c r="E1401" t="s">
        <v>37</v>
      </c>
      <c r="F1401" t="s">
        <v>50</v>
      </c>
      <c r="G1401" t="s">
        <v>51</v>
      </c>
      <c r="H1401">
        <v>300000</v>
      </c>
      <c r="I1401">
        <v>3</v>
      </c>
      <c r="J1401" t="s">
        <v>47</v>
      </c>
      <c r="K1401">
        <f t="shared" si="21"/>
        <v>240000</v>
      </c>
    </row>
    <row r="1402" spans="1:11">
      <c r="A1402" t="s">
        <v>57</v>
      </c>
      <c r="B1402" t="s">
        <v>35</v>
      </c>
      <c r="C1402" t="s">
        <v>28</v>
      </c>
      <c r="D1402" t="s">
        <v>41</v>
      </c>
      <c r="E1402" t="s">
        <v>37</v>
      </c>
      <c r="F1402" t="s">
        <v>71</v>
      </c>
      <c r="G1402" t="s">
        <v>51</v>
      </c>
      <c r="H1402">
        <v>250000</v>
      </c>
      <c r="I1402">
        <v>5</v>
      </c>
      <c r="J1402" t="s">
        <v>33</v>
      </c>
      <c r="K1402">
        <f t="shared" si="21"/>
        <v>200000</v>
      </c>
    </row>
    <row r="1403" spans="1:11">
      <c r="A1403" t="s">
        <v>48</v>
      </c>
      <c r="B1403" t="s">
        <v>27</v>
      </c>
      <c r="C1403" t="s">
        <v>53</v>
      </c>
      <c r="D1403" t="s">
        <v>41</v>
      </c>
      <c r="E1403" t="s">
        <v>37</v>
      </c>
      <c r="F1403" t="s">
        <v>62</v>
      </c>
      <c r="G1403" t="s">
        <v>51</v>
      </c>
      <c r="H1403">
        <v>150000</v>
      </c>
      <c r="I1403">
        <v>2</v>
      </c>
      <c r="J1403" t="s">
        <v>58</v>
      </c>
      <c r="K1403">
        <f t="shared" si="21"/>
        <v>120000</v>
      </c>
    </row>
    <row r="1404" spans="1:11">
      <c r="A1404" t="s">
        <v>163</v>
      </c>
      <c r="B1404" t="s">
        <v>35</v>
      </c>
      <c r="C1404" t="s">
        <v>36</v>
      </c>
      <c r="D1404" t="s">
        <v>41</v>
      </c>
      <c r="E1404" t="s">
        <v>30</v>
      </c>
      <c r="F1404" t="s">
        <v>73</v>
      </c>
      <c r="G1404" t="s">
        <v>39</v>
      </c>
      <c r="H1404">
        <v>220000</v>
      </c>
      <c r="I1404">
        <v>3</v>
      </c>
      <c r="J1404" t="s">
        <v>69</v>
      </c>
      <c r="K1404">
        <f t="shared" si="21"/>
        <v>176000</v>
      </c>
    </row>
    <row r="1405" spans="1:11">
      <c r="A1405" t="s">
        <v>103</v>
      </c>
      <c r="B1405" t="s">
        <v>35</v>
      </c>
      <c r="C1405" t="s">
        <v>36</v>
      </c>
      <c r="D1405" t="s">
        <v>41</v>
      </c>
      <c r="E1405" t="s">
        <v>37</v>
      </c>
      <c r="F1405" t="s">
        <v>50</v>
      </c>
      <c r="G1405" t="s">
        <v>51</v>
      </c>
      <c r="H1405">
        <v>300000</v>
      </c>
      <c r="I1405">
        <v>6</v>
      </c>
      <c r="J1405" t="s">
        <v>42</v>
      </c>
      <c r="K1405">
        <f t="shared" si="21"/>
        <v>240000</v>
      </c>
    </row>
    <row r="1406" spans="1:11">
      <c r="A1406" t="s">
        <v>162</v>
      </c>
      <c r="B1406" t="s">
        <v>44</v>
      </c>
      <c r="C1406" t="s">
        <v>36</v>
      </c>
      <c r="D1406" t="s">
        <v>29</v>
      </c>
      <c r="E1406" t="s">
        <v>37</v>
      </c>
      <c r="F1406" t="s">
        <v>54</v>
      </c>
      <c r="G1406" t="s">
        <v>39</v>
      </c>
      <c r="H1406">
        <v>180000</v>
      </c>
      <c r="I1406">
        <v>2</v>
      </c>
      <c r="J1406" t="s">
        <v>69</v>
      </c>
      <c r="K1406">
        <f t="shared" si="21"/>
        <v>144000</v>
      </c>
    </row>
    <row r="1407" spans="1:11">
      <c r="A1407" t="s">
        <v>174</v>
      </c>
      <c r="B1407" t="s">
        <v>35</v>
      </c>
      <c r="C1407" t="s">
        <v>53</v>
      </c>
      <c r="D1407" t="s">
        <v>29</v>
      </c>
      <c r="E1407" t="s">
        <v>30</v>
      </c>
      <c r="F1407" t="s">
        <v>62</v>
      </c>
      <c r="G1407" t="s">
        <v>51</v>
      </c>
      <c r="H1407">
        <v>150000</v>
      </c>
      <c r="I1407">
        <v>5</v>
      </c>
      <c r="J1407" t="s">
        <v>65</v>
      </c>
      <c r="K1407">
        <f t="shared" si="21"/>
        <v>120000</v>
      </c>
    </row>
    <row r="1408" spans="1:11">
      <c r="A1408" t="s">
        <v>93</v>
      </c>
      <c r="B1408" t="s">
        <v>35</v>
      </c>
      <c r="C1408" t="s">
        <v>45</v>
      </c>
      <c r="D1408" t="s">
        <v>41</v>
      </c>
      <c r="E1408" t="s">
        <v>37</v>
      </c>
      <c r="F1408" t="s">
        <v>31</v>
      </c>
      <c r="G1408" t="s">
        <v>32</v>
      </c>
      <c r="H1408">
        <v>85000</v>
      </c>
      <c r="I1408">
        <v>1</v>
      </c>
      <c r="J1408" t="s">
        <v>65</v>
      </c>
      <c r="K1408">
        <f t="shared" si="21"/>
        <v>68000</v>
      </c>
    </row>
    <row r="1409" spans="1:11">
      <c r="A1409" t="s">
        <v>158</v>
      </c>
      <c r="B1409" t="s">
        <v>27</v>
      </c>
      <c r="C1409" t="s">
        <v>28</v>
      </c>
      <c r="D1409" t="s">
        <v>29</v>
      </c>
      <c r="E1409" t="s">
        <v>30</v>
      </c>
      <c r="F1409" t="s">
        <v>38</v>
      </c>
      <c r="G1409" t="s">
        <v>39</v>
      </c>
      <c r="H1409">
        <v>30000</v>
      </c>
      <c r="I1409">
        <v>1</v>
      </c>
      <c r="J1409" t="s">
        <v>58</v>
      </c>
      <c r="K1409">
        <f t="shared" si="21"/>
        <v>24000</v>
      </c>
    </row>
    <row r="1410" spans="1:11">
      <c r="A1410" t="s">
        <v>169</v>
      </c>
      <c r="B1410" t="s">
        <v>35</v>
      </c>
      <c r="C1410" t="s">
        <v>36</v>
      </c>
      <c r="D1410" t="s">
        <v>29</v>
      </c>
      <c r="E1410" t="s">
        <v>37</v>
      </c>
      <c r="F1410" t="s">
        <v>31</v>
      </c>
      <c r="G1410" t="s">
        <v>32</v>
      </c>
      <c r="H1410">
        <v>85000</v>
      </c>
      <c r="I1410">
        <v>1</v>
      </c>
      <c r="J1410" t="s">
        <v>65</v>
      </c>
      <c r="K1410">
        <f t="shared" ref="K1410:K1473" si="22">H1410-H1410*0.2</f>
        <v>68000</v>
      </c>
    </row>
    <row r="1411" spans="1:11">
      <c r="A1411" t="s">
        <v>102</v>
      </c>
      <c r="B1411" t="s">
        <v>44</v>
      </c>
      <c r="C1411" t="s">
        <v>36</v>
      </c>
      <c r="D1411" t="s">
        <v>29</v>
      </c>
      <c r="E1411" t="s">
        <v>37</v>
      </c>
      <c r="F1411" t="s">
        <v>38</v>
      </c>
      <c r="G1411" t="s">
        <v>39</v>
      </c>
      <c r="H1411">
        <v>30000</v>
      </c>
      <c r="I1411">
        <v>2</v>
      </c>
      <c r="J1411" t="s">
        <v>65</v>
      </c>
      <c r="K1411">
        <f t="shared" si="22"/>
        <v>24000</v>
      </c>
    </row>
    <row r="1412" spans="1:11">
      <c r="A1412" t="s">
        <v>153</v>
      </c>
      <c r="B1412" t="s">
        <v>35</v>
      </c>
      <c r="C1412" t="s">
        <v>28</v>
      </c>
      <c r="D1412" t="s">
        <v>29</v>
      </c>
      <c r="E1412" t="s">
        <v>37</v>
      </c>
      <c r="F1412" t="s">
        <v>67</v>
      </c>
      <c r="G1412" t="s">
        <v>51</v>
      </c>
      <c r="H1412">
        <v>420000</v>
      </c>
      <c r="I1412">
        <v>3</v>
      </c>
      <c r="J1412" t="s">
        <v>33</v>
      </c>
      <c r="K1412">
        <f t="shared" si="22"/>
        <v>336000</v>
      </c>
    </row>
    <row r="1413" spans="1:11">
      <c r="A1413" t="s">
        <v>26</v>
      </c>
      <c r="B1413" t="s">
        <v>27</v>
      </c>
      <c r="C1413" t="s">
        <v>36</v>
      </c>
      <c r="D1413" t="s">
        <v>29</v>
      </c>
      <c r="E1413" t="s">
        <v>37</v>
      </c>
      <c r="F1413" t="s">
        <v>38</v>
      </c>
      <c r="G1413" t="s">
        <v>39</v>
      </c>
      <c r="H1413">
        <v>30000</v>
      </c>
      <c r="I1413">
        <v>2</v>
      </c>
      <c r="J1413" t="s">
        <v>58</v>
      </c>
      <c r="K1413">
        <f t="shared" si="22"/>
        <v>24000</v>
      </c>
    </row>
    <row r="1414" spans="1:11">
      <c r="A1414" t="s">
        <v>126</v>
      </c>
      <c r="B1414" t="s">
        <v>44</v>
      </c>
      <c r="C1414" t="s">
        <v>53</v>
      </c>
      <c r="D1414" t="s">
        <v>29</v>
      </c>
      <c r="E1414" t="s">
        <v>37</v>
      </c>
      <c r="F1414" t="s">
        <v>50</v>
      </c>
      <c r="G1414" t="s">
        <v>51</v>
      </c>
      <c r="H1414">
        <v>300000</v>
      </c>
      <c r="I1414">
        <v>9</v>
      </c>
      <c r="J1414" t="s">
        <v>47</v>
      </c>
      <c r="K1414">
        <f t="shared" si="22"/>
        <v>240000</v>
      </c>
    </row>
    <row r="1415" spans="1:11">
      <c r="A1415" t="s">
        <v>92</v>
      </c>
      <c r="B1415" t="s">
        <v>35</v>
      </c>
      <c r="C1415" t="s">
        <v>45</v>
      </c>
      <c r="D1415" t="s">
        <v>41</v>
      </c>
      <c r="E1415" t="s">
        <v>37</v>
      </c>
      <c r="F1415" t="s">
        <v>62</v>
      </c>
      <c r="G1415" t="s">
        <v>51</v>
      </c>
      <c r="H1415">
        <v>150000</v>
      </c>
      <c r="I1415">
        <v>4</v>
      </c>
      <c r="J1415" t="s">
        <v>58</v>
      </c>
      <c r="K1415">
        <f t="shared" si="22"/>
        <v>120000</v>
      </c>
    </row>
    <row r="1416" spans="1:11">
      <c r="A1416" t="s">
        <v>113</v>
      </c>
      <c r="B1416" t="s">
        <v>35</v>
      </c>
      <c r="C1416" t="s">
        <v>28</v>
      </c>
      <c r="D1416" t="s">
        <v>29</v>
      </c>
      <c r="E1416" t="s">
        <v>37</v>
      </c>
      <c r="F1416" t="s">
        <v>73</v>
      </c>
      <c r="G1416" t="s">
        <v>39</v>
      </c>
      <c r="H1416">
        <v>220000</v>
      </c>
      <c r="I1416">
        <v>2</v>
      </c>
      <c r="J1416" t="s">
        <v>69</v>
      </c>
      <c r="K1416">
        <f t="shared" si="22"/>
        <v>176000</v>
      </c>
    </row>
    <row r="1417" spans="1:11">
      <c r="A1417" t="s">
        <v>149</v>
      </c>
      <c r="B1417" t="s">
        <v>44</v>
      </c>
      <c r="C1417" t="s">
        <v>36</v>
      </c>
      <c r="D1417" t="s">
        <v>29</v>
      </c>
      <c r="E1417" t="s">
        <v>37</v>
      </c>
      <c r="F1417" t="s">
        <v>31</v>
      </c>
      <c r="G1417" t="s">
        <v>32</v>
      </c>
      <c r="H1417">
        <v>85000</v>
      </c>
      <c r="I1417">
        <v>6</v>
      </c>
      <c r="J1417" t="s">
        <v>33</v>
      </c>
      <c r="K1417">
        <f t="shared" si="22"/>
        <v>68000</v>
      </c>
    </row>
    <row r="1418" spans="1:11">
      <c r="A1418" t="s">
        <v>151</v>
      </c>
      <c r="B1418" t="s">
        <v>27</v>
      </c>
      <c r="C1418" t="s">
        <v>36</v>
      </c>
      <c r="D1418" t="s">
        <v>29</v>
      </c>
      <c r="E1418" t="s">
        <v>37</v>
      </c>
      <c r="F1418" t="s">
        <v>50</v>
      </c>
      <c r="G1418" t="s">
        <v>51</v>
      </c>
      <c r="H1418">
        <v>300000</v>
      </c>
      <c r="I1418">
        <v>8</v>
      </c>
      <c r="J1418" t="s">
        <v>33</v>
      </c>
      <c r="K1418">
        <f t="shared" si="22"/>
        <v>240000</v>
      </c>
    </row>
    <row r="1419" spans="1:11">
      <c r="A1419" t="s">
        <v>64</v>
      </c>
      <c r="B1419" t="s">
        <v>44</v>
      </c>
      <c r="C1419" t="s">
        <v>45</v>
      </c>
      <c r="D1419" t="s">
        <v>41</v>
      </c>
      <c r="E1419" t="s">
        <v>37</v>
      </c>
      <c r="F1419" t="s">
        <v>67</v>
      </c>
      <c r="G1419" t="s">
        <v>51</v>
      </c>
      <c r="H1419">
        <v>420000</v>
      </c>
      <c r="I1419">
        <v>2</v>
      </c>
      <c r="J1419" t="s">
        <v>58</v>
      </c>
      <c r="K1419">
        <f t="shared" si="22"/>
        <v>336000</v>
      </c>
    </row>
    <row r="1420" spans="1:11">
      <c r="A1420" t="s">
        <v>176</v>
      </c>
      <c r="B1420" t="s">
        <v>35</v>
      </c>
      <c r="C1420" t="s">
        <v>45</v>
      </c>
      <c r="D1420" t="s">
        <v>29</v>
      </c>
      <c r="E1420" t="s">
        <v>37</v>
      </c>
      <c r="F1420" t="s">
        <v>73</v>
      </c>
      <c r="G1420" t="s">
        <v>39</v>
      </c>
      <c r="H1420">
        <v>220000</v>
      </c>
      <c r="I1420">
        <v>3</v>
      </c>
      <c r="J1420" t="s">
        <v>42</v>
      </c>
      <c r="K1420">
        <f t="shared" si="22"/>
        <v>176000</v>
      </c>
    </row>
    <row r="1421" spans="1:11">
      <c r="A1421" t="s">
        <v>163</v>
      </c>
      <c r="B1421" t="s">
        <v>35</v>
      </c>
      <c r="C1421" t="s">
        <v>36</v>
      </c>
      <c r="D1421" t="s">
        <v>29</v>
      </c>
      <c r="E1421" t="s">
        <v>37</v>
      </c>
      <c r="F1421" t="s">
        <v>67</v>
      </c>
      <c r="G1421" t="s">
        <v>51</v>
      </c>
      <c r="H1421">
        <v>420000</v>
      </c>
      <c r="I1421">
        <v>10</v>
      </c>
      <c r="J1421" t="s">
        <v>33</v>
      </c>
      <c r="K1421">
        <f t="shared" si="22"/>
        <v>336000</v>
      </c>
    </row>
    <row r="1422" spans="1:11">
      <c r="A1422" t="s">
        <v>157</v>
      </c>
      <c r="B1422" t="s">
        <v>49</v>
      </c>
      <c r="C1422" t="s">
        <v>36</v>
      </c>
      <c r="D1422" t="s">
        <v>29</v>
      </c>
      <c r="E1422" t="s">
        <v>37</v>
      </c>
      <c r="F1422" t="s">
        <v>50</v>
      </c>
      <c r="G1422" t="s">
        <v>51</v>
      </c>
      <c r="H1422">
        <v>300000</v>
      </c>
      <c r="I1422">
        <v>7</v>
      </c>
      <c r="J1422" t="s">
        <v>42</v>
      </c>
      <c r="K1422">
        <f t="shared" si="22"/>
        <v>240000</v>
      </c>
    </row>
    <row r="1423" spans="1:11">
      <c r="A1423" t="s">
        <v>157</v>
      </c>
      <c r="B1423" t="s">
        <v>35</v>
      </c>
      <c r="C1423" t="s">
        <v>45</v>
      </c>
      <c r="D1423" t="s">
        <v>29</v>
      </c>
      <c r="E1423" t="s">
        <v>37</v>
      </c>
      <c r="F1423" t="s">
        <v>38</v>
      </c>
      <c r="G1423" t="s">
        <v>39</v>
      </c>
      <c r="H1423">
        <v>30000</v>
      </c>
      <c r="I1423">
        <v>1</v>
      </c>
      <c r="J1423" t="s">
        <v>47</v>
      </c>
      <c r="K1423">
        <f t="shared" si="22"/>
        <v>24000</v>
      </c>
    </row>
    <row r="1424" spans="1:11">
      <c r="A1424" t="s">
        <v>111</v>
      </c>
      <c r="B1424" t="s">
        <v>35</v>
      </c>
      <c r="C1424" t="s">
        <v>36</v>
      </c>
      <c r="D1424" t="s">
        <v>41</v>
      </c>
      <c r="E1424" t="s">
        <v>37</v>
      </c>
      <c r="F1424" t="s">
        <v>38</v>
      </c>
      <c r="G1424" t="s">
        <v>39</v>
      </c>
      <c r="H1424">
        <v>30000</v>
      </c>
      <c r="I1424">
        <v>7</v>
      </c>
      <c r="J1424" t="s">
        <v>33</v>
      </c>
      <c r="K1424">
        <f t="shared" si="22"/>
        <v>24000</v>
      </c>
    </row>
    <row r="1425" spans="1:11">
      <c r="A1425" t="s">
        <v>130</v>
      </c>
      <c r="B1425" t="s">
        <v>49</v>
      </c>
      <c r="C1425" t="s">
        <v>53</v>
      </c>
      <c r="D1425" t="s">
        <v>41</v>
      </c>
      <c r="E1425" t="s">
        <v>37</v>
      </c>
      <c r="F1425" t="s">
        <v>31</v>
      </c>
      <c r="G1425" t="s">
        <v>32</v>
      </c>
      <c r="H1425">
        <v>85000</v>
      </c>
      <c r="I1425">
        <v>8</v>
      </c>
      <c r="J1425" t="s">
        <v>58</v>
      </c>
      <c r="K1425">
        <f t="shared" si="22"/>
        <v>68000</v>
      </c>
    </row>
    <row r="1426" spans="1:11">
      <c r="A1426" t="s">
        <v>60</v>
      </c>
      <c r="B1426" t="s">
        <v>35</v>
      </c>
      <c r="C1426" t="s">
        <v>36</v>
      </c>
      <c r="D1426" t="s">
        <v>29</v>
      </c>
      <c r="E1426" t="s">
        <v>37</v>
      </c>
      <c r="F1426" t="s">
        <v>71</v>
      </c>
      <c r="G1426" t="s">
        <v>51</v>
      </c>
      <c r="H1426">
        <v>250000</v>
      </c>
      <c r="I1426">
        <v>10</v>
      </c>
      <c r="J1426" t="s">
        <v>42</v>
      </c>
      <c r="K1426">
        <f t="shared" si="22"/>
        <v>200000</v>
      </c>
    </row>
    <row r="1427" spans="1:11">
      <c r="A1427" t="s">
        <v>76</v>
      </c>
      <c r="B1427" t="s">
        <v>27</v>
      </c>
      <c r="C1427" t="s">
        <v>36</v>
      </c>
      <c r="D1427" t="s">
        <v>29</v>
      </c>
      <c r="E1427" t="s">
        <v>37</v>
      </c>
      <c r="F1427" t="s">
        <v>31</v>
      </c>
      <c r="G1427" t="s">
        <v>32</v>
      </c>
      <c r="H1427">
        <v>85000</v>
      </c>
      <c r="I1427">
        <v>4</v>
      </c>
      <c r="J1427" t="s">
        <v>69</v>
      </c>
      <c r="K1427">
        <f t="shared" si="22"/>
        <v>68000</v>
      </c>
    </row>
    <row r="1428" spans="1:11">
      <c r="A1428" t="s">
        <v>121</v>
      </c>
      <c r="B1428" t="s">
        <v>27</v>
      </c>
      <c r="C1428" t="s">
        <v>53</v>
      </c>
      <c r="D1428" t="s">
        <v>29</v>
      </c>
      <c r="E1428" t="s">
        <v>37</v>
      </c>
      <c r="F1428" t="s">
        <v>71</v>
      </c>
      <c r="G1428" t="s">
        <v>51</v>
      </c>
      <c r="H1428">
        <v>250000</v>
      </c>
      <c r="I1428">
        <v>6</v>
      </c>
      <c r="J1428" t="s">
        <v>69</v>
      </c>
      <c r="K1428">
        <f t="shared" si="22"/>
        <v>200000</v>
      </c>
    </row>
    <row r="1429" spans="1:11">
      <c r="A1429" t="s">
        <v>113</v>
      </c>
      <c r="B1429" t="s">
        <v>35</v>
      </c>
      <c r="C1429" t="s">
        <v>53</v>
      </c>
      <c r="D1429" t="s">
        <v>41</v>
      </c>
      <c r="E1429" t="s">
        <v>37</v>
      </c>
      <c r="F1429" t="s">
        <v>56</v>
      </c>
      <c r="G1429" t="s">
        <v>32</v>
      </c>
      <c r="H1429">
        <v>320000</v>
      </c>
      <c r="I1429">
        <v>7</v>
      </c>
      <c r="J1429" t="s">
        <v>65</v>
      </c>
      <c r="K1429">
        <f t="shared" si="22"/>
        <v>256000</v>
      </c>
    </row>
    <row r="1430" spans="1:11">
      <c r="A1430" t="s">
        <v>55</v>
      </c>
      <c r="B1430" t="s">
        <v>35</v>
      </c>
      <c r="C1430" t="s">
        <v>53</v>
      </c>
      <c r="D1430" t="s">
        <v>41</v>
      </c>
      <c r="E1430" t="s">
        <v>37</v>
      </c>
      <c r="F1430" t="s">
        <v>54</v>
      </c>
      <c r="G1430" t="s">
        <v>39</v>
      </c>
      <c r="H1430">
        <v>180000</v>
      </c>
      <c r="I1430">
        <v>2</v>
      </c>
      <c r="J1430" t="s">
        <v>33</v>
      </c>
      <c r="K1430">
        <f t="shared" si="22"/>
        <v>144000</v>
      </c>
    </row>
    <row r="1431" spans="1:11">
      <c r="A1431" t="s">
        <v>48</v>
      </c>
      <c r="B1431" t="s">
        <v>49</v>
      </c>
      <c r="C1431" t="s">
        <v>53</v>
      </c>
      <c r="D1431" t="s">
        <v>41</v>
      </c>
      <c r="E1431" t="s">
        <v>37</v>
      </c>
      <c r="F1431" t="s">
        <v>73</v>
      </c>
      <c r="G1431" t="s">
        <v>39</v>
      </c>
      <c r="H1431">
        <v>220000</v>
      </c>
      <c r="I1431">
        <v>2</v>
      </c>
      <c r="J1431" t="s">
        <v>69</v>
      </c>
      <c r="K1431">
        <f t="shared" si="22"/>
        <v>176000</v>
      </c>
    </row>
    <row r="1432" spans="1:11">
      <c r="A1432" t="s">
        <v>133</v>
      </c>
      <c r="B1432" t="s">
        <v>49</v>
      </c>
      <c r="C1432" t="s">
        <v>45</v>
      </c>
      <c r="D1432" t="s">
        <v>41</v>
      </c>
      <c r="E1432" t="s">
        <v>37</v>
      </c>
      <c r="F1432" t="s">
        <v>54</v>
      </c>
      <c r="G1432" t="s">
        <v>39</v>
      </c>
      <c r="H1432">
        <v>180000</v>
      </c>
      <c r="I1432">
        <v>6</v>
      </c>
      <c r="J1432" t="s">
        <v>42</v>
      </c>
      <c r="K1432">
        <f t="shared" si="22"/>
        <v>144000</v>
      </c>
    </row>
    <row r="1433" spans="1:11">
      <c r="A1433" t="s">
        <v>115</v>
      </c>
      <c r="B1433" t="s">
        <v>27</v>
      </c>
      <c r="C1433" t="s">
        <v>53</v>
      </c>
      <c r="D1433" t="s">
        <v>29</v>
      </c>
      <c r="E1433" t="s">
        <v>37</v>
      </c>
      <c r="F1433" t="s">
        <v>54</v>
      </c>
      <c r="G1433" t="s">
        <v>39</v>
      </c>
      <c r="H1433">
        <v>180000</v>
      </c>
      <c r="I1433">
        <v>3</v>
      </c>
      <c r="J1433" t="s">
        <v>42</v>
      </c>
      <c r="K1433">
        <f t="shared" si="22"/>
        <v>144000</v>
      </c>
    </row>
    <row r="1434" spans="1:11">
      <c r="A1434" t="s">
        <v>114</v>
      </c>
      <c r="B1434" t="s">
        <v>27</v>
      </c>
      <c r="C1434" t="s">
        <v>45</v>
      </c>
      <c r="D1434" t="s">
        <v>29</v>
      </c>
      <c r="E1434" t="s">
        <v>37</v>
      </c>
      <c r="F1434" t="s">
        <v>46</v>
      </c>
      <c r="G1434" t="s">
        <v>39</v>
      </c>
      <c r="H1434">
        <v>60000</v>
      </c>
      <c r="I1434">
        <v>2</v>
      </c>
      <c r="J1434" t="s">
        <v>42</v>
      </c>
      <c r="K1434">
        <f t="shared" si="22"/>
        <v>48000</v>
      </c>
    </row>
    <row r="1435" spans="1:11">
      <c r="A1435" t="s">
        <v>157</v>
      </c>
      <c r="B1435" t="s">
        <v>49</v>
      </c>
      <c r="C1435" t="s">
        <v>53</v>
      </c>
      <c r="D1435" t="s">
        <v>41</v>
      </c>
      <c r="E1435" t="s">
        <v>37</v>
      </c>
      <c r="F1435" t="s">
        <v>50</v>
      </c>
      <c r="G1435" t="s">
        <v>51</v>
      </c>
      <c r="H1435">
        <v>300000</v>
      </c>
      <c r="I1435">
        <v>1</v>
      </c>
      <c r="J1435" t="s">
        <v>65</v>
      </c>
      <c r="K1435">
        <f t="shared" si="22"/>
        <v>240000</v>
      </c>
    </row>
    <row r="1436" spans="1:11">
      <c r="A1436" t="s">
        <v>91</v>
      </c>
      <c r="B1436" t="s">
        <v>44</v>
      </c>
      <c r="C1436" t="s">
        <v>45</v>
      </c>
      <c r="D1436" t="s">
        <v>41</v>
      </c>
      <c r="E1436" t="s">
        <v>37</v>
      </c>
      <c r="F1436" t="s">
        <v>67</v>
      </c>
      <c r="G1436" t="s">
        <v>51</v>
      </c>
      <c r="H1436">
        <v>420000</v>
      </c>
      <c r="I1436">
        <v>2</v>
      </c>
      <c r="J1436" t="s">
        <v>42</v>
      </c>
      <c r="K1436">
        <f t="shared" si="22"/>
        <v>336000</v>
      </c>
    </row>
    <row r="1437" spans="1:11">
      <c r="A1437" t="s">
        <v>70</v>
      </c>
      <c r="B1437" t="s">
        <v>27</v>
      </c>
      <c r="C1437" t="s">
        <v>36</v>
      </c>
      <c r="D1437" t="s">
        <v>29</v>
      </c>
      <c r="E1437" t="s">
        <v>37</v>
      </c>
      <c r="F1437" t="s">
        <v>71</v>
      </c>
      <c r="G1437" t="s">
        <v>51</v>
      </c>
      <c r="H1437">
        <v>250000</v>
      </c>
      <c r="I1437">
        <v>9</v>
      </c>
      <c r="J1437" t="s">
        <v>42</v>
      </c>
      <c r="K1437">
        <f t="shared" si="22"/>
        <v>200000</v>
      </c>
    </row>
    <row r="1438" spans="1:11">
      <c r="A1438" t="s">
        <v>77</v>
      </c>
      <c r="B1438" t="s">
        <v>44</v>
      </c>
      <c r="C1438" t="s">
        <v>28</v>
      </c>
      <c r="D1438" t="s">
        <v>41</v>
      </c>
      <c r="E1438" t="s">
        <v>37</v>
      </c>
      <c r="F1438" t="s">
        <v>54</v>
      </c>
      <c r="G1438" t="s">
        <v>39</v>
      </c>
      <c r="H1438">
        <v>180000</v>
      </c>
      <c r="I1438">
        <v>5</v>
      </c>
      <c r="J1438" t="s">
        <v>65</v>
      </c>
      <c r="K1438">
        <f t="shared" si="22"/>
        <v>144000</v>
      </c>
    </row>
    <row r="1439" spans="1:11">
      <c r="A1439" t="s">
        <v>144</v>
      </c>
      <c r="B1439" t="s">
        <v>44</v>
      </c>
      <c r="C1439" t="s">
        <v>36</v>
      </c>
      <c r="D1439" t="s">
        <v>41</v>
      </c>
      <c r="E1439" t="s">
        <v>37</v>
      </c>
      <c r="F1439" t="s">
        <v>62</v>
      </c>
      <c r="G1439" t="s">
        <v>51</v>
      </c>
      <c r="H1439">
        <v>150000</v>
      </c>
      <c r="I1439">
        <v>5</v>
      </c>
      <c r="J1439" t="s">
        <v>58</v>
      </c>
      <c r="K1439">
        <f t="shared" si="22"/>
        <v>120000</v>
      </c>
    </row>
    <row r="1440" spans="1:11">
      <c r="A1440" t="s">
        <v>133</v>
      </c>
      <c r="B1440" t="s">
        <v>27</v>
      </c>
      <c r="C1440" t="s">
        <v>53</v>
      </c>
      <c r="D1440" t="s">
        <v>29</v>
      </c>
      <c r="E1440" t="s">
        <v>37</v>
      </c>
      <c r="F1440" t="s">
        <v>56</v>
      </c>
      <c r="G1440" t="s">
        <v>32</v>
      </c>
      <c r="H1440">
        <v>320000</v>
      </c>
      <c r="I1440">
        <v>4</v>
      </c>
      <c r="J1440" t="s">
        <v>69</v>
      </c>
      <c r="K1440">
        <f t="shared" si="22"/>
        <v>256000</v>
      </c>
    </row>
    <row r="1441" spans="1:11">
      <c r="A1441" t="s">
        <v>110</v>
      </c>
      <c r="B1441" t="s">
        <v>44</v>
      </c>
      <c r="C1441" t="s">
        <v>45</v>
      </c>
      <c r="D1441" t="s">
        <v>29</v>
      </c>
      <c r="E1441" t="s">
        <v>37</v>
      </c>
      <c r="F1441" t="s">
        <v>54</v>
      </c>
      <c r="G1441" t="s">
        <v>39</v>
      </c>
      <c r="H1441">
        <v>180000</v>
      </c>
      <c r="I1441">
        <v>10</v>
      </c>
      <c r="J1441" t="s">
        <v>58</v>
      </c>
      <c r="K1441">
        <f t="shared" si="22"/>
        <v>144000</v>
      </c>
    </row>
    <row r="1442" spans="1:11">
      <c r="A1442" t="s">
        <v>127</v>
      </c>
      <c r="B1442" t="s">
        <v>49</v>
      </c>
      <c r="C1442" t="s">
        <v>28</v>
      </c>
      <c r="D1442" t="s">
        <v>41</v>
      </c>
      <c r="E1442" t="s">
        <v>37</v>
      </c>
      <c r="F1442" t="s">
        <v>67</v>
      </c>
      <c r="G1442" t="s">
        <v>51</v>
      </c>
      <c r="H1442">
        <v>420000</v>
      </c>
      <c r="I1442">
        <v>2</v>
      </c>
      <c r="J1442" t="s">
        <v>65</v>
      </c>
      <c r="K1442">
        <f t="shared" si="22"/>
        <v>336000</v>
      </c>
    </row>
    <row r="1443" spans="1:11">
      <c r="A1443" t="s">
        <v>90</v>
      </c>
      <c r="B1443" t="s">
        <v>44</v>
      </c>
      <c r="C1443" t="s">
        <v>28</v>
      </c>
      <c r="D1443" t="s">
        <v>41</v>
      </c>
      <c r="E1443" t="s">
        <v>37</v>
      </c>
      <c r="F1443" t="s">
        <v>62</v>
      </c>
      <c r="G1443" t="s">
        <v>51</v>
      </c>
      <c r="H1443">
        <v>150000</v>
      </c>
      <c r="I1443">
        <v>6</v>
      </c>
      <c r="J1443" t="s">
        <v>65</v>
      </c>
      <c r="K1443">
        <f t="shared" si="22"/>
        <v>120000</v>
      </c>
    </row>
    <row r="1444" spans="1:11">
      <c r="A1444" t="s">
        <v>113</v>
      </c>
      <c r="B1444" t="s">
        <v>27</v>
      </c>
      <c r="C1444" t="s">
        <v>36</v>
      </c>
      <c r="D1444" t="s">
        <v>41</v>
      </c>
      <c r="E1444" t="s">
        <v>37</v>
      </c>
      <c r="F1444" t="s">
        <v>62</v>
      </c>
      <c r="G1444" t="s">
        <v>51</v>
      </c>
      <c r="H1444">
        <v>150000</v>
      </c>
      <c r="I1444">
        <v>4</v>
      </c>
      <c r="J1444" t="s">
        <v>42</v>
      </c>
      <c r="K1444">
        <f t="shared" si="22"/>
        <v>120000</v>
      </c>
    </row>
    <row r="1445" spans="1:11">
      <c r="A1445" t="s">
        <v>141</v>
      </c>
      <c r="B1445" t="s">
        <v>35</v>
      </c>
      <c r="C1445" t="s">
        <v>28</v>
      </c>
      <c r="D1445" t="s">
        <v>41</v>
      </c>
      <c r="E1445" t="s">
        <v>37</v>
      </c>
      <c r="F1445" t="s">
        <v>71</v>
      </c>
      <c r="G1445" t="s">
        <v>51</v>
      </c>
      <c r="H1445">
        <v>250000</v>
      </c>
      <c r="I1445">
        <v>9</v>
      </c>
      <c r="J1445" t="s">
        <v>65</v>
      </c>
      <c r="K1445">
        <f t="shared" si="22"/>
        <v>200000</v>
      </c>
    </row>
    <row r="1446" spans="1:11">
      <c r="A1446" t="s">
        <v>145</v>
      </c>
      <c r="B1446" t="s">
        <v>44</v>
      </c>
      <c r="C1446" t="s">
        <v>36</v>
      </c>
      <c r="D1446" t="s">
        <v>41</v>
      </c>
      <c r="E1446" t="s">
        <v>37</v>
      </c>
      <c r="F1446" t="s">
        <v>73</v>
      </c>
      <c r="G1446" t="s">
        <v>39</v>
      </c>
      <c r="H1446">
        <v>220000</v>
      </c>
      <c r="I1446">
        <v>8</v>
      </c>
      <c r="J1446" t="s">
        <v>69</v>
      </c>
      <c r="K1446">
        <f t="shared" si="22"/>
        <v>176000</v>
      </c>
    </row>
    <row r="1447" spans="1:11">
      <c r="A1447" t="s">
        <v>168</v>
      </c>
      <c r="B1447" t="s">
        <v>49</v>
      </c>
      <c r="C1447" t="s">
        <v>45</v>
      </c>
      <c r="D1447" t="s">
        <v>29</v>
      </c>
      <c r="E1447" t="s">
        <v>37</v>
      </c>
      <c r="F1447" t="s">
        <v>62</v>
      </c>
      <c r="G1447" t="s">
        <v>51</v>
      </c>
      <c r="H1447">
        <v>150000</v>
      </c>
      <c r="I1447">
        <v>2</v>
      </c>
      <c r="J1447" t="s">
        <v>47</v>
      </c>
      <c r="K1447">
        <f t="shared" si="22"/>
        <v>120000</v>
      </c>
    </row>
    <row r="1448" spans="1:11">
      <c r="A1448" t="s">
        <v>52</v>
      </c>
      <c r="B1448" t="s">
        <v>27</v>
      </c>
      <c r="C1448" t="s">
        <v>36</v>
      </c>
      <c r="D1448" t="s">
        <v>41</v>
      </c>
      <c r="E1448" t="s">
        <v>37</v>
      </c>
      <c r="F1448" t="s">
        <v>73</v>
      </c>
      <c r="G1448" t="s">
        <v>39</v>
      </c>
      <c r="H1448">
        <v>220000</v>
      </c>
      <c r="I1448">
        <v>4</v>
      </c>
      <c r="J1448" t="s">
        <v>47</v>
      </c>
      <c r="K1448">
        <f t="shared" si="22"/>
        <v>176000</v>
      </c>
    </row>
    <row r="1449" spans="1:11">
      <c r="A1449" t="s">
        <v>116</v>
      </c>
      <c r="B1449" t="s">
        <v>44</v>
      </c>
      <c r="C1449" t="s">
        <v>28</v>
      </c>
      <c r="D1449" t="s">
        <v>41</v>
      </c>
      <c r="E1449" t="s">
        <v>37</v>
      </c>
      <c r="F1449" t="s">
        <v>38</v>
      </c>
      <c r="G1449" t="s">
        <v>39</v>
      </c>
      <c r="H1449">
        <v>30000</v>
      </c>
      <c r="I1449">
        <v>6</v>
      </c>
      <c r="J1449" t="s">
        <v>65</v>
      </c>
      <c r="K1449">
        <f t="shared" si="22"/>
        <v>24000</v>
      </c>
    </row>
    <row r="1450" spans="1:11">
      <c r="A1450" t="s">
        <v>144</v>
      </c>
      <c r="B1450" t="s">
        <v>35</v>
      </c>
      <c r="C1450" t="s">
        <v>53</v>
      </c>
      <c r="D1450" t="s">
        <v>29</v>
      </c>
      <c r="E1450" t="s">
        <v>37</v>
      </c>
      <c r="F1450" t="s">
        <v>31</v>
      </c>
      <c r="G1450" t="s">
        <v>32</v>
      </c>
      <c r="H1450">
        <v>85000</v>
      </c>
      <c r="I1450">
        <v>3</v>
      </c>
      <c r="J1450" t="s">
        <v>47</v>
      </c>
      <c r="K1450">
        <f t="shared" si="22"/>
        <v>68000</v>
      </c>
    </row>
    <row r="1451" spans="1:11">
      <c r="A1451" t="s">
        <v>173</v>
      </c>
      <c r="B1451" t="s">
        <v>35</v>
      </c>
      <c r="C1451" t="s">
        <v>36</v>
      </c>
      <c r="D1451" t="s">
        <v>29</v>
      </c>
      <c r="E1451" t="s">
        <v>37</v>
      </c>
      <c r="F1451" t="s">
        <v>31</v>
      </c>
      <c r="G1451" t="s">
        <v>32</v>
      </c>
      <c r="H1451">
        <v>85000</v>
      </c>
      <c r="I1451">
        <v>2</v>
      </c>
      <c r="J1451" t="s">
        <v>33</v>
      </c>
      <c r="K1451">
        <f t="shared" si="22"/>
        <v>68000</v>
      </c>
    </row>
    <row r="1452" spans="1:11">
      <c r="A1452" t="s">
        <v>88</v>
      </c>
      <c r="B1452" t="s">
        <v>49</v>
      </c>
      <c r="C1452" t="s">
        <v>36</v>
      </c>
      <c r="D1452" t="s">
        <v>29</v>
      </c>
      <c r="E1452" t="s">
        <v>37</v>
      </c>
      <c r="F1452" t="s">
        <v>71</v>
      </c>
      <c r="G1452" t="s">
        <v>51</v>
      </c>
      <c r="H1452">
        <v>250000</v>
      </c>
      <c r="I1452">
        <v>10</v>
      </c>
      <c r="J1452" t="s">
        <v>47</v>
      </c>
      <c r="K1452">
        <f t="shared" si="22"/>
        <v>200000</v>
      </c>
    </row>
    <row r="1453" spans="1:11">
      <c r="A1453" t="s">
        <v>93</v>
      </c>
      <c r="B1453" t="s">
        <v>27</v>
      </c>
      <c r="C1453" t="s">
        <v>36</v>
      </c>
      <c r="D1453" t="s">
        <v>41</v>
      </c>
      <c r="E1453" t="s">
        <v>37</v>
      </c>
      <c r="F1453" t="s">
        <v>73</v>
      </c>
      <c r="G1453" t="s">
        <v>39</v>
      </c>
      <c r="H1453">
        <v>220000</v>
      </c>
      <c r="I1453">
        <v>2</v>
      </c>
      <c r="J1453" t="s">
        <v>65</v>
      </c>
      <c r="K1453">
        <f t="shared" si="22"/>
        <v>176000</v>
      </c>
    </row>
    <row r="1454" spans="1:11">
      <c r="A1454" t="s">
        <v>153</v>
      </c>
      <c r="B1454" t="s">
        <v>27</v>
      </c>
      <c r="C1454" t="s">
        <v>28</v>
      </c>
      <c r="D1454" t="s">
        <v>41</v>
      </c>
      <c r="E1454" t="s">
        <v>37</v>
      </c>
      <c r="F1454" t="s">
        <v>50</v>
      </c>
      <c r="G1454" t="s">
        <v>51</v>
      </c>
      <c r="H1454">
        <v>300000</v>
      </c>
      <c r="I1454">
        <v>9</v>
      </c>
      <c r="J1454" t="s">
        <v>65</v>
      </c>
      <c r="K1454">
        <f t="shared" si="22"/>
        <v>240000</v>
      </c>
    </row>
    <row r="1455" spans="1:11">
      <c r="A1455" t="s">
        <v>120</v>
      </c>
      <c r="B1455" t="s">
        <v>35</v>
      </c>
      <c r="C1455" t="s">
        <v>53</v>
      </c>
      <c r="D1455" t="s">
        <v>29</v>
      </c>
      <c r="E1455" t="s">
        <v>37</v>
      </c>
      <c r="F1455" t="s">
        <v>73</v>
      </c>
      <c r="G1455" t="s">
        <v>39</v>
      </c>
      <c r="H1455">
        <v>220000</v>
      </c>
      <c r="I1455">
        <v>3</v>
      </c>
      <c r="J1455" t="s">
        <v>42</v>
      </c>
      <c r="K1455">
        <f t="shared" si="22"/>
        <v>176000</v>
      </c>
    </row>
    <row r="1456" spans="1:11">
      <c r="A1456" t="s">
        <v>63</v>
      </c>
      <c r="B1456" t="s">
        <v>35</v>
      </c>
      <c r="C1456" t="s">
        <v>53</v>
      </c>
      <c r="D1456" t="s">
        <v>41</v>
      </c>
      <c r="E1456" t="s">
        <v>37</v>
      </c>
      <c r="F1456" t="s">
        <v>71</v>
      </c>
      <c r="G1456" t="s">
        <v>51</v>
      </c>
      <c r="H1456">
        <v>250000</v>
      </c>
      <c r="I1456">
        <v>8</v>
      </c>
      <c r="J1456" t="s">
        <v>47</v>
      </c>
      <c r="K1456">
        <f t="shared" si="22"/>
        <v>200000</v>
      </c>
    </row>
    <row r="1457" spans="1:11">
      <c r="A1457" t="s">
        <v>110</v>
      </c>
      <c r="B1457" t="s">
        <v>44</v>
      </c>
      <c r="C1457" t="s">
        <v>36</v>
      </c>
      <c r="D1457" t="s">
        <v>41</v>
      </c>
      <c r="E1457" t="s">
        <v>37</v>
      </c>
      <c r="F1457" t="s">
        <v>71</v>
      </c>
      <c r="G1457" t="s">
        <v>51</v>
      </c>
      <c r="H1457">
        <v>250000</v>
      </c>
      <c r="I1457">
        <v>5</v>
      </c>
      <c r="J1457" t="s">
        <v>69</v>
      </c>
      <c r="K1457">
        <f t="shared" si="22"/>
        <v>200000</v>
      </c>
    </row>
    <row r="1458" spans="1:11">
      <c r="A1458" t="s">
        <v>151</v>
      </c>
      <c r="B1458" t="s">
        <v>49</v>
      </c>
      <c r="C1458" t="s">
        <v>53</v>
      </c>
      <c r="D1458" t="s">
        <v>29</v>
      </c>
      <c r="E1458" t="s">
        <v>37</v>
      </c>
      <c r="F1458" t="s">
        <v>67</v>
      </c>
      <c r="G1458" t="s">
        <v>51</v>
      </c>
      <c r="H1458">
        <v>420000</v>
      </c>
      <c r="I1458">
        <v>5</v>
      </c>
      <c r="J1458" t="s">
        <v>42</v>
      </c>
      <c r="K1458">
        <f t="shared" si="22"/>
        <v>336000</v>
      </c>
    </row>
    <row r="1459" spans="1:11">
      <c r="A1459" t="s">
        <v>86</v>
      </c>
      <c r="B1459" t="s">
        <v>44</v>
      </c>
      <c r="C1459" t="s">
        <v>36</v>
      </c>
      <c r="D1459" t="s">
        <v>29</v>
      </c>
      <c r="E1459" t="s">
        <v>37</v>
      </c>
      <c r="F1459" t="s">
        <v>46</v>
      </c>
      <c r="G1459" t="s">
        <v>39</v>
      </c>
      <c r="H1459">
        <v>60000</v>
      </c>
      <c r="I1459">
        <v>7</v>
      </c>
      <c r="J1459" t="s">
        <v>69</v>
      </c>
      <c r="K1459">
        <f t="shared" si="22"/>
        <v>48000</v>
      </c>
    </row>
    <row r="1460" spans="1:11">
      <c r="A1460" t="s">
        <v>116</v>
      </c>
      <c r="B1460" t="s">
        <v>35</v>
      </c>
      <c r="C1460" t="s">
        <v>45</v>
      </c>
      <c r="D1460" t="s">
        <v>29</v>
      </c>
      <c r="E1460" t="s">
        <v>37</v>
      </c>
      <c r="F1460" t="s">
        <v>38</v>
      </c>
      <c r="G1460" t="s">
        <v>39</v>
      </c>
      <c r="H1460">
        <v>30000</v>
      </c>
      <c r="I1460">
        <v>8</v>
      </c>
      <c r="J1460" t="s">
        <v>33</v>
      </c>
      <c r="K1460">
        <f t="shared" si="22"/>
        <v>24000</v>
      </c>
    </row>
    <row r="1461" spans="1:11">
      <c r="A1461" t="s">
        <v>75</v>
      </c>
      <c r="B1461" t="s">
        <v>49</v>
      </c>
      <c r="C1461" t="s">
        <v>28</v>
      </c>
      <c r="D1461" t="s">
        <v>41</v>
      </c>
      <c r="E1461" t="s">
        <v>37</v>
      </c>
      <c r="F1461" t="s">
        <v>71</v>
      </c>
      <c r="G1461" t="s">
        <v>51</v>
      </c>
      <c r="H1461">
        <v>250000</v>
      </c>
      <c r="I1461">
        <v>2</v>
      </c>
      <c r="J1461" t="s">
        <v>47</v>
      </c>
      <c r="K1461">
        <f t="shared" si="22"/>
        <v>200000</v>
      </c>
    </row>
    <row r="1462" spans="1:11">
      <c r="A1462" t="s">
        <v>79</v>
      </c>
      <c r="B1462" t="s">
        <v>35</v>
      </c>
      <c r="C1462" t="s">
        <v>28</v>
      </c>
      <c r="D1462" t="s">
        <v>29</v>
      </c>
      <c r="E1462" t="s">
        <v>37</v>
      </c>
      <c r="F1462" t="s">
        <v>46</v>
      </c>
      <c r="G1462" t="s">
        <v>39</v>
      </c>
      <c r="H1462">
        <v>60000</v>
      </c>
      <c r="I1462">
        <v>8</v>
      </c>
      <c r="J1462" t="s">
        <v>69</v>
      </c>
      <c r="K1462">
        <f t="shared" si="22"/>
        <v>48000</v>
      </c>
    </row>
    <row r="1463" spans="1:11">
      <c r="A1463" t="s">
        <v>162</v>
      </c>
      <c r="B1463" t="s">
        <v>27</v>
      </c>
      <c r="C1463" t="s">
        <v>28</v>
      </c>
      <c r="D1463" t="s">
        <v>29</v>
      </c>
      <c r="E1463" t="s">
        <v>37</v>
      </c>
      <c r="F1463" t="s">
        <v>38</v>
      </c>
      <c r="G1463" t="s">
        <v>39</v>
      </c>
      <c r="H1463">
        <v>30000</v>
      </c>
      <c r="I1463">
        <v>7</v>
      </c>
      <c r="J1463" t="s">
        <v>65</v>
      </c>
      <c r="K1463">
        <f t="shared" si="22"/>
        <v>24000</v>
      </c>
    </row>
    <row r="1464" spans="1:11">
      <c r="A1464" t="s">
        <v>125</v>
      </c>
      <c r="B1464" t="s">
        <v>44</v>
      </c>
      <c r="C1464" t="s">
        <v>36</v>
      </c>
      <c r="D1464" t="s">
        <v>41</v>
      </c>
      <c r="E1464" t="s">
        <v>37</v>
      </c>
      <c r="F1464" t="s">
        <v>38</v>
      </c>
      <c r="G1464" t="s">
        <v>39</v>
      </c>
      <c r="H1464">
        <v>30000</v>
      </c>
      <c r="I1464">
        <v>3</v>
      </c>
      <c r="J1464" t="s">
        <v>33</v>
      </c>
      <c r="K1464">
        <f t="shared" si="22"/>
        <v>24000</v>
      </c>
    </row>
    <row r="1465" spans="1:11">
      <c r="A1465" t="s">
        <v>143</v>
      </c>
      <c r="B1465" t="s">
        <v>44</v>
      </c>
      <c r="C1465" t="s">
        <v>45</v>
      </c>
      <c r="D1465" t="s">
        <v>41</v>
      </c>
      <c r="E1465" t="s">
        <v>37</v>
      </c>
      <c r="F1465" t="s">
        <v>54</v>
      </c>
      <c r="G1465" t="s">
        <v>39</v>
      </c>
      <c r="H1465">
        <v>180000</v>
      </c>
      <c r="I1465">
        <v>5</v>
      </c>
      <c r="J1465" t="s">
        <v>65</v>
      </c>
      <c r="K1465">
        <f t="shared" si="22"/>
        <v>144000</v>
      </c>
    </row>
    <row r="1466" spans="1:11">
      <c r="A1466" t="s">
        <v>82</v>
      </c>
      <c r="B1466" t="s">
        <v>35</v>
      </c>
      <c r="C1466" t="s">
        <v>53</v>
      </c>
      <c r="D1466" t="s">
        <v>29</v>
      </c>
      <c r="E1466" t="s">
        <v>37</v>
      </c>
      <c r="F1466" t="s">
        <v>71</v>
      </c>
      <c r="G1466" t="s">
        <v>51</v>
      </c>
      <c r="H1466">
        <v>250000</v>
      </c>
      <c r="I1466">
        <v>5</v>
      </c>
      <c r="J1466" t="s">
        <v>58</v>
      </c>
      <c r="K1466">
        <f t="shared" si="22"/>
        <v>200000</v>
      </c>
    </row>
    <row r="1467" spans="1:11">
      <c r="A1467" t="s">
        <v>68</v>
      </c>
      <c r="B1467" t="s">
        <v>35</v>
      </c>
      <c r="C1467" t="s">
        <v>28</v>
      </c>
      <c r="D1467" t="s">
        <v>29</v>
      </c>
      <c r="E1467" t="s">
        <v>37</v>
      </c>
      <c r="F1467" t="s">
        <v>31</v>
      </c>
      <c r="G1467" t="s">
        <v>32</v>
      </c>
      <c r="H1467">
        <v>85000</v>
      </c>
      <c r="I1467">
        <v>3</v>
      </c>
      <c r="J1467" t="s">
        <v>65</v>
      </c>
      <c r="K1467">
        <f t="shared" si="22"/>
        <v>68000</v>
      </c>
    </row>
    <row r="1468" spans="1:11">
      <c r="A1468" t="s">
        <v>142</v>
      </c>
      <c r="B1468" t="s">
        <v>49</v>
      </c>
      <c r="C1468" t="s">
        <v>28</v>
      </c>
      <c r="D1468" t="s">
        <v>41</v>
      </c>
      <c r="E1468" t="s">
        <v>37</v>
      </c>
      <c r="F1468" t="s">
        <v>38</v>
      </c>
      <c r="G1468" t="s">
        <v>39</v>
      </c>
      <c r="H1468">
        <v>30000</v>
      </c>
      <c r="I1468">
        <v>1</v>
      </c>
      <c r="J1468" t="s">
        <v>42</v>
      </c>
      <c r="K1468">
        <f t="shared" si="22"/>
        <v>24000</v>
      </c>
    </row>
    <row r="1469" spans="1:11">
      <c r="A1469" t="s">
        <v>161</v>
      </c>
      <c r="B1469" t="s">
        <v>44</v>
      </c>
      <c r="C1469" t="s">
        <v>45</v>
      </c>
      <c r="D1469" t="s">
        <v>41</v>
      </c>
      <c r="E1469" t="s">
        <v>37</v>
      </c>
      <c r="F1469" t="s">
        <v>50</v>
      </c>
      <c r="G1469" t="s">
        <v>51</v>
      </c>
      <c r="H1469">
        <v>300000</v>
      </c>
      <c r="I1469">
        <v>10</v>
      </c>
      <c r="J1469" t="s">
        <v>58</v>
      </c>
      <c r="K1469">
        <f t="shared" si="22"/>
        <v>240000</v>
      </c>
    </row>
    <row r="1470" spans="1:11">
      <c r="A1470" t="s">
        <v>95</v>
      </c>
      <c r="B1470" t="s">
        <v>44</v>
      </c>
      <c r="C1470" t="s">
        <v>36</v>
      </c>
      <c r="D1470" t="s">
        <v>41</v>
      </c>
      <c r="E1470" t="s">
        <v>37</v>
      </c>
      <c r="F1470" t="s">
        <v>67</v>
      </c>
      <c r="G1470" t="s">
        <v>51</v>
      </c>
      <c r="H1470">
        <v>420000</v>
      </c>
      <c r="I1470">
        <v>5</v>
      </c>
      <c r="J1470" t="s">
        <v>65</v>
      </c>
      <c r="K1470">
        <f t="shared" si="22"/>
        <v>336000</v>
      </c>
    </row>
    <row r="1471" spans="1:11">
      <c r="A1471" t="s">
        <v>70</v>
      </c>
      <c r="B1471" t="s">
        <v>35</v>
      </c>
      <c r="C1471" t="s">
        <v>28</v>
      </c>
      <c r="D1471" t="s">
        <v>41</v>
      </c>
      <c r="E1471" t="s">
        <v>37</v>
      </c>
      <c r="F1471" t="s">
        <v>71</v>
      </c>
      <c r="G1471" t="s">
        <v>51</v>
      </c>
      <c r="H1471">
        <v>250000</v>
      </c>
      <c r="I1471">
        <v>4</v>
      </c>
      <c r="J1471" t="s">
        <v>65</v>
      </c>
      <c r="K1471">
        <f t="shared" si="22"/>
        <v>200000</v>
      </c>
    </row>
    <row r="1472" spans="1:11">
      <c r="A1472" t="s">
        <v>96</v>
      </c>
      <c r="B1472" t="s">
        <v>44</v>
      </c>
      <c r="C1472" t="s">
        <v>45</v>
      </c>
      <c r="D1472" t="s">
        <v>29</v>
      </c>
      <c r="E1472" t="s">
        <v>37</v>
      </c>
      <c r="F1472" t="s">
        <v>73</v>
      </c>
      <c r="G1472" t="s">
        <v>39</v>
      </c>
      <c r="H1472">
        <v>220000</v>
      </c>
      <c r="I1472">
        <v>3</v>
      </c>
      <c r="J1472" t="s">
        <v>33</v>
      </c>
      <c r="K1472">
        <f t="shared" si="22"/>
        <v>176000</v>
      </c>
    </row>
    <row r="1473" spans="1:11">
      <c r="A1473" t="s">
        <v>104</v>
      </c>
      <c r="B1473" t="s">
        <v>49</v>
      </c>
      <c r="C1473" t="s">
        <v>53</v>
      </c>
      <c r="D1473" t="s">
        <v>29</v>
      </c>
      <c r="E1473" t="s">
        <v>37</v>
      </c>
      <c r="F1473" t="s">
        <v>56</v>
      </c>
      <c r="G1473" t="s">
        <v>32</v>
      </c>
      <c r="H1473">
        <v>320000</v>
      </c>
      <c r="I1473">
        <v>2</v>
      </c>
      <c r="J1473" t="s">
        <v>47</v>
      </c>
      <c r="K1473">
        <f t="shared" si="22"/>
        <v>256000</v>
      </c>
    </row>
    <row r="1474" spans="1:11">
      <c r="A1474" t="s">
        <v>77</v>
      </c>
      <c r="B1474" t="s">
        <v>27</v>
      </c>
      <c r="C1474" t="s">
        <v>53</v>
      </c>
      <c r="D1474" t="s">
        <v>41</v>
      </c>
      <c r="E1474" t="s">
        <v>37</v>
      </c>
      <c r="F1474" t="s">
        <v>56</v>
      </c>
      <c r="G1474" t="s">
        <v>32</v>
      </c>
      <c r="H1474">
        <v>320000</v>
      </c>
      <c r="I1474">
        <v>9</v>
      </c>
      <c r="J1474" t="s">
        <v>69</v>
      </c>
      <c r="K1474">
        <f t="shared" ref="K1474:K1537" si="23">H1474-H1474*0.2</f>
        <v>256000</v>
      </c>
    </row>
    <row r="1475" spans="1:11">
      <c r="A1475" t="s">
        <v>40</v>
      </c>
      <c r="B1475" t="s">
        <v>49</v>
      </c>
      <c r="C1475" t="s">
        <v>36</v>
      </c>
      <c r="D1475" t="s">
        <v>29</v>
      </c>
      <c r="E1475" t="s">
        <v>37</v>
      </c>
      <c r="F1475" t="s">
        <v>73</v>
      </c>
      <c r="G1475" t="s">
        <v>39</v>
      </c>
      <c r="H1475">
        <v>220000</v>
      </c>
      <c r="I1475">
        <v>10</v>
      </c>
      <c r="J1475" t="s">
        <v>42</v>
      </c>
      <c r="K1475">
        <f t="shared" si="23"/>
        <v>176000</v>
      </c>
    </row>
    <row r="1476" spans="1:11">
      <c r="A1476" t="s">
        <v>141</v>
      </c>
      <c r="B1476" t="s">
        <v>44</v>
      </c>
      <c r="C1476" t="s">
        <v>28</v>
      </c>
      <c r="D1476" t="s">
        <v>29</v>
      </c>
      <c r="E1476" t="s">
        <v>37</v>
      </c>
      <c r="F1476" t="s">
        <v>31</v>
      </c>
      <c r="G1476" t="s">
        <v>32</v>
      </c>
      <c r="H1476">
        <v>85000</v>
      </c>
      <c r="I1476">
        <v>1</v>
      </c>
      <c r="J1476" t="s">
        <v>47</v>
      </c>
      <c r="K1476">
        <f t="shared" si="23"/>
        <v>68000</v>
      </c>
    </row>
    <row r="1477" spans="1:11">
      <c r="A1477" t="s">
        <v>98</v>
      </c>
      <c r="B1477" t="s">
        <v>44</v>
      </c>
      <c r="C1477" t="s">
        <v>53</v>
      </c>
      <c r="D1477" t="s">
        <v>29</v>
      </c>
      <c r="E1477" t="s">
        <v>30</v>
      </c>
      <c r="F1477" t="s">
        <v>50</v>
      </c>
      <c r="G1477" t="s">
        <v>51</v>
      </c>
      <c r="H1477">
        <v>300000</v>
      </c>
      <c r="I1477">
        <v>4</v>
      </c>
      <c r="J1477" t="s">
        <v>47</v>
      </c>
      <c r="K1477">
        <f t="shared" si="23"/>
        <v>240000</v>
      </c>
    </row>
    <row r="1478" spans="1:11">
      <c r="A1478" t="s">
        <v>40</v>
      </c>
      <c r="B1478" t="s">
        <v>44</v>
      </c>
      <c r="C1478" t="s">
        <v>53</v>
      </c>
      <c r="D1478" t="s">
        <v>41</v>
      </c>
      <c r="E1478" t="s">
        <v>37</v>
      </c>
      <c r="F1478" t="s">
        <v>31</v>
      </c>
      <c r="G1478" t="s">
        <v>32</v>
      </c>
      <c r="H1478">
        <v>85000</v>
      </c>
      <c r="I1478">
        <v>5</v>
      </c>
      <c r="J1478" t="s">
        <v>42</v>
      </c>
      <c r="K1478">
        <f t="shared" si="23"/>
        <v>68000</v>
      </c>
    </row>
    <row r="1479" spans="1:11">
      <c r="A1479" t="s">
        <v>165</v>
      </c>
      <c r="B1479" t="s">
        <v>44</v>
      </c>
      <c r="C1479" t="s">
        <v>53</v>
      </c>
      <c r="D1479" t="s">
        <v>41</v>
      </c>
      <c r="E1479" t="s">
        <v>30</v>
      </c>
      <c r="F1479" t="s">
        <v>50</v>
      </c>
      <c r="G1479" t="s">
        <v>51</v>
      </c>
      <c r="H1479">
        <v>300000</v>
      </c>
      <c r="I1479">
        <v>5</v>
      </c>
      <c r="J1479" t="s">
        <v>69</v>
      </c>
      <c r="K1479">
        <f t="shared" si="23"/>
        <v>240000</v>
      </c>
    </row>
    <row r="1480" spans="1:11">
      <c r="A1480" t="s">
        <v>110</v>
      </c>
      <c r="B1480" t="s">
        <v>44</v>
      </c>
      <c r="C1480" t="s">
        <v>53</v>
      </c>
      <c r="D1480" t="s">
        <v>29</v>
      </c>
      <c r="E1480" t="s">
        <v>37</v>
      </c>
      <c r="F1480" t="s">
        <v>50</v>
      </c>
      <c r="G1480" t="s">
        <v>51</v>
      </c>
      <c r="H1480">
        <v>300000</v>
      </c>
      <c r="I1480">
        <v>5</v>
      </c>
      <c r="J1480" t="s">
        <v>33</v>
      </c>
      <c r="K1480">
        <f t="shared" si="23"/>
        <v>240000</v>
      </c>
    </row>
    <row r="1481" spans="1:11">
      <c r="A1481" t="s">
        <v>137</v>
      </c>
      <c r="B1481" t="s">
        <v>27</v>
      </c>
      <c r="C1481" t="s">
        <v>36</v>
      </c>
      <c r="D1481" t="s">
        <v>41</v>
      </c>
      <c r="E1481" t="s">
        <v>37</v>
      </c>
      <c r="F1481" t="s">
        <v>38</v>
      </c>
      <c r="G1481" t="s">
        <v>39</v>
      </c>
      <c r="H1481">
        <v>30000</v>
      </c>
      <c r="I1481">
        <v>10</v>
      </c>
      <c r="J1481" t="s">
        <v>33</v>
      </c>
      <c r="K1481">
        <f t="shared" si="23"/>
        <v>24000</v>
      </c>
    </row>
    <row r="1482" spans="1:11">
      <c r="A1482" t="s">
        <v>156</v>
      </c>
      <c r="B1482" t="s">
        <v>44</v>
      </c>
      <c r="C1482" t="s">
        <v>45</v>
      </c>
      <c r="D1482" t="s">
        <v>29</v>
      </c>
      <c r="E1482" t="s">
        <v>30</v>
      </c>
      <c r="F1482" t="s">
        <v>73</v>
      </c>
      <c r="G1482" t="s">
        <v>39</v>
      </c>
      <c r="H1482">
        <v>220000</v>
      </c>
      <c r="I1482">
        <v>6</v>
      </c>
      <c r="J1482" t="s">
        <v>58</v>
      </c>
      <c r="K1482">
        <f t="shared" si="23"/>
        <v>176000</v>
      </c>
    </row>
    <row r="1483" spans="1:11">
      <c r="A1483" t="s">
        <v>142</v>
      </c>
      <c r="B1483" t="s">
        <v>27</v>
      </c>
      <c r="C1483" t="s">
        <v>53</v>
      </c>
      <c r="D1483" t="s">
        <v>41</v>
      </c>
      <c r="E1483" t="s">
        <v>30</v>
      </c>
      <c r="F1483" t="s">
        <v>31</v>
      </c>
      <c r="G1483" t="s">
        <v>32</v>
      </c>
      <c r="H1483">
        <v>85000</v>
      </c>
      <c r="I1483">
        <v>9</v>
      </c>
      <c r="J1483" t="s">
        <v>42</v>
      </c>
      <c r="K1483">
        <f t="shared" si="23"/>
        <v>68000</v>
      </c>
    </row>
    <row r="1484" spans="1:11">
      <c r="A1484" t="s">
        <v>127</v>
      </c>
      <c r="B1484" t="s">
        <v>35</v>
      </c>
      <c r="C1484" t="s">
        <v>53</v>
      </c>
      <c r="D1484" t="s">
        <v>29</v>
      </c>
      <c r="E1484" t="s">
        <v>30</v>
      </c>
      <c r="F1484" t="s">
        <v>67</v>
      </c>
      <c r="G1484" t="s">
        <v>51</v>
      </c>
      <c r="H1484">
        <v>420000</v>
      </c>
      <c r="I1484">
        <v>10</v>
      </c>
      <c r="J1484" t="s">
        <v>47</v>
      </c>
      <c r="K1484">
        <f t="shared" si="23"/>
        <v>336000</v>
      </c>
    </row>
    <row r="1485" spans="1:11">
      <c r="A1485" t="s">
        <v>125</v>
      </c>
      <c r="B1485" t="s">
        <v>49</v>
      </c>
      <c r="C1485" t="s">
        <v>28</v>
      </c>
      <c r="D1485" t="s">
        <v>41</v>
      </c>
      <c r="E1485" t="s">
        <v>37</v>
      </c>
      <c r="F1485" t="s">
        <v>67</v>
      </c>
      <c r="G1485" t="s">
        <v>51</v>
      </c>
      <c r="H1485">
        <v>420000</v>
      </c>
      <c r="I1485">
        <v>1</v>
      </c>
      <c r="J1485" t="s">
        <v>58</v>
      </c>
      <c r="K1485">
        <f t="shared" si="23"/>
        <v>336000</v>
      </c>
    </row>
    <row r="1486" spans="1:11">
      <c r="A1486" t="s">
        <v>48</v>
      </c>
      <c r="B1486" t="s">
        <v>27</v>
      </c>
      <c r="C1486" t="s">
        <v>36</v>
      </c>
      <c r="D1486" t="s">
        <v>29</v>
      </c>
      <c r="E1486" t="s">
        <v>37</v>
      </c>
      <c r="F1486" t="s">
        <v>46</v>
      </c>
      <c r="G1486" t="s">
        <v>39</v>
      </c>
      <c r="H1486">
        <v>60000</v>
      </c>
      <c r="I1486">
        <v>6</v>
      </c>
      <c r="J1486" t="s">
        <v>47</v>
      </c>
      <c r="K1486">
        <f t="shared" si="23"/>
        <v>48000</v>
      </c>
    </row>
    <row r="1487" spans="1:11">
      <c r="A1487" t="s">
        <v>128</v>
      </c>
      <c r="B1487" t="s">
        <v>44</v>
      </c>
      <c r="C1487" t="s">
        <v>53</v>
      </c>
      <c r="D1487" t="s">
        <v>29</v>
      </c>
      <c r="E1487" t="s">
        <v>37</v>
      </c>
      <c r="F1487" t="s">
        <v>62</v>
      </c>
      <c r="G1487" t="s">
        <v>51</v>
      </c>
      <c r="H1487">
        <v>150000</v>
      </c>
      <c r="I1487">
        <v>1</v>
      </c>
      <c r="J1487" t="s">
        <v>47</v>
      </c>
      <c r="K1487">
        <f t="shared" si="23"/>
        <v>120000</v>
      </c>
    </row>
    <row r="1488" spans="1:11">
      <c r="A1488" t="s">
        <v>91</v>
      </c>
      <c r="B1488" t="s">
        <v>49</v>
      </c>
      <c r="C1488" t="s">
        <v>45</v>
      </c>
      <c r="D1488" t="s">
        <v>29</v>
      </c>
      <c r="E1488" t="s">
        <v>30</v>
      </c>
      <c r="F1488" t="s">
        <v>71</v>
      </c>
      <c r="G1488" t="s">
        <v>51</v>
      </c>
      <c r="H1488">
        <v>250000</v>
      </c>
      <c r="I1488">
        <v>5</v>
      </c>
      <c r="J1488" t="s">
        <v>47</v>
      </c>
      <c r="K1488">
        <f t="shared" si="23"/>
        <v>200000</v>
      </c>
    </row>
    <row r="1489" spans="1:11">
      <c r="A1489" t="s">
        <v>121</v>
      </c>
      <c r="B1489" t="s">
        <v>35</v>
      </c>
      <c r="C1489" t="s">
        <v>53</v>
      </c>
      <c r="D1489" t="s">
        <v>29</v>
      </c>
      <c r="E1489" t="s">
        <v>37</v>
      </c>
      <c r="F1489" t="s">
        <v>73</v>
      </c>
      <c r="G1489" t="s">
        <v>39</v>
      </c>
      <c r="H1489">
        <v>220000</v>
      </c>
      <c r="I1489">
        <v>5</v>
      </c>
      <c r="J1489" t="s">
        <v>47</v>
      </c>
      <c r="K1489">
        <f t="shared" si="23"/>
        <v>176000</v>
      </c>
    </row>
    <row r="1490" spans="1:11">
      <c r="A1490" t="s">
        <v>43</v>
      </c>
      <c r="B1490" t="s">
        <v>27</v>
      </c>
      <c r="C1490" t="s">
        <v>36</v>
      </c>
      <c r="D1490" t="s">
        <v>41</v>
      </c>
      <c r="E1490" t="s">
        <v>37</v>
      </c>
      <c r="F1490" t="s">
        <v>46</v>
      </c>
      <c r="G1490" t="s">
        <v>39</v>
      </c>
      <c r="H1490">
        <v>60000</v>
      </c>
      <c r="I1490">
        <v>2</v>
      </c>
      <c r="J1490" t="s">
        <v>47</v>
      </c>
      <c r="K1490">
        <f t="shared" si="23"/>
        <v>48000</v>
      </c>
    </row>
    <row r="1491" spans="1:11">
      <c r="A1491" t="s">
        <v>52</v>
      </c>
      <c r="B1491" t="s">
        <v>35</v>
      </c>
      <c r="C1491" t="s">
        <v>53</v>
      </c>
      <c r="D1491" t="s">
        <v>41</v>
      </c>
      <c r="E1491" t="s">
        <v>37</v>
      </c>
      <c r="F1491" t="s">
        <v>62</v>
      </c>
      <c r="G1491" t="s">
        <v>51</v>
      </c>
      <c r="H1491">
        <v>150000</v>
      </c>
      <c r="I1491">
        <v>3</v>
      </c>
      <c r="J1491" t="s">
        <v>69</v>
      </c>
      <c r="K1491">
        <f t="shared" si="23"/>
        <v>120000</v>
      </c>
    </row>
    <row r="1492" spans="1:11">
      <c r="A1492" t="s">
        <v>40</v>
      </c>
      <c r="B1492" t="s">
        <v>44</v>
      </c>
      <c r="C1492" t="s">
        <v>36</v>
      </c>
      <c r="D1492" t="s">
        <v>41</v>
      </c>
      <c r="E1492" t="s">
        <v>37</v>
      </c>
      <c r="F1492" t="s">
        <v>31</v>
      </c>
      <c r="G1492" t="s">
        <v>32</v>
      </c>
      <c r="H1492">
        <v>85000</v>
      </c>
      <c r="I1492">
        <v>3</v>
      </c>
      <c r="J1492" t="s">
        <v>65</v>
      </c>
      <c r="K1492">
        <f t="shared" si="23"/>
        <v>68000</v>
      </c>
    </row>
    <row r="1493" spans="1:11">
      <c r="A1493" t="s">
        <v>170</v>
      </c>
      <c r="B1493" t="s">
        <v>49</v>
      </c>
      <c r="C1493" t="s">
        <v>53</v>
      </c>
      <c r="D1493" t="s">
        <v>29</v>
      </c>
      <c r="E1493" t="s">
        <v>37</v>
      </c>
      <c r="F1493" t="s">
        <v>54</v>
      </c>
      <c r="G1493" t="s">
        <v>39</v>
      </c>
      <c r="H1493">
        <v>180000</v>
      </c>
      <c r="I1493">
        <v>7</v>
      </c>
      <c r="J1493" t="s">
        <v>69</v>
      </c>
      <c r="K1493">
        <f t="shared" si="23"/>
        <v>144000</v>
      </c>
    </row>
    <row r="1494" spans="1:11">
      <c r="A1494" t="s">
        <v>59</v>
      </c>
      <c r="B1494" t="s">
        <v>49</v>
      </c>
      <c r="C1494" t="s">
        <v>36</v>
      </c>
      <c r="D1494" t="s">
        <v>41</v>
      </c>
      <c r="E1494" t="s">
        <v>30</v>
      </c>
      <c r="F1494" t="s">
        <v>54</v>
      </c>
      <c r="G1494" t="s">
        <v>39</v>
      </c>
      <c r="H1494">
        <v>180000</v>
      </c>
      <c r="I1494">
        <v>10</v>
      </c>
      <c r="J1494" t="s">
        <v>65</v>
      </c>
      <c r="K1494">
        <f t="shared" si="23"/>
        <v>144000</v>
      </c>
    </row>
    <row r="1495" spans="1:11">
      <c r="A1495" t="s">
        <v>34</v>
      </c>
      <c r="B1495" t="s">
        <v>49</v>
      </c>
      <c r="C1495" t="s">
        <v>28</v>
      </c>
      <c r="D1495" t="s">
        <v>41</v>
      </c>
      <c r="E1495" t="s">
        <v>37</v>
      </c>
      <c r="F1495" t="s">
        <v>54</v>
      </c>
      <c r="G1495" t="s">
        <v>39</v>
      </c>
      <c r="H1495">
        <v>180000</v>
      </c>
      <c r="I1495">
        <v>1</v>
      </c>
      <c r="J1495" t="s">
        <v>47</v>
      </c>
      <c r="K1495">
        <f t="shared" si="23"/>
        <v>144000</v>
      </c>
    </row>
    <row r="1496" spans="1:11">
      <c r="A1496" t="s">
        <v>83</v>
      </c>
      <c r="B1496" t="s">
        <v>27</v>
      </c>
      <c r="C1496" t="s">
        <v>53</v>
      </c>
      <c r="D1496" t="s">
        <v>29</v>
      </c>
      <c r="E1496" t="s">
        <v>30</v>
      </c>
      <c r="F1496" t="s">
        <v>56</v>
      </c>
      <c r="G1496" t="s">
        <v>32</v>
      </c>
      <c r="H1496">
        <v>320000</v>
      </c>
      <c r="I1496">
        <v>5</v>
      </c>
      <c r="J1496" t="s">
        <v>47</v>
      </c>
      <c r="K1496">
        <f t="shared" si="23"/>
        <v>256000</v>
      </c>
    </row>
    <row r="1497" spans="1:11">
      <c r="A1497" t="s">
        <v>128</v>
      </c>
      <c r="B1497" t="s">
        <v>35</v>
      </c>
      <c r="C1497" t="s">
        <v>36</v>
      </c>
      <c r="D1497" t="s">
        <v>29</v>
      </c>
      <c r="E1497" t="s">
        <v>37</v>
      </c>
      <c r="F1497" t="s">
        <v>67</v>
      </c>
      <c r="G1497" t="s">
        <v>51</v>
      </c>
      <c r="H1497">
        <v>420000</v>
      </c>
      <c r="I1497">
        <v>5</v>
      </c>
      <c r="J1497" t="s">
        <v>58</v>
      </c>
      <c r="K1497">
        <f t="shared" si="23"/>
        <v>336000</v>
      </c>
    </row>
    <row r="1498" spans="1:11">
      <c r="A1498" t="s">
        <v>75</v>
      </c>
      <c r="B1498" t="s">
        <v>27</v>
      </c>
      <c r="C1498" t="s">
        <v>45</v>
      </c>
      <c r="D1498" t="s">
        <v>41</v>
      </c>
      <c r="E1498" t="s">
        <v>30</v>
      </c>
      <c r="F1498" t="s">
        <v>54</v>
      </c>
      <c r="G1498" t="s">
        <v>39</v>
      </c>
      <c r="H1498">
        <v>180000</v>
      </c>
      <c r="I1498">
        <v>2</v>
      </c>
      <c r="J1498" t="s">
        <v>33</v>
      </c>
      <c r="K1498">
        <f t="shared" si="23"/>
        <v>144000</v>
      </c>
    </row>
    <row r="1499" spans="1:11">
      <c r="A1499" t="s">
        <v>116</v>
      </c>
      <c r="B1499" t="s">
        <v>44</v>
      </c>
      <c r="C1499" t="s">
        <v>45</v>
      </c>
      <c r="D1499" t="s">
        <v>29</v>
      </c>
      <c r="E1499" t="s">
        <v>37</v>
      </c>
      <c r="F1499" t="s">
        <v>73</v>
      </c>
      <c r="G1499" t="s">
        <v>39</v>
      </c>
      <c r="H1499">
        <v>220000</v>
      </c>
      <c r="I1499">
        <v>1</v>
      </c>
      <c r="J1499" t="s">
        <v>42</v>
      </c>
      <c r="K1499">
        <f t="shared" si="23"/>
        <v>176000</v>
      </c>
    </row>
    <row r="1500" spans="1:11">
      <c r="A1500" t="s">
        <v>114</v>
      </c>
      <c r="B1500" t="s">
        <v>27</v>
      </c>
      <c r="C1500" t="s">
        <v>45</v>
      </c>
      <c r="D1500" t="s">
        <v>41</v>
      </c>
      <c r="E1500" t="s">
        <v>30</v>
      </c>
      <c r="F1500" t="s">
        <v>56</v>
      </c>
      <c r="G1500" t="s">
        <v>32</v>
      </c>
      <c r="H1500">
        <v>320000</v>
      </c>
      <c r="I1500">
        <v>4</v>
      </c>
      <c r="J1500" t="s">
        <v>65</v>
      </c>
      <c r="K1500">
        <f t="shared" si="23"/>
        <v>256000</v>
      </c>
    </row>
    <row r="1501" spans="1:11">
      <c r="A1501" t="s">
        <v>59</v>
      </c>
      <c r="B1501" t="s">
        <v>44</v>
      </c>
      <c r="C1501" t="s">
        <v>45</v>
      </c>
      <c r="D1501" t="s">
        <v>29</v>
      </c>
      <c r="E1501" t="s">
        <v>30</v>
      </c>
      <c r="F1501" t="s">
        <v>71</v>
      </c>
      <c r="G1501" t="s">
        <v>51</v>
      </c>
      <c r="H1501">
        <v>250000</v>
      </c>
      <c r="I1501">
        <v>4</v>
      </c>
      <c r="J1501" t="s">
        <v>42</v>
      </c>
      <c r="K1501">
        <f t="shared" si="23"/>
        <v>200000</v>
      </c>
    </row>
    <row r="1502" spans="1:11">
      <c r="A1502" t="s">
        <v>40</v>
      </c>
      <c r="B1502" t="s">
        <v>44</v>
      </c>
      <c r="C1502" t="s">
        <v>28</v>
      </c>
      <c r="D1502" t="s">
        <v>29</v>
      </c>
      <c r="E1502" t="s">
        <v>37</v>
      </c>
      <c r="F1502" t="s">
        <v>46</v>
      </c>
      <c r="G1502" t="s">
        <v>39</v>
      </c>
      <c r="H1502">
        <v>60000</v>
      </c>
      <c r="I1502">
        <v>10</v>
      </c>
      <c r="J1502" t="s">
        <v>69</v>
      </c>
      <c r="K1502">
        <f t="shared" si="23"/>
        <v>48000</v>
      </c>
    </row>
    <row r="1503" spans="1:11">
      <c r="A1503" t="s">
        <v>134</v>
      </c>
      <c r="B1503" t="s">
        <v>35</v>
      </c>
      <c r="C1503" t="s">
        <v>53</v>
      </c>
      <c r="D1503" t="s">
        <v>41</v>
      </c>
      <c r="E1503" t="s">
        <v>30</v>
      </c>
      <c r="F1503" t="s">
        <v>54</v>
      </c>
      <c r="G1503" t="s">
        <v>39</v>
      </c>
      <c r="H1503">
        <v>180000</v>
      </c>
      <c r="I1503">
        <v>10</v>
      </c>
      <c r="J1503" t="s">
        <v>65</v>
      </c>
      <c r="K1503">
        <f t="shared" si="23"/>
        <v>144000</v>
      </c>
    </row>
    <row r="1504" spans="1:11">
      <c r="A1504" t="s">
        <v>89</v>
      </c>
      <c r="B1504" t="s">
        <v>35</v>
      </c>
      <c r="C1504" t="s">
        <v>45</v>
      </c>
      <c r="D1504" t="s">
        <v>41</v>
      </c>
      <c r="E1504" t="s">
        <v>37</v>
      </c>
      <c r="F1504" t="s">
        <v>50</v>
      </c>
      <c r="G1504" t="s">
        <v>51</v>
      </c>
      <c r="H1504">
        <v>300000</v>
      </c>
      <c r="I1504">
        <v>5</v>
      </c>
      <c r="J1504" t="s">
        <v>58</v>
      </c>
      <c r="K1504">
        <f t="shared" si="23"/>
        <v>240000</v>
      </c>
    </row>
    <row r="1505" spans="1:11">
      <c r="A1505" t="s">
        <v>167</v>
      </c>
      <c r="B1505" t="s">
        <v>35</v>
      </c>
      <c r="C1505" t="s">
        <v>53</v>
      </c>
      <c r="D1505" t="s">
        <v>29</v>
      </c>
      <c r="E1505" t="s">
        <v>37</v>
      </c>
      <c r="F1505" t="s">
        <v>31</v>
      </c>
      <c r="G1505" t="s">
        <v>32</v>
      </c>
      <c r="H1505">
        <v>85000</v>
      </c>
      <c r="I1505">
        <v>7</v>
      </c>
      <c r="J1505" t="s">
        <v>65</v>
      </c>
      <c r="K1505">
        <f t="shared" si="23"/>
        <v>68000</v>
      </c>
    </row>
    <row r="1506" spans="1:11">
      <c r="A1506" t="s">
        <v>77</v>
      </c>
      <c r="B1506" t="s">
        <v>35</v>
      </c>
      <c r="C1506" t="s">
        <v>28</v>
      </c>
      <c r="D1506" t="s">
        <v>29</v>
      </c>
      <c r="E1506" t="s">
        <v>30</v>
      </c>
      <c r="F1506" t="s">
        <v>54</v>
      </c>
      <c r="G1506" t="s">
        <v>39</v>
      </c>
      <c r="H1506">
        <v>180000</v>
      </c>
      <c r="I1506">
        <v>5</v>
      </c>
      <c r="J1506" t="s">
        <v>47</v>
      </c>
      <c r="K1506">
        <f t="shared" si="23"/>
        <v>144000</v>
      </c>
    </row>
    <row r="1507" spans="1:11">
      <c r="A1507" t="s">
        <v>115</v>
      </c>
      <c r="B1507" t="s">
        <v>35</v>
      </c>
      <c r="C1507" t="s">
        <v>45</v>
      </c>
      <c r="D1507" t="s">
        <v>41</v>
      </c>
      <c r="E1507" t="s">
        <v>37</v>
      </c>
      <c r="F1507" t="s">
        <v>56</v>
      </c>
      <c r="G1507" t="s">
        <v>32</v>
      </c>
      <c r="H1507">
        <v>320000</v>
      </c>
      <c r="I1507">
        <v>4</v>
      </c>
      <c r="J1507" t="s">
        <v>42</v>
      </c>
      <c r="K1507">
        <f t="shared" si="23"/>
        <v>256000</v>
      </c>
    </row>
    <row r="1508" spans="1:11">
      <c r="A1508" t="s">
        <v>128</v>
      </c>
      <c r="B1508" t="s">
        <v>27</v>
      </c>
      <c r="C1508" t="s">
        <v>28</v>
      </c>
      <c r="D1508" t="s">
        <v>41</v>
      </c>
      <c r="E1508" t="s">
        <v>30</v>
      </c>
      <c r="F1508" t="s">
        <v>54</v>
      </c>
      <c r="G1508" t="s">
        <v>39</v>
      </c>
      <c r="H1508">
        <v>180000</v>
      </c>
      <c r="I1508">
        <v>8</v>
      </c>
      <c r="J1508" t="s">
        <v>47</v>
      </c>
      <c r="K1508">
        <f t="shared" si="23"/>
        <v>144000</v>
      </c>
    </row>
    <row r="1509" spans="1:11">
      <c r="A1509" t="s">
        <v>147</v>
      </c>
      <c r="B1509" t="s">
        <v>49</v>
      </c>
      <c r="C1509" t="s">
        <v>45</v>
      </c>
      <c r="D1509" t="s">
        <v>29</v>
      </c>
      <c r="E1509" t="s">
        <v>30</v>
      </c>
      <c r="F1509" t="s">
        <v>38</v>
      </c>
      <c r="G1509" t="s">
        <v>39</v>
      </c>
      <c r="H1509">
        <v>30000</v>
      </c>
      <c r="I1509">
        <v>3</v>
      </c>
      <c r="J1509" t="s">
        <v>65</v>
      </c>
      <c r="K1509">
        <f t="shared" si="23"/>
        <v>24000</v>
      </c>
    </row>
    <row r="1510" spans="1:11">
      <c r="A1510" t="s">
        <v>43</v>
      </c>
      <c r="B1510" t="s">
        <v>49</v>
      </c>
      <c r="C1510" t="s">
        <v>53</v>
      </c>
      <c r="D1510" t="s">
        <v>41</v>
      </c>
      <c r="E1510" t="s">
        <v>37</v>
      </c>
      <c r="F1510" t="s">
        <v>73</v>
      </c>
      <c r="G1510" t="s">
        <v>39</v>
      </c>
      <c r="H1510">
        <v>220000</v>
      </c>
      <c r="I1510">
        <v>3</v>
      </c>
      <c r="J1510" t="s">
        <v>42</v>
      </c>
      <c r="K1510">
        <f t="shared" si="23"/>
        <v>176000</v>
      </c>
    </row>
    <row r="1511" spans="1:11">
      <c r="A1511" t="s">
        <v>163</v>
      </c>
      <c r="B1511" t="s">
        <v>35</v>
      </c>
      <c r="C1511" t="s">
        <v>45</v>
      </c>
      <c r="D1511" t="s">
        <v>29</v>
      </c>
      <c r="E1511" t="s">
        <v>30</v>
      </c>
      <c r="F1511" t="s">
        <v>31</v>
      </c>
      <c r="G1511" t="s">
        <v>32</v>
      </c>
      <c r="H1511">
        <v>85000</v>
      </c>
      <c r="I1511">
        <v>4</v>
      </c>
      <c r="J1511" t="s">
        <v>42</v>
      </c>
      <c r="K1511">
        <f t="shared" si="23"/>
        <v>68000</v>
      </c>
    </row>
    <row r="1512" spans="1:11">
      <c r="A1512" t="s">
        <v>154</v>
      </c>
      <c r="B1512" t="s">
        <v>49</v>
      </c>
      <c r="C1512" t="s">
        <v>36</v>
      </c>
      <c r="D1512" t="s">
        <v>29</v>
      </c>
      <c r="E1512" t="s">
        <v>30</v>
      </c>
      <c r="F1512" t="s">
        <v>54</v>
      </c>
      <c r="G1512" t="s">
        <v>39</v>
      </c>
      <c r="H1512">
        <v>180000</v>
      </c>
      <c r="I1512">
        <v>6</v>
      </c>
      <c r="J1512" t="s">
        <v>42</v>
      </c>
      <c r="K1512">
        <f t="shared" si="23"/>
        <v>144000</v>
      </c>
    </row>
    <row r="1513" spans="1:11">
      <c r="A1513" t="s">
        <v>98</v>
      </c>
      <c r="B1513" t="s">
        <v>49</v>
      </c>
      <c r="C1513" t="s">
        <v>45</v>
      </c>
      <c r="D1513" t="s">
        <v>41</v>
      </c>
      <c r="E1513" t="s">
        <v>37</v>
      </c>
      <c r="F1513" t="s">
        <v>73</v>
      </c>
      <c r="G1513" t="s">
        <v>39</v>
      </c>
      <c r="H1513">
        <v>220000</v>
      </c>
      <c r="I1513">
        <v>8</v>
      </c>
      <c r="J1513" t="s">
        <v>33</v>
      </c>
      <c r="K1513">
        <f t="shared" si="23"/>
        <v>176000</v>
      </c>
    </row>
    <row r="1514" spans="1:11">
      <c r="A1514" t="s">
        <v>136</v>
      </c>
      <c r="B1514" t="s">
        <v>44</v>
      </c>
      <c r="C1514" t="s">
        <v>36</v>
      </c>
      <c r="D1514" t="s">
        <v>29</v>
      </c>
      <c r="E1514" t="s">
        <v>37</v>
      </c>
      <c r="F1514" t="s">
        <v>62</v>
      </c>
      <c r="G1514" t="s">
        <v>51</v>
      </c>
      <c r="H1514">
        <v>150000</v>
      </c>
      <c r="I1514">
        <v>1</v>
      </c>
      <c r="J1514" t="s">
        <v>69</v>
      </c>
      <c r="K1514">
        <f t="shared" si="23"/>
        <v>120000</v>
      </c>
    </row>
    <row r="1515" spans="1:11">
      <c r="A1515" t="s">
        <v>141</v>
      </c>
      <c r="B1515" t="s">
        <v>49</v>
      </c>
      <c r="C1515" t="s">
        <v>45</v>
      </c>
      <c r="D1515" t="s">
        <v>41</v>
      </c>
      <c r="E1515" t="s">
        <v>30</v>
      </c>
      <c r="F1515" t="s">
        <v>54</v>
      </c>
      <c r="G1515" t="s">
        <v>39</v>
      </c>
      <c r="H1515">
        <v>180000</v>
      </c>
      <c r="I1515">
        <v>9</v>
      </c>
      <c r="J1515" t="s">
        <v>58</v>
      </c>
      <c r="K1515">
        <f t="shared" si="23"/>
        <v>144000</v>
      </c>
    </row>
    <row r="1516" spans="1:11">
      <c r="A1516" t="s">
        <v>121</v>
      </c>
      <c r="B1516" t="s">
        <v>49</v>
      </c>
      <c r="C1516" t="s">
        <v>45</v>
      </c>
      <c r="D1516" t="s">
        <v>41</v>
      </c>
      <c r="E1516" t="s">
        <v>37</v>
      </c>
      <c r="F1516" t="s">
        <v>67</v>
      </c>
      <c r="G1516" t="s">
        <v>51</v>
      </c>
      <c r="H1516">
        <v>420000</v>
      </c>
      <c r="I1516">
        <v>10</v>
      </c>
      <c r="J1516" t="s">
        <v>33</v>
      </c>
      <c r="K1516">
        <f t="shared" si="23"/>
        <v>336000</v>
      </c>
    </row>
    <row r="1517" spans="1:11">
      <c r="A1517" t="s">
        <v>59</v>
      </c>
      <c r="B1517" t="s">
        <v>27</v>
      </c>
      <c r="C1517" t="s">
        <v>53</v>
      </c>
      <c r="D1517" t="s">
        <v>29</v>
      </c>
      <c r="E1517" t="s">
        <v>30</v>
      </c>
      <c r="F1517" t="s">
        <v>71</v>
      </c>
      <c r="G1517" t="s">
        <v>51</v>
      </c>
      <c r="H1517">
        <v>250000</v>
      </c>
      <c r="I1517">
        <v>10</v>
      </c>
      <c r="J1517" t="s">
        <v>33</v>
      </c>
      <c r="K1517">
        <f t="shared" si="23"/>
        <v>200000</v>
      </c>
    </row>
    <row r="1518" spans="1:11">
      <c r="A1518" t="s">
        <v>78</v>
      </c>
      <c r="B1518" t="s">
        <v>35</v>
      </c>
      <c r="C1518" t="s">
        <v>45</v>
      </c>
      <c r="D1518" t="s">
        <v>29</v>
      </c>
      <c r="E1518" t="s">
        <v>37</v>
      </c>
      <c r="F1518" t="s">
        <v>73</v>
      </c>
      <c r="G1518" t="s">
        <v>39</v>
      </c>
      <c r="H1518">
        <v>220000</v>
      </c>
      <c r="I1518">
        <v>3</v>
      </c>
      <c r="J1518" t="s">
        <v>42</v>
      </c>
      <c r="K1518">
        <f t="shared" si="23"/>
        <v>176000</v>
      </c>
    </row>
    <row r="1519" spans="1:11">
      <c r="A1519" t="s">
        <v>139</v>
      </c>
      <c r="B1519" t="s">
        <v>49</v>
      </c>
      <c r="C1519" t="s">
        <v>53</v>
      </c>
      <c r="D1519" t="s">
        <v>29</v>
      </c>
      <c r="E1519" t="s">
        <v>30</v>
      </c>
      <c r="F1519" t="s">
        <v>38</v>
      </c>
      <c r="G1519" t="s">
        <v>39</v>
      </c>
      <c r="H1519">
        <v>30000</v>
      </c>
      <c r="I1519">
        <v>4</v>
      </c>
      <c r="J1519" t="s">
        <v>58</v>
      </c>
      <c r="K1519">
        <f t="shared" si="23"/>
        <v>24000</v>
      </c>
    </row>
    <row r="1520" spans="1:11">
      <c r="A1520" t="s">
        <v>162</v>
      </c>
      <c r="B1520" t="s">
        <v>35</v>
      </c>
      <c r="C1520" t="s">
        <v>53</v>
      </c>
      <c r="D1520" t="s">
        <v>29</v>
      </c>
      <c r="E1520" t="s">
        <v>37</v>
      </c>
      <c r="F1520" t="s">
        <v>54</v>
      </c>
      <c r="G1520" t="s">
        <v>39</v>
      </c>
      <c r="H1520">
        <v>180000</v>
      </c>
      <c r="I1520">
        <v>9</v>
      </c>
      <c r="J1520" t="s">
        <v>58</v>
      </c>
      <c r="K1520">
        <f t="shared" si="23"/>
        <v>144000</v>
      </c>
    </row>
    <row r="1521" spans="1:11">
      <c r="A1521" t="s">
        <v>174</v>
      </c>
      <c r="B1521" t="s">
        <v>27</v>
      </c>
      <c r="C1521" t="s">
        <v>45</v>
      </c>
      <c r="D1521" t="s">
        <v>29</v>
      </c>
      <c r="E1521" t="s">
        <v>37</v>
      </c>
      <c r="F1521" t="s">
        <v>54</v>
      </c>
      <c r="G1521" t="s">
        <v>39</v>
      </c>
      <c r="H1521">
        <v>180000</v>
      </c>
      <c r="I1521">
        <v>7</v>
      </c>
      <c r="J1521" t="s">
        <v>58</v>
      </c>
      <c r="K1521">
        <f t="shared" si="23"/>
        <v>144000</v>
      </c>
    </row>
    <row r="1522" spans="1:11">
      <c r="A1522" t="s">
        <v>90</v>
      </c>
      <c r="B1522" t="s">
        <v>35</v>
      </c>
      <c r="C1522" t="s">
        <v>28</v>
      </c>
      <c r="D1522" t="s">
        <v>41</v>
      </c>
      <c r="E1522" t="s">
        <v>37</v>
      </c>
      <c r="F1522" t="s">
        <v>62</v>
      </c>
      <c r="G1522" t="s">
        <v>51</v>
      </c>
      <c r="H1522">
        <v>150000</v>
      </c>
      <c r="I1522">
        <v>7</v>
      </c>
      <c r="J1522" t="s">
        <v>33</v>
      </c>
      <c r="K1522">
        <f t="shared" si="23"/>
        <v>120000</v>
      </c>
    </row>
    <row r="1523" spans="1:11">
      <c r="A1523" t="s">
        <v>98</v>
      </c>
      <c r="B1523" t="s">
        <v>35</v>
      </c>
      <c r="C1523" t="s">
        <v>53</v>
      </c>
      <c r="D1523" t="s">
        <v>29</v>
      </c>
      <c r="E1523" t="s">
        <v>30</v>
      </c>
      <c r="F1523" t="s">
        <v>38</v>
      </c>
      <c r="G1523" t="s">
        <v>39</v>
      </c>
      <c r="H1523">
        <v>30000</v>
      </c>
      <c r="I1523">
        <v>4</v>
      </c>
      <c r="J1523" t="s">
        <v>47</v>
      </c>
      <c r="K1523">
        <f t="shared" si="23"/>
        <v>24000</v>
      </c>
    </row>
    <row r="1524" spans="1:11">
      <c r="A1524" t="s">
        <v>166</v>
      </c>
      <c r="B1524" t="s">
        <v>35</v>
      </c>
      <c r="C1524" t="s">
        <v>36</v>
      </c>
      <c r="D1524" t="s">
        <v>29</v>
      </c>
      <c r="E1524" t="s">
        <v>30</v>
      </c>
      <c r="F1524" t="s">
        <v>56</v>
      </c>
      <c r="G1524" t="s">
        <v>32</v>
      </c>
      <c r="H1524">
        <v>320000</v>
      </c>
      <c r="I1524">
        <v>2</v>
      </c>
      <c r="J1524" t="s">
        <v>58</v>
      </c>
      <c r="K1524">
        <f t="shared" si="23"/>
        <v>256000</v>
      </c>
    </row>
    <row r="1525" spans="1:11">
      <c r="A1525" t="s">
        <v>137</v>
      </c>
      <c r="B1525" t="s">
        <v>35</v>
      </c>
      <c r="C1525" t="s">
        <v>36</v>
      </c>
      <c r="D1525" t="s">
        <v>41</v>
      </c>
      <c r="E1525" t="s">
        <v>37</v>
      </c>
      <c r="F1525" t="s">
        <v>56</v>
      </c>
      <c r="G1525" t="s">
        <v>32</v>
      </c>
      <c r="H1525">
        <v>320000</v>
      </c>
      <c r="I1525">
        <v>6</v>
      </c>
      <c r="J1525" t="s">
        <v>65</v>
      </c>
      <c r="K1525">
        <f t="shared" si="23"/>
        <v>256000</v>
      </c>
    </row>
    <row r="1526" spans="1:11">
      <c r="A1526" t="s">
        <v>78</v>
      </c>
      <c r="B1526" t="s">
        <v>35</v>
      </c>
      <c r="C1526" t="s">
        <v>45</v>
      </c>
      <c r="D1526" t="s">
        <v>41</v>
      </c>
      <c r="E1526" t="s">
        <v>37</v>
      </c>
      <c r="F1526" t="s">
        <v>67</v>
      </c>
      <c r="G1526" t="s">
        <v>51</v>
      </c>
      <c r="H1526">
        <v>420000</v>
      </c>
      <c r="I1526">
        <v>10</v>
      </c>
      <c r="J1526" t="s">
        <v>42</v>
      </c>
      <c r="K1526">
        <f t="shared" si="23"/>
        <v>336000</v>
      </c>
    </row>
    <row r="1527" spans="1:11">
      <c r="A1527" t="s">
        <v>138</v>
      </c>
      <c r="B1527" t="s">
        <v>44</v>
      </c>
      <c r="C1527" t="s">
        <v>53</v>
      </c>
      <c r="D1527" t="s">
        <v>29</v>
      </c>
      <c r="E1527" t="s">
        <v>30</v>
      </c>
      <c r="F1527" t="s">
        <v>73</v>
      </c>
      <c r="G1527" t="s">
        <v>39</v>
      </c>
      <c r="H1527">
        <v>220000</v>
      </c>
      <c r="I1527">
        <v>8</v>
      </c>
      <c r="J1527" t="s">
        <v>33</v>
      </c>
      <c r="K1527">
        <f t="shared" si="23"/>
        <v>176000</v>
      </c>
    </row>
    <row r="1528" spans="1:11">
      <c r="A1528" t="s">
        <v>131</v>
      </c>
      <c r="B1528" t="s">
        <v>35</v>
      </c>
      <c r="C1528" t="s">
        <v>28</v>
      </c>
      <c r="D1528" t="s">
        <v>29</v>
      </c>
      <c r="E1528" t="s">
        <v>30</v>
      </c>
      <c r="F1528" t="s">
        <v>50</v>
      </c>
      <c r="G1528" t="s">
        <v>51</v>
      </c>
      <c r="H1528">
        <v>300000</v>
      </c>
      <c r="I1528">
        <v>10</v>
      </c>
      <c r="J1528" t="s">
        <v>33</v>
      </c>
      <c r="K1528">
        <f t="shared" si="23"/>
        <v>240000</v>
      </c>
    </row>
    <row r="1529" spans="1:11">
      <c r="A1529" t="s">
        <v>63</v>
      </c>
      <c r="B1529" t="s">
        <v>44</v>
      </c>
      <c r="C1529" t="s">
        <v>53</v>
      </c>
      <c r="D1529" t="s">
        <v>41</v>
      </c>
      <c r="E1529" t="s">
        <v>37</v>
      </c>
      <c r="F1529" t="s">
        <v>50</v>
      </c>
      <c r="G1529" t="s">
        <v>51</v>
      </c>
      <c r="H1529">
        <v>300000</v>
      </c>
      <c r="I1529">
        <v>3</v>
      </c>
      <c r="J1529" t="s">
        <v>47</v>
      </c>
      <c r="K1529">
        <f t="shared" si="23"/>
        <v>240000</v>
      </c>
    </row>
    <row r="1530" spans="1:11">
      <c r="A1530" t="s">
        <v>125</v>
      </c>
      <c r="B1530" t="s">
        <v>49</v>
      </c>
      <c r="C1530" t="s">
        <v>28</v>
      </c>
      <c r="D1530" t="s">
        <v>29</v>
      </c>
      <c r="E1530" t="s">
        <v>30</v>
      </c>
      <c r="F1530" t="s">
        <v>56</v>
      </c>
      <c r="G1530" t="s">
        <v>32</v>
      </c>
      <c r="H1530">
        <v>320000</v>
      </c>
      <c r="I1530">
        <v>5</v>
      </c>
      <c r="J1530" t="s">
        <v>65</v>
      </c>
      <c r="K1530">
        <f t="shared" si="23"/>
        <v>256000</v>
      </c>
    </row>
    <row r="1531" spans="1:11">
      <c r="A1531" t="s">
        <v>86</v>
      </c>
      <c r="B1531" t="s">
        <v>35</v>
      </c>
      <c r="C1531" t="s">
        <v>53</v>
      </c>
      <c r="D1531" t="s">
        <v>29</v>
      </c>
      <c r="E1531" t="s">
        <v>30</v>
      </c>
      <c r="F1531" t="s">
        <v>31</v>
      </c>
      <c r="G1531" t="s">
        <v>32</v>
      </c>
      <c r="H1531">
        <v>85000</v>
      </c>
      <c r="I1531">
        <v>7</v>
      </c>
      <c r="J1531" t="s">
        <v>33</v>
      </c>
      <c r="K1531">
        <f t="shared" si="23"/>
        <v>68000</v>
      </c>
    </row>
    <row r="1532" spans="1:11">
      <c r="A1532" t="s">
        <v>156</v>
      </c>
      <c r="B1532" t="s">
        <v>27</v>
      </c>
      <c r="C1532" t="s">
        <v>45</v>
      </c>
      <c r="D1532" t="s">
        <v>29</v>
      </c>
      <c r="E1532" t="s">
        <v>37</v>
      </c>
      <c r="F1532" t="s">
        <v>73</v>
      </c>
      <c r="G1532" t="s">
        <v>39</v>
      </c>
      <c r="H1532">
        <v>220000</v>
      </c>
      <c r="I1532">
        <v>2</v>
      </c>
      <c r="J1532" t="s">
        <v>65</v>
      </c>
      <c r="K1532">
        <f t="shared" si="23"/>
        <v>176000</v>
      </c>
    </row>
    <row r="1533" spans="1:11">
      <c r="A1533" t="s">
        <v>135</v>
      </c>
      <c r="B1533" t="s">
        <v>49</v>
      </c>
      <c r="C1533" t="s">
        <v>53</v>
      </c>
      <c r="D1533" t="s">
        <v>29</v>
      </c>
      <c r="E1533" t="s">
        <v>37</v>
      </c>
      <c r="F1533" t="s">
        <v>50</v>
      </c>
      <c r="G1533" t="s">
        <v>51</v>
      </c>
      <c r="H1533">
        <v>300000</v>
      </c>
      <c r="I1533">
        <v>2</v>
      </c>
      <c r="J1533" t="s">
        <v>47</v>
      </c>
      <c r="K1533">
        <f t="shared" si="23"/>
        <v>240000</v>
      </c>
    </row>
    <row r="1534" spans="1:11">
      <c r="A1534" t="s">
        <v>156</v>
      </c>
      <c r="B1534" t="s">
        <v>44</v>
      </c>
      <c r="C1534" t="s">
        <v>36</v>
      </c>
      <c r="D1534" t="s">
        <v>41</v>
      </c>
      <c r="E1534" t="s">
        <v>30</v>
      </c>
      <c r="F1534" t="s">
        <v>31</v>
      </c>
      <c r="G1534" t="s">
        <v>32</v>
      </c>
      <c r="H1534">
        <v>85000</v>
      </c>
      <c r="I1534">
        <v>3</v>
      </c>
      <c r="J1534" t="s">
        <v>42</v>
      </c>
      <c r="K1534">
        <f t="shared" si="23"/>
        <v>68000</v>
      </c>
    </row>
    <row r="1535" spans="1:11">
      <c r="A1535" t="s">
        <v>26</v>
      </c>
      <c r="B1535" t="s">
        <v>49</v>
      </c>
      <c r="C1535" t="s">
        <v>53</v>
      </c>
      <c r="D1535" t="s">
        <v>29</v>
      </c>
      <c r="E1535" t="s">
        <v>37</v>
      </c>
      <c r="F1535" t="s">
        <v>73</v>
      </c>
      <c r="G1535" t="s">
        <v>39</v>
      </c>
      <c r="H1535">
        <v>220000</v>
      </c>
      <c r="I1535">
        <v>7</v>
      </c>
      <c r="J1535" t="s">
        <v>65</v>
      </c>
      <c r="K1535">
        <f t="shared" si="23"/>
        <v>176000</v>
      </c>
    </row>
    <row r="1536" spans="1:11">
      <c r="A1536" t="s">
        <v>161</v>
      </c>
      <c r="B1536" t="s">
        <v>35</v>
      </c>
      <c r="C1536" t="s">
        <v>45</v>
      </c>
      <c r="D1536" t="s">
        <v>41</v>
      </c>
      <c r="E1536" t="s">
        <v>30</v>
      </c>
      <c r="F1536" t="s">
        <v>62</v>
      </c>
      <c r="G1536" t="s">
        <v>51</v>
      </c>
      <c r="H1536">
        <v>150000</v>
      </c>
      <c r="I1536">
        <v>3</v>
      </c>
      <c r="J1536" t="s">
        <v>47</v>
      </c>
      <c r="K1536">
        <f t="shared" si="23"/>
        <v>120000</v>
      </c>
    </row>
    <row r="1537" spans="1:11">
      <c r="A1537" t="s">
        <v>176</v>
      </c>
      <c r="B1537" t="s">
        <v>35</v>
      </c>
      <c r="C1537" t="s">
        <v>36</v>
      </c>
      <c r="D1537" t="s">
        <v>29</v>
      </c>
      <c r="E1537" t="s">
        <v>37</v>
      </c>
      <c r="F1537" t="s">
        <v>67</v>
      </c>
      <c r="G1537" t="s">
        <v>51</v>
      </c>
      <c r="H1537">
        <v>420000</v>
      </c>
      <c r="I1537">
        <v>10</v>
      </c>
      <c r="J1537" t="s">
        <v>65</v>
      </c>
      <c r="K1537">
        <f t="shared" si="23"/>
        <v>336000</v>
      </c>
    </row>
    <row r="1538" spans="1:11">
      <c r="A1538" t="s">
        <v>144</v>
      </c>
      <c r="B1538" t="s">
        <v>49</v>
      </c>
      <c r="C1538" t="s">
        <v>36</v>
      </c>
      <c r="D1538" t="s">
        <v>29</v>
      </c>
      <c r="E1538" t="s">
        <v>37</v>
      </c>
      <c r="F1538" t="s">
        <v>46</v>
      </c>
      <c r="G1538" t="s">
        <v>39</v>
      </c>
      <c r="H1538">
        <v>60000</v>
      </c>
      <c r="I1538">
        <v>3</v>
      </c>
      <c r="J1538" t="s">
        <v>58</v>
      </c>
      <c r="K1538">
        <f t="shared" ref="K1538:K1601" si="24">H1538-H1538*0.2</f>
        <v>48000</v>
      </c>
    </row>
    <row r="1539" spans="1:11">
      <c r="A1539" t="s">
        <v>127</v>
      </c>
      <c r="B1539" t="s">
        <v>35</v>
      </c>
      <c r="C1539" t="s">
        <v>36</v>
      </c>
      <c r="D1539" t="s">
        <v>41</v>
      </c>
      <c r="E1539" t="s">
        <v>30</v>
      </c>
      <c r="F1539" t="s">
        <v>50</v>
      </c>
      <c r="G1539" t="s">
        <v>51</v>
      </c>
      <c r="H1539">
        <v>300000</v>
      </c>
      <c r="I1539">
        <v>9</v>
      </c>
      <c r="J1539" t="s">
        <v>42</v>
      </c>
      <c r="K1539">
        <f t="shared" si="24"/>
        <v>240000</v>
      </c>
    </row>
    <row r="1540" spans="1:11">
      <c r="A1540" t="s">
        <v>74</v>
      </c>
      <c r="B1540" t="s">
        <v>44</v>
      </c>
      <c r="C1540" t="s">
        <v>36</v>
      </c>
      <c r="D1540" t="s">
        <v>41</v>
      </c>
      <c r="E1540" t="s">
        <v>30</v>
      </c>
      <c r="F1540" t="s">
        <v>46</v>
      </c>
      <c r="G1540" t="s">
        <v>39</v>
      </c>
      <c r="H1540">
        <v>60000</v>
      </c>
      <c r="I1540">
        <v>7</v>
      </c>
      <c r="J1540" t="s">
        <v>33</v>
      </c>
      <c r="K1540">
        <f t="shared" si="24"/>
        <v>48000</v>
      </c>
    </row>
    <row r="1541" spans="1:11">
      <c r="A1541" t="s">
        <v>102</v>
      </c>
      <c r="B1541" t="s">
        <v>27</v>
      </c>
      <c r="C1541" t="s">
        <v>28</v>
      </c>
      <c r="D1541" t="s">
        <v>29</v>
      </c>
      <c r="E1541" t="s">
        <v>30</v>
      </c>
      <c r="F1541" t="s">
        <v>56</v>
      </c>
      <c r="G1541" t="s">
        <v>32</v>
      </c>
      <c r="H1541">
        <v>320000</v>
      </c>
      <c r="I1541">
        <v>3</v>
      </c>
      <c r="J1541" t="s">
        <v>47</v>
      </c>
      <c r="K1541">
        <f t="shared" si="24"/>
        <v>256000</v>
      </c>
    </row>
    <row r="1542" spans="1:11">
      <c r="A1542" t="s">
        <v>125</v>
      </c>
      <c r="B1542" t="s">
        <v>49</v>
      </c>
      <c r="C1542" t="s">
        <v>36</v>
      </c>
      <c r="D1542" t="s">
        <v>41</v>
      </c>
      <c r="E1542" t="s">
        <v>30</v>
      </c>
      <c r="F1542" t="s">
        <v>73</v>
      </c>
      <c r="G1542" t="s">
        <v>39</v>
      </c>
      <c r="H1542">
        <v>220000</v>
      </c>
      <c r="I1542">
        <v>5</v>
      </c>
      <c r="J1542" t="s">
        <v>33</v>
      </c>
      <c r="K1542">
        <f t="shared" si="24"/>
        <v>176000</v>
      </c>
    </row>
    <row r="1543" spans="1:11">
      <c r="A1543" t="s">
        <v>154</v>
      </c>
      <c r="B1543" t="s">
        <v>35</v>
      </c>
      <c r="C1543" t="s">
        <v>36</v>
      </c>
      <c r="D1543" t="s">
        <v>41</v>
      </c>
      <c r="E1543" t="s">
        <v>30</v>
      </c>
      <c r="F1543" t="s">
        <v>73</v>
      </c>
      <c r="G1543" t="s">
        <v>39</v>
      </c>
      <c r="H1543">
        <v>220000</v>
      </c>
      <c r="I1543">
        <v>2</v>
      </c>
      <c r="J1543" t="s">
        <v>33</v>
      </c>
      <c r="K1543">
        <f t="shared" si="24"/>
        <v>176000</v>
      </c>
    </row>
    <row r="1544" spans="1:11">
      <c r="A1544" t="s">
        <v>126</v>
      </c>
      <c r="B1544" t="s">
        <v>27</v>
      </c>
      <c r="C1544" t="s">
        <v>28</v>
      </c>
      <c r="D1544" t="s">
        <v>29</v>
      </c>
      <c r="E1544" t="s">
        <v>37</v>
      </c>
      <c r="F1544" t="s">
        <v>62</v>
      </c>
      <c r="G1544" t="s">
        <v>51</v>
      </c>
      <c r="H1544">
        <v>150000</v>
      </c>
      <c r="I1544">
        <v>10</v>
      </c>
      <c r="J1544" t="s">
        <v>42</v>
      </c>
      <c r="K1544">
        <f t="shared" si="24"/>
        <v>120000</v>
      </c>
    </row>
    <row r="1545" spans="1:11">
      <c r="A1545" t="s">
        <v>138</v>
      </c>
      <c r="B1545" t="s">
        <v>49</v>
      </c>
      <c r="C1545" t="s">
        <v>45</v>
      </c>
      <c r="D1545" t="s">
        <v>29</v>
      </c>
      <c r="E1545" t="s">
        <v>37</v>
      </c>
      <c r="F1545" t="s">
        <v>38</v>
      </c>
      <c r="G1545" t="s">
        <v>39</v>
      </c>
      <c r="H1545">
        <v>30000</v>
      </c>
      <c r="I1545">
        <v>8</v>
      </c>
      <c r="J1545" t="s">
        <v>69</v>
      </c>
      <c r="K1545">
        <f t="shared" si="24"/>
        <v>24000</v>
      </c>
    </row>
    <row r="1546" spans="1:11">
      <c r="A1546" t="s">
        <v>138</v>
      </c>
      <c r="B1546" t="s">
        <v>35</v>
      </c>
      <c r="C1546" t="s">
        <v>36</v>
      </c>
      <c r="D1546" t="s">
        <v>29</v>
      </c>
      <c r="E1546" t="s">
        <v>37</v>
      </c>
      <c r="F1546" t="s">
        <v>38</v>
      </c>
      <c r="G1546" t="s">
        <v>39</v>
      </c>
      <c r="H1546">
        <v>30000</v>
      </c>
      <c r="I1546">
        <v>9</v>
      </c>
      <c r="J1546" t="s">
        <v>58</v>
      </c>
      <c r="K1546">
        <f t="shared" si="24"/>
        <v>24000</v>
      </c>
    </row>
    <row r="1547" spans="1:11">
      <c r="A1547" t="s">
        <v>99</v>
      </c>
      <c r="B1547" t="s">
        <v>35</v>
      </c>
      <c r="C1547" t="s">
        <v>28</v>
      </c>
      <c r="D1547" t="s">
        <v>29</v>
      </c>
      <c r="E1547" t="s">
        <v>37</v>
      </c>
      <c r="F1547" t="s">
        <v>62</v>
      </c>
      <c r="G1547" t="s">
        <v>51</v>
      </c>
      <c r="H1547">
        <v>150000</v>
      </c>
      <c r="I1547">
        <v>3</v>
      </c>
      <c r="J1547" t="s">
        <v>42</v>
      </c>
      <c r="K1547">
        <f t="shared" si="24"/>
        <v>120000</v>
      </c>
    </row>
    <row r="1548" spans="1:11">
      <c r="A1548" t="s">
        <v>125</v>
      </c>
      <c r="B1548" t="s">
        <v>35</v>
      </c>
      <c r="C1548" t="s">
        <v>28</v>
      </c>
      <c r="D1548" t="s">
        <v>41</v>
      </c>
      <c r="E1548" t="s">
        <v>30</v>
      </c>
      <c r="F1548" t="s">
        <v>46</v>
      </c>
      <c r="G1548" t="s">
        <v>39</v>
      </c>
      <c r="H1548">
        <v>60000</v>
      </c>
      <c r="I1548">
        <v>6</v>
      </c>
      <c r="J1548" t="s">
        <v>47</v>
      </c>
      <c r="K1548">
        <f t="shared" si="24"/>
        <v>48000</v>
      </c>
    </row>
    <row r="1549" spans="1:11">
      <c r="A1549" t="s">
        <v>156</v>
      </c>
      <c r="B1549" t="s">
        <v>35</v>
      </c>
      <c r="C1549" t="s">
        <v>28</v>
      </c>
      <c r="D1549" t="s">
        <v>41</v>
      </c>
      <c r="E1549" t="s">
        <v>37</v>
      </c>
      <c r="F1549" t="s">
        <v>71</v>
      </c>
      <c r="G1549" t="s">
        <v>51</v>
      </c>
      <c r="H1549">
        <v>250000</v>
      </c>
      <c r="I1549">
        <v>1</v>
      </c>
      <c r="J1549" t="s">
        <v>47</v>
      </c>
      <c r="K1549">
        <f t="shared" si="24"/>
        <v>200000</v>
      </c>
    </row>
    <row r="1550" spans="1:11">
      <c r="A1550" t="s">
        <v>43</v>
      </c>
      <c r="B1550" t="s">
        <v>27</v>
      </c>
      <c r="C1550" t="s">
        <v>45</v>
      </c>
      <c r="D1550" t="s">
        <v>29</v>
      </c>
      <c r="E1550" t="s">
        <v>37</v>
      </c>
      <c r="F1550" t="s">
        <v>31</v>
      </c>
      <c r="G1550" t="s">
        <v>32</v>
      </c>
      <c r="H1550">
        <v>85000</v>
      </c>
      <c r="I1550">
        <v>8</v>
      </c>
      <c r="J1550" t="s">
        <v>47</v>
      </c>
      <c r="K1550">
        <f t="shared" si="24"/>
        <v>68000</v>
      </c>
    </row>
    <row r="1551" spans="1:11">
      <c r="A1551" t="s">
        <v>80</v>
      </c>
      <c r="B1551" t="s">
        <v>49</v>
      </c>
      <c r="C1551" t="s">
        <v>28</v>
      </c>
      <c r="D1551" t="s">
        <v>29</v>
      </c>
      <c r="E1551" t="s">
        <v>37</v>
      </c>
      <c r="F1551" t="s">
        <v>54</v>
      </c>
      <c r="G1551" t="s">
        <v>39</v>
      </c>
      <c r="H1551">
        <v>180000</v>
      </c>
      <c r="I1551">
        <v>8</v>
      </c>
      <c r="J1551" t="s">
        <v>47</v>
      </c>
      <c r="K1551">
        <f t="shared" si="24"/>
        <v>144000</v>
      </c>
    </row>
    <row r="1552" spans="1:11">
      <c r="A1552" t="s">
        <v>87</v>
      </c>
      <c r="B1552" t="s">
        <v>35</v>
      </c>
      <c r="C1552" t="s">
        <v>53</v>
      </c>
      <c r="D1552" t="s">
        <v>41</v>
      </c>
      <c r="E1552" t="s">
        <v>37</v>
      </c>
      <c r="F1552" t="s">
        <v>73</v>
      </c>
      <c r="G1552" t="s">
        <v>39</v>
      </c>
      <c r="H1552">
        <v>220000</v>
      </c>
      <c r="I1552">
        <v>9</v>
      </c>
      <c r="J1552" t="s">
        <v>65</v>
      </c>
      <c r="K1552">
        <f t="shared" si="24"/>
        <v>176000</v>
      </c>
    </row>
    <row r="1553" spans="1:11">
      <c r="A1553" t="s">
        <v>160</v>
      </c>
      <c r="B1553" t="s">
        <v>27</v>
      </c>
      <c r="C1553" t="s">
        <v>28</v>
      </c>
      <c r="D1553" t="s">
        <v>29</v>
      </c>
      <c r="E1553" t="s">
        <v>37</v>
      </c>
      <c r="F1553" t="s">
        <v>71</v>
      </c>
      <c r="G1553" t="s">
        <v>51</v>
      </c>
      <c r="H1553">
        <v>250000</v>
      </c>
      <c r="I1553">
        <v>3</v>
      </c>
      <c r="J1553" t="s">
        <v>47</v>
      </c>
      <c r="K1553">
        <f t="shared" si="24"/>
        <v>200000</v>
      </c>
    </row>
    <row r="1554" spans="1:11">
      <c r="A1554" t="s">
        <v>40</v>
      </c>
      <c r="B1554" t="s">
        <v>49</v>
      </c>
      <c r="C1554" t="s">
        <v>53</v>
      </c>
      <c r="D1554" t="s">
        <v>29</v>
      </c>
      <c r="E1554" t="s">
        <v>30</v>
      </c>
      <c r="F1554" t="s">
        <v>67</v>
      </c>
      <c r="G1554" t="s">
        <v>51</v>
      </c>
      <c r="H1554">
        <v>420000</v>
      </c>
      <c r="I1554">
        <v>6</v>
      </c>
      <c r="J1554" t="s">
        <v>69</v>
      </c>
      <c r="K1554">
        <f t="shared" si="24"/>
        <v>336000</v>
      </c>
    </row>
    <row r="1555" spans="1:11">
      <c r="A1555" t="s">
        <v>107</v>
      </c>
      <c r="B1555" t="s">
        <v>35</v>
      </c>
      <c r="C1555" t="s">
        <v>36</v>
      </c>
      <c r="D1555" t="s">
        <v>41</v>
      </c>
      <c r="E1555" t="s">
        <v>37</v>
      </c>
      <c r="F1555" t="s">
        <v>54</v>
      </c>
      <c r="G1555" t="s">
        <v>39</v>
      </c>
      <c r="H1555">
        <v>180000</v>
      </c>
      <c r="I1555">
        <v>3</v>
      </c>
      <c r="J1555" t="s">
        <v>33</v>
      </c>
      <c r="K1555">
        <f t="shared" si="24"/>
        <v>144000</v>
      </c>
    </row>
    <row r="1556" spans="1:11">
      <c r="A1556" t="s">
        <v>174</v>
      </c>
      <c r="B1556" t="s">
        <v>44</v>
      </c>
      <c r="C1556" t="s">
        <v>45</v>
      </c>
      <c r="D1556" t="s">
        <v>41</v>
      </c>
      <c r="E1556" t="s">
        <v>37</v>
      </c>
      <c r="F1556" t="s">
        <v>54</v>
      </c>
      <c r="G1556" t="s">
        <v>39</v>
      </c>
      <c r="H1556">
        <v>180000</v>
      </c>
      <c r="I1556">
        <v>9</v>
      </c>
      <c r="J1556" t="s">
        <v>33</v>
      </c>
      <c r="K1556">
        <f t="shared" si="24"/>
        <v>144000</v>
      </c>
    </row>
    <row r="1557" spans="1:11">
      <c r="A1557" t="s">
        <v>26</v>
      </c>
      <c r="B1557" t="s">
        <v>35</v>
      </c>
      <c r="C1557" t="s">
        <v>45</v>
      </c>
      <c r="D1557" t="s">
        <v>29</v>
      </c>
      <c r="E1557" t="s">
        <v>30</v>
      </c>
      <c r="F1557" t="s">
        <v>67</v>
      </c>
      <c r="G1557" t="s">
        <v>51</v>
      </c>
      <c r="H1557">
        <v>420000</v>
      </c>
      <c r="I1557">
        <v>5</v>
      </c>
      <c r="J1557" t="s">
        <v>33</v>
      </c>
      <c r="K1557">
        <f t="shared" si="24"/>
        <v>336000</v>
      </c>
    </row>
    <row r="1558" spans="1:11">
      <c r="A1558" t="s">
        <v>125</v>
      </c>
      <c r="B1558" t="s">
        <v>49</v>
      </c>
      <c r="C1558" t="s">
        <v>45</v>
      </c>
      <c r="D1558" t="s">
        <v>29</v>
      </c>
      <c r="E1558" t="s">
        <v>37</v>
      </c>
      <c r="F1558" t="s">
        <v>54</v>
      </c>
      <c r="G1558" t="s">
        <v>39</v>
      </c>
      <c r="H1558">
        <v>180000</v>
      </c>
      <c r="I1558">
        <v>6</v>
      </c>
      <c r="J1558" t="s">
        <v>69</v>
      </c>
      <c r="K1558">
        <f t="shared" si="24"/>
        <v>144000</v>
      </c>
    </row>
    <row r="1559" spans="1:11">
      <c r="A1559" t="s">
        <v>111</v>
      </c>
      <c r="B1559" t="s">
        <v>35</v>
      </c>
      <c r="C1559" t="s">
        <v>45</v>
      </c>
      <c r="D1559" t="s">
        <v>41</v>
      </c>
      <c r="E1559" t="s">
        <v>30</v>
      </c>
      <c r="F1559" t="s">
        <v>50</v>
      </c>
      <c r="G1559" t="s">
        <v>51</v>
      </c>
      <c r="H1559">
        <v>300000</v>
      </c>
      <c r="I1559">
        <v>3</v>
      </c>
      <c r="J1559" t="s">
        <v>47</v>
      </c>
      <c r="K1559">
        <f t="shared" si="24"/>
        <v>240000</v>
      </c>
    </row>
    <row r="1560" spans="1:11">
      <c r="A1560" t="s">
        <v>153</v>
      </c>
      <c r="B1560" t="s">
        <v>27</v>
      </c>
      <c r="C1560" t="s">
        <v>45</v>
      </c>
      <c r="D1560" t="s">
        <v>29</v>
      </c>
      <c r="E1560" t="s">
        <v>30</v>
      </c>
      <c r="F1560" t="s">
        <v>73</v>
      </c>
      <c r="G1560" t="s">
        <v>39</v>
      </c>
      <c r="H1560">
        <v>220000</v>
      </c>
      <c r="I1560">
        <v>7</v>
      </c>
      <c r="J1560" t="s">
        <v>33</v>
      </c>
      <c r="K1560">
        <f t="shared" si="24"/>
        <v>176000</v>
      </c>
    </row>
    <row r="1561" spans="1:11">
      <c r="A1561" t="s">
        <v>121</v>
      </c>
      <c r="B1561" t="s">
        <v>44</v>
      </c>
      <c r="C1561" t="s">
        <v>36</v>
      </c>
      <c r="D1561" t="s">
        <v>29</v>
      </c>
      <c r="E1561" t="s">
        <v>30</v>
      </c>
      <c r="F1561" t="s">
        <v>46</v>
      </c>
      <c r="G1561" t="s">
        <v>39</v>
      </c>
      <c r="H1561">
        <v>60000</v>
      </c>
      <c r="I1561">
        <v>2</v>
      </c>
      <c r="J1561" t="s">
        <v>33</v>
      </c>
      <c r="K1561">
        <f t="shared" si="24"/>
        <v>48000</v>
      </c>
    </row>
    <row r="1562" spans="1:11">
      <c r="A1562" t="s">
        <v>125</v>
      </c>
      <c r="B1562" t="s">
        <v>44</v>
      </c>
      <c r="C1562" t="s">
        <v>36</v>
      </c>
      <c r="D1562" t="s">
        <v>41</v>
      </c>
      <c r="E1562" t="s">
        <v>30</v>
      </c>
      <c r="F1562" t="s">
        <v>38</v>
      </c>
      <c r="G1562" t="s">
        <v>39</v>
      </c>
      <c r="H1562">
        <v>30000</v>
      </c>
      <c r="I1562">
        <v>4</v>
      </c>
      <c r="J1562" t="s">
        <v>58</v>
      </c>
      <c r="K1562">
        <f t="shared" si="24"/>
        <v>24000</v>
      </c>
    </row>
    <row r="1563" spans="1:11">
      <c r="A1563" t="s">
        <v>139</v>
      </c>
      <c r="B1563" t="s">
        <v>27</v>
      </c>
      <c r="C1563" t="s">
        <v>36</v>
      </c>
      <c r="D1563" t="s">
        <v>41</v>
      </c>
      <c r="E1563" t="s">
        <v>37</v>
      </c>
      <c r="F1563" t="s">
        <v>56</v>
      </c>
      <c r="G1563" t="s">
        <v>32</v>
      </c>
      <c r="H1563">
        <v>320000</v>
      </c>
      <c r="I1563">
        <v>8</v>
      </c>
      <c r="J1563" t="s">
        <v>58</v>
      </c>
      <c r="K1563">
        <f t="shared" si="24"/>
        <v>256000</v>
      </c>
    </row>
    <row r="1564" spans="1:11">
      <c r="A1564" t="s">
        <v>64</v>
      </c>
      <c r="B1564" t="s">
        <v>27</v>
      </c>
      <c r="C1564" t="s">
        <v>53</v>
      </c>
      <c r="D1564" t="s">
        <v>41</v>
      </c>
      <c r="E1564" t="s">
        <v>37</v>
      </c>
      <c r="F1564" t="s">
        <v>54</v>
      </c>
      <c r="G1564" t="s">
        <v>39</v>
      </c>
      <c r="H1564">
        <v>180000</v>
      </c>
      <c r="I1564">
        <v>5</v>
      </c>
      <c r="J1564" t="s">
        <v>47</v>
      </c>
      <c r="K1564">
        <f t="shared" si="24"/>
        <v>144000</v>
      </c>
    </row>
    <row r="1565" spans="1:11">
      <c r="A1565" t="s">
        <v>82</v>
      </c>
      <c r="B1565" t="s">
        <v>35</v>
      </c>
      <c r="C1565" t="s">
        <v>28</v>
      </c>
      <c r="D1565" t="s">
        <v>29</v>
      </c>
      <c r="E1565" t="s">
        <v>37</v>
      </c>
      <c r="F1565" t="s">
        <v>56</v>
      </c>
      <c r="G1565" t="s">
        <v>32</v>
      </c>
      <c r="H1565">
        <v>320000</v>
      </c>
      <c r="I1565">
        <v>6</v>
      </c>
      <c r="J1565" t="s">
        <v>47</v>
      </c>
      <c r="K1565">
        <f t="shared" si="24"/>
        <v>256000</v>
      </c>
    </row>
    <row r="1566" spans="1:11">
      <c r="A1566" t="s">
        <v>63</v>
      </c>
      <c r="B1566" t="s">
        <v>44</v>
      </c>
      <c r="C1566" t="s">
        <v>36</v>
      </c>
      <c r="D1566" t="s">
        <v>29</v>
      </c>
      <c r="E1566" t="s">
        <v>30</v>
      </c>
      <c r="F1566" t="s">
        <v>67</v>
      </c>
      <c r="G1566" t="s">
        <v>51</v>
      </c>
      <c r="H1566">
        <v>420000</v>
      </c>
      <c r="I1566">
        <v>3</v>
      </c>
      <c r="J1566" t="s">
        <v>47</v>
      </c>
      <c r="K1566">
        <f t="shared" si="24"/>
        <v>336000</v>
      </c>
    </row>
    <row r="1567" spans="1:11">
      <c r="A1567" t="s">
        <v>110</v>
      </c>
      <c r="B1567" t="s">
        <v>49</v>
      </c>
      <c r="C1567" t="s">
        <v>53</v>
      </c>
      <c r="D1567" t="s">
        <v>41</v>
      </c>
      <c r="E1567" t="s">
        <v>30</v>
      </c>
      <c r="F1567" t="s">
        <v>62</v>
      </c>
      <c r="G1567" t="s">
        <v>51</v>
      </c>
      <c r="H1567">
        <v>150000</v>
      </c>
      <c r="I1567">
        <v>2</v>
      </c>
      <c r="J1567" t="s">
        <v>69</v>
      </c>
      <c r="K1567">
        <f t="shared" si="24"/>
        <v>120000</v>
      </c>
    </row>
    <row r="1568" spans="1:11">
      <c r="A1568" t="s">
        <v>116</v>
      </c>
      <c r="B1568" t="s">
        <v>27</v>
      </c>
      <c r="C1568" t="s">
        <v>53</v>
      </c>
      <c r="D1568" t="s">
        <v>29</v>
      </c>
      <c r="E1568" t="s">
        <v>30</v>
      </c>
      <c r="F1568" t="s">
        <v>54</v>
      </c>
      <c r="G1568" t="s">
        <v>39</v>
      </c>
      <c r="H1568">
        <v>180000</v>
      </c>
      <c r="I1568">
        <v>8</v>
      </c>
      <c r="J1568" t="s">
        <v>58</v>
      </c>
      <c r="K1568">
        <f t="shared" si="24"/>
        <v>144000</v>
      </c>
    </row>
    <row r="1569" spans="1:11">
      <c r="A1569" t="s">
        <v>128</v>
      </c>
      <c r="B1569" t="s">
        <v>49</v>
      </c>
      <c r="C1569" t="s">
        <v>36</v>
      </c>
      <c r="D1569" t="s">
        <v>29</v>
      </c>
      <c r="E1569" t="s">
        <v>30</v>
      </c>
      <c r="F1569" t="s">
        <v>62</v>
      </c>
      <c r="G1569" t="s">
        <v>51</v>
      </c>
      <c r="H1569">
        <v>150000</v>
      </c>
      <c r="I1569">
        <v>4</v>
      </c>
      <c r="J1569" t="s">
        <v>58</v>
      </c>
      <c r="K1569">
        <f t="shared" si="24"/>
        <v>120000</v>
      </c>
    </row>
    <row r="1570" spans="1:11">
      <c r="A1570" t="s">
        <v>79</v>
      </c>
      <c r="B1570" t="s">
        <v>49</v>
      </c>
      <c r="C1570" t="s">
        <v>45</v>
      </c>
      <c r="D1570" t="s">
        <v>41</v>
      </c>
      <c r="E1570" t="s">
        <v>37</v>
      </c>
      <c r="F1570" t="s">
        <v>46</v>
      </c>
      <c r="G1570" t="s">
        <v>39</v>
      </c>
      <c r="H1570">
        <v>60000</v>
      </c>
      <c r="I1570">
        <v>8</v>
      </c>
      <c r="J1570" t="s">
        <v>47</v>
      </c>
      <c r="K1570">
        <f t="shared" si="24"/>
        <v>48000</v>
      </c>
    </row>
    <row r="1571" spans="1:11">
      <c r="A1571" t="s">
        <v>155</v>
      </c>
      <c r="B1571" t="s">
        <v>49</v>
      </c>
      <c r="C1571" t="s">
        <v>28</v>
      </c>
      <c r="D1571" t="s">
        <v>41</v>
      </c>
      <c r="E1571" t="s">
        <v>37</v>
      </c>
      <c r="F1571" t="s">
        <v>67</v>
      </c>
      <c r="G1571" t="s">
        <v>51</v>
      </c>
      <c r="H1571">
        <v>420000</v>
      </c>
      <c r="I1571">
        <v>5</v>
      </c>
      <c r="J1571" t="s">
        <v>65</v>
      </c>
      <c r="K1571">
        <f t="shared" si="24"/>
        <v>336000</v>
      </c>
    </row>
    <row r="1572" spans="1:11">
      <c r="A1572" t="s">
        <v>105</v>
      </c>
      <c r="B1572" t="s">
        <v>49</v>
      </c>
      <c r="C1572" t="s">
        <v>28</v>
      </c>
      <c r="D1572" t="s">
        <v>29</v>
      </c>
      <c r="E1572" t="s">
        <v>37</v>
      </c>
      <c r="F1572" t="s">
        <v>67</v>
      </c>
      <c r="G1572" t="s">
        <v>51</v>
      </c>
      <c r="H1572">
        <v>420000</v>
      </c>
      <c r="I1572">
        <v>6</v>
      </c>
      <c r="J1572" t="s">
        <v>69</v>
      </c>
      <c r="K1572">
        <f t="shared" si="24"/>
        <v>336000</v>
      </c>
    </row>
    <row r="1573" spans="1:11">
      <c r="A1573" t="s">
        <v>134</v>
      </c>
      <c r="B1573" t="s">
        <v>44</v>
      </c>
      <c r="C1573" t="s">
        <v>28</v>
      </c>
      <c r="D1573" t="s">
        <v>29</v>
      </c>
      <c r="E1573" t="s">
        <v>37</v>
      </c>
      <c r="F1573" t="s">
        <v>50</v>
      </c>
      <c r="G1573" t="s">
        <v>51</v>
      </c>
      <c r="H1573">
        <v>300000</v>
      </c>
      <c r="I1573">
        <v>4</v>
      </c>
      <c r="J1573" t="s">
        <v>42</v>
      </c>
      <c r="K1573">
        <f t="shared" si="24"/>
        <v>240000</v>
      </c>
    </row>
    <row r="1574" spans="1:11">
      <c r="A1574" t="s">
        <v>88</v>
      </c>
      <c r="B1574" t="s">
        <v>35</v>
      </c>
      <c r="C1574" t="s">
        <v>53</v>
      </c>
      <c r="D1574" t="s">
        <v>29</v>
      </c>
      <c r="E1574" t="s">
        <v>30</v>
      </c>
      <c r="F1574" t="s">
        <v>54</v>
      </c>
      <c r="G1574" t="s">
        <v>39</v>
      </c>
      <c r="H1574">
        <v>180000</v>
      </c>
      <c r="I1574">
        <v>1</v>
      </c>
      <c r="J1574" t="s">
        <v>69</v>
      </c>
      <c r="K1574">
        <f t="shared" si="24"/>
        <v>144000</v>
      </c>
    </row>
    <row r="1575" spans="1:11">
      <c r="A1575" t="s">
        <v>60</v>
      </c>
      <c r="B1575" t="s">
        <v>49</v>
      </c>
      <c r="C1575" t="s">
        <v>53</v>
      </c>
      <c r="D1575" t="s">
        <v>41</v>
      </c>
      <c r="E1575" t="s">
        <v>30</v>
      </c>
      <c r="F1575" t="s">
        <v>67</v>
      </c>
      <c r="G1575" t="s">
        <v>51</v>
      </c>
      <c r="H1575">
        <v>420000</v>
      </c>
      <c r="I1575">
        <v>5</v>
      </c>
      <c r="J1575" t="s">
        <v>65</v>
      </c>
      <c r="K1575">
        <f t="shared" si="24"/>
        <v>336000</v>
      </c>
    </row>
    <row r="1576" spans="1:11">
      <c r="A1576" t="s">
        <v>60</v>
      </c>
      <c r="B1576" t="s">
        <v>27</v>
      </c>
      <c r="C1576" t="s">
        <v>36</v>
      </c>
      <c r="D1576" t="s">
        <v>41</v>
      </c>
      <c r="E1576" t="s">
        <v>37</v>
      </c>
      <c r="F1576" t="s">
        <v>71</v>
      </c>
      <c r="G1576" t="s">
        <v>51</v>
      </c>
      <c r="H1576">
        <v>250000</v>
      </c>
      <c r="I1576">
        <v>7</v>
      </c>
      <c r="J1576" t="s">
        <v>69</v>
      </c>
      <c r="K1576">
        <f t="shared" si="24"/>
        <v>200000</v>
      </c>
    </row>
    <row r="1577" spans="1:11">
      <c r="A1577" t="s">
        <v>106</v>
      </c>
      <c r="B1577" t="s">
        <v>44</v>
      </c>
      <c r="C1577" t="s">
        <v>53</v>
      </c>
      <c r="D1577" t="s">
        <v>41</v>
      </c>
      <c r="E1577" t="s">
        <v>30</v>
      </c>
      <c r="F1577" t="s">
        <v>38</v>
      </c>
      <c r="G1577" t="s">
        <v>39</v>
      </c>
      <c r="H1577">
        <v>30000</v>
      </c>
      <c r="I1577">
        <v>1</v>
      </c>
      <c r="J1577" t="s">
        <v>69</v>
      </c>
      <c r="K1577">
        <f t="shared" si="24"/>
        <v>24000</v>
      </c>
    </row>
    <row r="1578" spans="1:11">
      <c r="A1578" t="s">
        <v>128</v>
      </c>
      <c r="B1578" t="s">
        <v>44</v>
      </c>
      <c r="C1578" t="s">
        <v>36</v>
      </c>
      <c r="D1578" t="s">
        <v>41</v>
      </c>
      <c r="E1578" t="s">
        <v>30</v>
      </c>
      <c r="F1578" t="s">
        <v>54</v>
      </c>
      <c r="G1578" t="s">
        <v>39</v>
      </c>
      <c r="H1578">
        <v>180000</v>
      </c>
      <c r="I1578">
        <v>9</v>
      </c>
      <c r="J1578" t="s">
        <v>58</v>
      </c>
      <c r="K1578">
        <f t="shared" si="24"/>
        <v>144000</v>
      </c>
    </row>
    <row r="1579" spans="1:11">
      <c r="A1579" t="s">
        <v>149</v>
      </c>
      <c r="B1579" t="s">
        <v>49</v>
      </c>
      <c r="C1579" t="s">
        <v>36</v>
      </c>
      <c r="D1579" t="s">
        <v>41</v>
      </c>
      <c r="E1579" t="s">
        <v>30</v>
      </c>
      <c r="F1579" t="s">
        <v>50</v>
      </c>
      <c r="G1579" t="s">
        <v>51</v>
      </c>
      <c r="H1579">
        <v>300000</v>
      </c>
      <c r="I1579">
        <v>7</v>
      </c>
      <c r="J1579" t="s">
        <v>69</v>
      </c>
      <c r="K1579">
        <f t="shared" si="24"/>
        <v>240000</v>
      </c>
    </row>
    <row r="1580" spans="1:11">
      <c r="A1580" t="s">
        <v>64</v>
      </c>
      <c r="B1580" t="s">
        <v>35</v>
      </c>
      <c r="C1580" t="s">
        <v>36</v>
      </c>
      <c r="D1580" t="s">
        <v>29</v>
      </c>
      <c r="E1580" t="s">
        <v>30</v>
      </c>
      <c r="F1580" t="s">
        <v>46</v>
      </c>
      <c r="G1580" t="s">
        <v>39</v>
      </c>
      <c r="H1580">
        <v>60000</v>
      </c>
      <c r="I1580">
        <v>2</v>
      </c>
      <c r="J1580" t="s">
        <v>69</v>
      </c>
      <c r="K1580">
        <f t="shared" si="24"/>
        <v>48000</v>
      </c>
    </row>
    <row r="1581" spans="1:11">
      <c r="A1581" t="s">
        <v>122</v>
      </c>
      <c r="B1581" t="s">
        <v>27</v>
      </c>
      <c r="C1581" t="s">
        <v>53</v>
      </c>
      <c r="D1581" t="s">
        <v>41</v>
      </c>
      <c r="E1581" t="s">
        <v>30</v>
      </c>
      <c r="F1581" t="s">
        <v>71</v>
      </c>
      <c r="G1581" t="s">
        <v>51</v>
      </c>
      <c r="H1581">
        <v>250000</v>
      </c>
      <c r="I1581">
        <v>5</v>
      </c>
      <c r="J1581" t="s">
        <v>47</v>
      </c>
      <c r="K1581">
        <f t="shared" si="24"/>
        <v>200000</v>
      </c>
    </row>
    <row r="1582" spans="1:11">
      <c r="A1582" t="s">
        <v>128</v>
      </c>
      <c r="B1582" t="s">
        <v>49</v>
      </c>
      <c r="C1582" t="s">
        <v>53</v>
      </c>
      <c r="D1582" t="s">
        <v>41</v>
      </c>
      <c r="E1582" t="s">
        <v>37</v>
      </c>
      <c r="F1582" t="s">
        <v>31</v>
      </c>
      <c r="G1582" t="s">
        <v>32</v>
      </c>
      <c r="H1582">
        <v>85000</v>
      </c>
      <c r="I1582">
        <v>9</v>
      </c>
      <c r="J1582" t="s">
        <v>58</v>
      </c>
      <c r="K1582">
        <f t="shared" si="24"/>
        <v>68000</v>
      </c>
    </row>
    <row r="1583" spans="1:11">
      <c r="A1583" t="s">
        <v>142</v>
      </c>
      <c r="B1583" t="s">
        <v>49</v>
      </c>
      <c r="C1583" t="s">
        <v>45</v>
      </c>
      <c r="D1583" t="s">
        <v>29</v>
      </c>
      <c r="E1583" t="s">
        <v>30</v>
      </c>
      <c r="F1583" t="s">
        <v>67</v>
      </c>
      <c r="G1583" t="s">
        <v>51</v>
      </c>
      <c r="H1583">
        <v>420000</v>
      </c>
      <c r="I1583">
        <v>5</v>
      </c>
      <c r="J1583" t="s">
        <v>47</v>
      </c>
      <c r="K1583">
        <f t="shared" si="24"/>
        <v>336000</v>
      </c>
    </row>
    <row r="1584" spans="1:11">
      <c r="A1584" t="s">
        <v>113</v>
      </c>
      <c r="B1584" t="s">
        <v>35</v>
      </c>
      <c r="C1584" t="s">
        <v>53</v>
      </c>
      <c r="D1584" t="s">
        <v>29</v>
      </c>
      <c r="E1584" t="s">
        <v>30</v>
      </c>
      <c r="F1584" t="s">
        <v>67</v>
      </c>
      <c r="G1584" t="s">
        <v>51</v>
      </c>
      <c r="H1584">
        <v>420000</v>
      </c>
      <c r="I1584">
        <v>7</v>
      </c>
      <c r="J1584" t="s">
        <v>47</v>
      </c>
      <c r="K1584">
        <f t="shared" si="24"/>
        <v>336000</v>
      </c>
    </row>
    <row r="1585" spans="1:11">
      <c r="A1585" t="s">
        <v>85</v>
      </c>
      <c r="B1585" t="s">
        <v>49</v>
      </c>
      <c r="C1585" t="s">
        <v>28</v>
      </c>
      <c r="D1585" t="s">
        <v>29</v>
      </c>
      <c r="E1585" t="s">
        <v>37</v>
      </c>
      <c r="F1585" t="s">
        <v>56</v>
      </c>
      <c r="G1585" t="s">
        <v>32</v>
      </c>
      <c r="H1585">
        <v>320000</v>
      </c>
      <c r="I1585">
        <v>3</v>
      </c>
      <c r="J1585" t="s">
        <v>47</v>
      </c>
      <c r="K1585">
        <f t="shared" si="24"/>
        <v>256000</v>
      </c>
    </row>
    <row r="1586" spans="1:11">
      <c r="A1586" t="s">
        <v>136</v>
      </c>
      <c r="B1586" t="s">
        <v>44</v>
      </c>
      <c r="C1586" t="s">
        <v>28</v>
      </c>
      <c r="D1586" t="s">
        <v>41</v>
      </c>
      <c r="E1586" t="s">
        <v>37</v>
      </c>
      <c r="F1586" t="s">
        <v>71</v>
      </c>
      <c r="G1586" t="s">
        <v>51</v>
      </c>
      <c r="H1586">
        <v>250000</v>
      </c>
      <c r="I1586">
        <v>10</v>
      </c>
      <c r="J1586" t="s">
        <v>47</v>
      </c>
      <c r="K1586">
        <f t="shared" si="24"/>
        <v>200000</v>
      </c>
    </row>
    <row r="1587" spans="1:11">
      <c r="A1587" t="s">
        <v>43</v>
      </c>
      <c r="B1587" t="s">
        <v>35</v>
      </c>
      <c r="C1587" t="s">
        <v>45</v>
      </c>
      <c r="D1587" t="s">
        <v>29</v>
      </c>
      <c r="E1587" t="s">
        <v>30</v>
      </c>
      <c r="F1587" t="s">
        <v>62</v>
      </c>
      <c r="G1587" t="s">
        <v>51</v>
      </c>
      <c r="H1587">
        <v>150000</v>
      </c>
      <c r="I1587">
        <v>9</v>
      </c>
      <c r="J1587" t="s">
        <v>69</v>
      </c>
      <c r="K1587">
        <f t="shared" si="24"/>
        <v>120000</v>
      </c>
    </row>
    <row r="1588" spans="1:11">
      <c r="A1588" t="s">
        <v>89</v>
      </c>
      <c r="B1588" t="s">
        <v>27</v>
      </c>
      <c r="C1588" t="s">
        <v>28</v>
      </c>
      <c r="D1588" t="s">
        <v>41</v>
      </c>
      <c r="E1588" t="s">
        <v>30</v>
      </c>
      <c r="F1588" t="s">
        <v>50</v>
      </c>
      <c r="G1588" t="s">
        <v>51</v>
      </c>
      <c r="H1588">
        <v>300000</v>
      </c>
      <c r="I1588">
        <v>10</v>
      </c>
      <c r="J1588" t="s">
        <v>33</v>
      </c>
      <c r="K1588">
        <f t="shared" si="24"/>
        <v>240000</v>
      </c>
    </row>
    <row r="1589" spans="1:11">
      <c r="A1589" t="s">
        <v>89</v>
      </c>
      <c r="B1589" t="s">
        <v>35</v>
      </c>
      <c r="C1589" t="s">
        <v>28</v>
      </c>
      <c r="D1589" t="s">
        <v>41</v>
      </c>
      <c r="E1589" t="s">
        <v>37</v>
      </c>
      <c r="F1589" t="s">
        <v>50</v>
      </c>
      <c r="G1589" t="s">
        <v>51</v>
      </c>
      <c r="H1589">
        <v>300000</v>
      </c>
      <c r="I1589">
        <v>2</v>
      </c>
      <c r="J1589" t="s">
        <v>58</v>
      </c>
      <c r="K1589">
        <f t="shared" si="24"/>
        <v>240000</v>
      </c>
    </row>
    <row r="1590" spans="1:11">
      <c r="A1590" t="s">
        <v>126</v>
      </c>
      <c r="B1590" t="s">
        <v>35</v>
      </c>
      <c r="C1590" t="s">
        <v>53</v>
      </c>
      <c r="D1590" t="s">
        <v>29</v>
      </c>
      <c r="E1590" t="s">
        <v>37</v>
      </c>
      <c r="F1590" t="s">
        <v>54</v>
      </c>
      <c r="G1590" t="s">
        <v>39</v>
      </c>
      <c r="H1590">
        <v>180000</v>
      </c>
      <c r="I1590">
        <v>2</v>
      </c>
      <c r="J1590" t="s">
        <v>58</v>
      </c>
      <c r="K1590">
        <f t="shared" si="24"/>
        <v>144000</v>
      </c>
    </row>
    <row r="1591" spans="1:11">
      <c r="A1591" t="s">
        <v>131</v>
      </c>
      <c r="B1591" t="s">
        <v>27</v>
      </c>
      <c r="C1591" t="s">
        <v>53</v>
      </c>
      <c r="D1591" t="s">
        <v>41</v>
      </c>
      <c r="E1591" t="s">
        <v>37</v>
      </c>
      <c r="F1591" t="s">
        <v>56</v>
      </c>
      <c r="G1591" t="s">
        <v>32</v>
      </c>
      <c r="H1591">
        <v>320000</v>
      </c>
      <c r="I1591">
        <v>10</v>
      </c>
      <c r="J1591" t="s">
        <v>69</v>
      </c>
      <c r="K1591">
        <f t="shared" si="24"/>
        <v>256000</v>
      </c>
    </row>
    <row r="1592" spans="1:11">
      <c r="A1592" t="s">
        <v>163</v>
      </c>
      <c r="B1592" t="s">
        <v>49</v>
      </c>
      <c r="C1592" t="s">
        <v>28</v>
      </c>
      <c r="D1592" t="s">
        <v>41</v>
      </c>
      <c r="E1592" t="s">
        <v>37</v>
      </c>
      <c r="F1592" t="s">
        <v>56</v>
      </c>
      <c r="G1592" t="s">
        <v>32</v>
      </c>
      <c r="H1592">
        <v>320000</v>
      </c>
      <c r="I1592">
        <v>1</v>
      </c>
      <c r="J1592" t="s">
        <v>65</v>
      </c>
      <c r="K1592">
        <f t="shared" si="24"/>
        <v>256000</v>
      </c>
    </row>
    <row r="1593" spans="1:11">
      <c r="A1593" t="s">
        <v>81</v>
      </c>
      <c r="B1593" t="s">
        <v>49</v>
      </c>
      <c r="C1593" t="s">
        <v>53</v>
      </c>
      <c r="D1593" t="s">
        <v>29</v>
      </c>
      <c r="E1593" t="s">
        <v>37</v>
      </c>
      <c r="F1593" t="s">
        <v>62</v>
      </c>
      <c r="G1593" t="s">
        <v>51</v>
      </c>
      <c r="H1593">
        <v>150000</v>
      </c>
      <c r="I1593">
        <v>6</v>
      </c>
      <c r="J1593" t="s">
        <v>58</v>
      </c>
      <c r="K1593">
        <f t="shared" si="24"/>
        <v>120000</v>
      </c>
    </row>
    <row r="1594" spans="1:11">
      <c r="A1594" t="s">
        <v>108</v>
      </c>
      <c r="B1594" t="s">
        <v>49</v>
      </c>
      <c r="C1594" t="s">
        <v>36</v>
      </c>
      <c r="D1594" t="s">
        <v>41</v>
      </c>
      <c r="E1594" t="s">
        <v>37</v>
      </c>
      <c r="F1594" t="s">
        <v>31</v>
      </c>
      <c r="G1594" t="s">
        <v>32</v>
      </c>
      <c r="H1594">
        <v>85000</v>
      </c>
      <c r="I1594">
        <v>9</v>
      </c>
      <c r="J1594" t="s">
        <v>58</v>
      </c>
      <c r="K1594">
        <f t="shared" si="24"/>
        <v>68000</v>
      </c>
    </row>
    <row r="1595" spans="1:11">
      <c r="A1595" t="s">
        <v>90</v>
      </c>
      <c r="B1595" t="s">
        <v>27</v>
      </c>
      <c r="C1595" t="s">
        <v>28</v>
      </c>
      <c r="D1595" t="s">
        <v>29</v>
      </c>
      <c r="E1595" t="s">
        <v>30</v>
      </c>
      <c r="F1595" t="s">
        <v>67</v>
      </c>
      <c r="G1595" t="s">
        <v>51</v>
      </c>
      <c r="H1595">
        <v>420000</v>
      </c>
      <c r="I1595">
        <v>7</v>
      </c>
      <c r="J1595" t="s">
        <v>33</v>
      </c>
      <c r="K1595">
        <f t="shared" si="24"/>
        <v>336000</v>
      </c>
    </row>
    <row r="1596" spans="1:11">
      <c r="A1596" t="s">
        <v>97</v>
      </c>
      <c r="B1596" t="s">
        <v>35</v>
      </c>
      <c r="C1596" t="s">
        <v>28</v>
      </c>
      <c r="D1596" t="s">
        <v>29</v>
      </c>
      <c r="E1596" t="s">
        <v>30</v>
      </c>
      <c r="F1596" t="s">
        <v>38</v>
      </c>
      <c r="G1596" t="s">
        <v>39</v>
      </c>
      <c r="H1596">
        <v>30000</v>
      </c>
      <c r="I1596">
        <v>3</v>
      </c>
      <c r="J1596" t="s">
        <v>58</v>
      </c>
      <c r="K1596">
        <f t="shared" si="24"/>
        <v>24000</v>
      </c>
    </row>
    <row r="1597" spans="1:11">
      <c r="A1597" t="s">
        <v>121</v>
      </c>
      <c r="B1597" t="s">
        <v>35</v>
      </c>
      <c r="C1597" t="s">
        <v>36</v>
      </c>
      <c r="D1597" t="s">
        <v>41</v>
      </c>
      <c r="E1597" t="s">
        <v>37</v>
      </c>
      <c r="F1597" t="s">
        <v>38</v>
      </c>
      <c r="G1597" t="s">
        <v>39</v>
      </c>
      <c r="H1597">
        <v>30000</v>
      </c>
      <c r="I1597">
        <v>9</v>
      </c>
      <c r="J1597" t="s">
        <v>33</v>
      </c>
      <c r="K1597">
        <f t="shared" si="24"/>
        <v>24000</v>
      </c>
    </row>
    <row r="1598" spans="1:11">
      <c r="A1598" t="s">
        <v>26</v>
      </c>
      <c r="B1598" t="s">
        <v>44</v>
      </c>
      <c r="C1598" t="s">
        <v>28</v>
      </c>
      <c r="D1598" t="s">
        <v>41</v>
      </c>
      <c r="E1598" t="s">
        <v>37</v>
      </c>
      <c r="F1598" t="s">
        <v>46</v>
      </c>
      <c r="G1598" t="s">
        <v>39</v>
      </c>
      <c r="H1598">
        <v>60000</v>
      </c>
      <c r="I1598">
        <v>1</v>
      </c>
      <c r="J1598" t="s">
        <v>65</v>
      </c>
      <c r="K1598">
        <f t="shared" si="24"/>
        <v>48000</v>
      </c>
    </row>
    <row r="1599" spans="1:11">
      <c r="A1599" t="s">
        <v>159</v>
      </c>
      <c r="B1599" t="s">
        <v>49</v>
      </c>
      <c r="C1599" t="s">
        <v>28</v>
      </c>
      <c r="D1599" t="s">
        <v>41</v>
      </c>
      <c r="E1599" t="s">
        <v>30</v>
      </c>
      <c r="F1599" t="s">
        <v>71</v>
      </c>
      <c r="G1599" t="s">
        <v>51</v>
      </c>
      <c r="H1599">
        <v>250000</v>
      </c>
      <c r="I1599">
        <v>1</v>
      </c>
      <c r="J1599" t="s">
        <v>69</v>
      </c>
      <c r="K1599">
        <f t="shared" si="24"/>
        <v>200000</v>
      </c>
    </row>
    <row r="1600" spans="1:11">
      <c r="A1600" t="s">
        <v>156</v>
      </c>
      <c r="B1600" t="s">
        <v>49</v>
      </c>
      <c r="C1600" t="s">
        <v>36</v>
      </c>
      <c r="D1600" t="s">
        <v>41</v>
      </c>
      <c r="E1600" t="s">
        <v>30</v>
      </c>
      <c r="F1600" t="s">
        <v>62</v>
      </c>
      <c r="G1600" t="s">
        <v>51</v>
      </c>
      <c r="H1600">
        <v>150000</v>
      </c>
      <c r="I1600">
        <v>9</v>
      </c>
      <c r="J1600" t="s">
        <v>33</v>
      </c>
      <c r="K1600">
        <f t="shared" si="24"/>
        <v>120000</v>
      </c>
    </row>
    <row r="1601" spans="1:11">
      <c r="A1601" t="s">
        <v>168</v>
      </c>
      <c r="B1601" t="s">
        <v>27</v>
      </c>
      <c r="C1601" t="s">
        <v>45</v>
      </c>
      <c r="D1601" t="s">
        <v>41</v>
      </c>
      <c r="E1601" t="s">
        <v>30</v>
      </c>
      <c r="F1601" t="s">
        <v>62</v>
      </c>
      <c r="G1601" t="s">
        <v>51</v>
      </c>
      <c r="H1601">
        <v>150000</v>
      </c>
      <c r="I1601">
        <v>8</v>
      </c>
      <c r="J1601" t="s">
        <v>42</v>
      </c>
      <c r="K1601">
        <f t="shared" si="24"/>
        <v>120000</v>
      </c>
    </row>
    <row r="1602" spans="1:11">
      <c r="A1602" t="s">
        <v>111</v>
      </c>
      <c r="B1602" t="s">
        <v>44</v>
      </c>
      <c r="C1602" t="s">
        <v>28</v>
      </c>
      <c r="D1602" t="s">
        <v>29</v>
      </c>
      <c r="E1602" t="s">
        <v>37</v>
      </c>
      <c r="F1602" t="s">
        <v>46</v>
      </c>
      <c r="G1602" t="s">
        <v>39</v>
      </c>
      <c r="H1602">
        <v>60000</v>
      </c>
      <c r="I1602">
        <v>4</v>
      </c>
      <c r="J1602" t="s">
        <v>42</v>
      </c>
      <c r="K1602">
        <f t="shared" ref="K1602:K1665" si="25">H1602-H1602*0.2</f>
        <v>48000</v>
      </c>
    </row>
    <row r="1603" spans="1:11">
      <c r="A1603" t="s">
        <v>75</v>
      </c>
      <c r="B1603" t="s">
        <v>27</v>
      </c>
      <c r="C1603" t="s">
        <v>53</v>
      </c>
      <c r="D1603" t="s">
        <v>29</v>
      </c>
      <c r="E1603" t="s">
        <v>37</v>
      </c>
      <c r="F1603" t="s">
        <v>38</v>
      </c>
      <c r="G1603" t="s">
        <v>39</v>
      </c>
      <c r="H1603">
        <v>30000</v>
      </c>
      <c r="I1603">
        <v>3</v>
      </c>
      <c r="J1603" t="s">
        <v>58</v>
      </c>
      <c r="K1603">
        <f t="shared" si="25"/>
        <v>24000</v>
      </c>
    </row>
    <row r="1604" spans="1:11">
      <c r="A1604" t="s">
        <v>99</v>
      </c>
      <c r="B1604" t="s">
        <v>27</v>
      </c>
      <c r="C1604" t="s">
        <v>28</v>
      </c>
      <c r="D1604" t="s">
        <v>29</v>
      </c>
      <c r="E1604" t="s">
        <v>37</v>
      </c>
      <c r="F1604" t="s">
        <v>56</v>
      </c>
      <c r="G1604" t="s">
        <v>32</v>
      </c>
      <c r="H1604">
        <v>320000</v>
      </c>
      <c r="I1604">
        <v>4</v>
      </c>
      <c r="J1604" t="s">
        <v>58</v>
      </c>
      <c r="K1604">
        <f t="shared" si="25"/>
        <v>256000</v>
      </c>
    </row>
    <row r="1605" spans="1:11">
      <c r="A1605" t="s">
        <v>75</v>
      </c>
      <c r="B1605" t="s">
        <v>49</v>
      </c>
      <c r="C1605" t="s">
        <v>45</v>
      </c>
      <c r="D1605" t="s">
        <v>41</v>
      </c>
      <c r="E1605" t="s">
        <v>30</v>
      </c>
      <c r="F1605" t="s">
        <v>54</v>
      </c>
      <c r="G1605" t="s">
        <v>39</v>
      </c>
      <c r="H1605">
        <v>180000</v>
      </c>
      <c r="I1605">
        <v>8</v>
      </c>
      <c r="J1605" t="s">
        <v>47</v>
      </c>
      <c r="K1605">
        <f t="shared" si="25"/>
        <v>144000</v>
      </c>
    </row>
    <row r="1606" spans="1:11">
      <c r="A1606" t="s">
        <v>121</v>
      </c>
      <c r="B1606" t="s">
        <v>35</v>
      </c>
      <c r="C1606" t="s">
        <v>53</v>
      </c>
      <c r="D1606" t="s">
        <v>29</v>
      </c>
      <c r="E1606" t="s">
        <v>37</v>
      </c>
      <c r="F1606" t="s">
        <v>31</v>
      </c>
      <c r="G1606" t="s">
        <v>32</v>
      </c>
      <c r="H1606">
        <v>85000</v>
      </c>
      <c r="I1606">
        <v>4</v>
      </c>
      <c r="J1606" t="s">
        <v>42</v>
      </c>
      <c r="K1606">
        <f t="shared" si="25"/>
        <v>68000</v>
      </c>
    </row>
    <row r="1607" spans="1:11">
      <c r="A1607" t="s">
        <v>169</v>
      </c>
      <c r="B1607" t="s">
        <v>49</v>
      </c>
      <c r="C1607" t="s">
        <v>36</v>
      </c>
      <c r="D1607" t="s">
        <v>41</v>
      </c>
      <c r="E1607" t="s">
        <v>37</v>
      </c>
      <c r="F1607" t="s">
        <v>73</v>
      </c>
      <c r="G1607" t="s">
        <v>39</v>
      </c>
      <c r="H1607">
        <v>220000</v>
      </c>
      <c r="I1607">
        <v>10</v>
      </c>
      <c r="J1607" t="s">
        <v>33</v>
      </c>
      <c r="K1607">
        <f t="shared" si="25"/>
        <v>176000</v>
      </c>
    </row>
    <row r="1608" spans="1:11">
      <c r="A1608" t="s">
        <v>97</v>
      </c>
      <c r="B1608" t="s">
        <v>44</v>
      </c>
      <c r="C1608" t="s">
        <v>28</v>
      </c>
      <c r="D1608" t="s">
        <v>41</v>
      </c>
      <c r="E1608" t="s">
        <v>37</v>
      </c>
      <c r="F1608" t="s">
        <v>31</v>
      </c>
      <c r="G1608" t="s">
        <v>32</v>
      </c>
      <c r="H1608">
        <v>85000</v>
      </c>
      <c r="I1608">
        <v>5</v>
      </c>
      <c r="J1608" t="s">
        <v>58</v>
      </c>
      <c r="K1608">
        <f t="shared" si="25"/>
        <v>68000</v>
      </c>
    </row>
    <row r="1609" spans="1:11">
      <c r="A1609" t="s">
        <v>98</v>
      </c>
      <c r="B1609" t="s">
        <v>27</v>
      </c>
      <c r="C1609" t="s">
        <v>36</v>
      </c>
      <c r="D1609" t="s">
        <v>29</v>
      </c>
      <c r="E1609" t="s">
        <v>37</v>
      </c>
      <c r="F1609" t="s">
        <v>50</v>
      </c>
      <c r="G1609" t="s">
        <v>51</v>
      </c>
      <c r="H1609">
        <v>300000</v>
      </c>
      <c r="I1609">
        <v>2</v>
      </c>
      <c r="J1609" t="s">
        <v>65</v>
      </c>
      <c r="K1609">
        <f t="shared" si="25"/>
        <v>240000</v>
      </c>
    </row>
    <row r="1610" spans="1:11">
      <c r="A1610" t="s">
        <v>120</v>
      </c>
      <c r="B1610" t="s">
        <v>35</v>
      </c>
      <c r="C1610" t="s">
        <v>53</v>
      </c>
      <c r="D1610" t="s">
        <v>41</v>
      </c>
      <c r="E1610" t="s">
        <v>30</v>
      </c>
      <c r="F1610" t="s">
        <v>54</v>
      </c>
      <c r="G1610" t="s">
        <v>39</v>
      </c>
      <c r="H1610">
        <v>180000</v>
      </c>
      <c r="I1610">
        <v>1</v>
      </c>
      <c r="J1610" t="s">
        <v>58</v>
      </c>
      <c r="K1610">
        <f t="shared" si="25"/>
        <v>144000</v>
      </c>
    </row>
    <row r="1611" spans="1:11">
      <c r="A1611" t="s">
        <v>61</v>
      </c>
      <c r="B1611" t="s">
        <v>44</v>
      </c>
      <c r="C1611" t="s">
        <v>53</v>
      </c>
      <c r="D1611" t="s">
        <v>29</v>
      </c>
      <c r="E1611" t="s">
        <v>30</v>
      </c>
      <c r="F1611" t="s">
        <v>62</v>
      </c>
      <c r="G1611" t="s">
        <v>51</v>
      </c>
      <c r="H1611">
        <v>150000</v>
      </c>
      <c r="I1611">
        <v>3</v>
      </c>
      <c r="J1611" t="s">
        <v>58</v>
      </c>
      <c r="K1611">
        <f t="shared" si="25"/>
        <v>120000</v>
      </c>
    </row>
    <row r="1612" spans="1:11">
      <c r="A1612" t="s">
        <v>167</v>
      </c>
      <c r="B1612" t="s">
        <v>44</v>
      </c>
      <c r="C1612" t="s">
        <v>45</v>
      </c>
      <c r="D1612" t="s">
        <v>41</v>
      </c>
      <c r="E1612" t="s">
        <v>37</v>
      </c>
      <c r="F1612" t="s">
        <v>54</v>
      </c>
      <c r="G1612" t="s">
        <v>39</v>
      </c>
      <c r="H1612">
        <v>180000</v>
      </c>
      <c r="I1612">
        <v>3</v>
      </c>
      <c r="J1612" t="s">
        <v>47</v>
      </c>
      <c r="K1612">
        <f t="shared" si="25"/>
        <v>144000</v>
      </c>
    </row>
    <row r="1613" spans="1:11">
      <c r="A1613" t="s">
        <v>80</v>
      </c>
      <c r="B1613" t="s">
        <v>49</v>
      </c>
      <c r="C1613" t="s">
        <v>45</v>
      </c>
      <c r="D1613" t="s">
        <v>29</v>
      </c>
      <c r="E1613" t="s">
        <v>30</v>
      </c>
      <c r="F1613" t="s">
        <v>62</v>
      </c>
      <c r="G1613" t="s">
        <v>51</v>
      </c>
      <c r="H1613">
        <v>150000</v>
      </c>
      <c r="I1613">
        <v>5</v>
      </c>
      <c r="J1613" t="s">
        <v>42</v>
      </c>
      <c r="K1613">
        <f t="shared" si="25"/>
        <v>120000</v>
      </c>
    </row>
    <row r="1614" spans="1:11">
      <c r="A1614" t="s">
        <v>91</v>
      </c>
      <c r="B1614" t="s">
        <v>35</v>
      </c>
      <c r="C1614" t="s">
        <v>53</v>
      </c>
      <c r="D1614" t="s">
        <v>41</v>
      </c>
      <c r="E1614" t="s">
        <v>30</v>
      </c>
      <c r="F1614" t="s">
        <v>46</v>
      </c>
      <c r="G1614" t="s">
        <v>39</v>
      </c>
      <c r="H1614">
        <v>60000</v>
      </c>
      <c r="I1614">
        <v>8</v>
      </c>
      <c r="J1614" t="s">
        <v>42</v>
      </c>
      <c r="K1614">
        <f t="shared" si="25"/>
        <v>48000</v>
      </c>
    </row>
    <row r="1615" spans="1:11">
      <c r="A1615" t="s">
        <v>177</v>
      </c>
      <c r="B1615" t="s">
        <v>35</v>
      </c>
      <c r="C1615" t="s">
        <v>28</v>
      </c>
      <c r="D1615" t="s">
        <v>29</v>
      </c>
      <c r="E1615" t="s">
        <v>37</v>
      </c>
      <c r="F1615" t="s">
        <v>71</v>
      </c>
      <c r="G1615" t="s">
        <v>51</v>
      </c>
      <c r="H1615">
        <v>250000</v>
      </c>
      <c r="I1615">
        <v>5</v>
      </c>
      <c r="J1615" t="s">
        <v>42</v>
      </c>
      <c r="K1615">
        <f t="shared" si="25"/>
        <v>200000</v>
      </c>
    </row>
    <row r="1616" spans="1:11">
      <c r="A1616" t="s">
        <v>43</v>
      </c>
      <c r="B1616" t="s">
        <v>35</v>
      </c>
      <c r="C1616" t="s">
        <v>45</v>
      </c>
      <c r="D1616" t="s">
        <v>29</v>
      </c>
      <c r="E1616" t="s">
        <v>30</v>
      </c>
      <c r="F1616" t="s">
        <v>54</v>
      </c>
      <c r="G1616" t="s">
        <v>39</v>
      </c>
      <c r="H1616">
        <v>180000</v>
      </c>
      <c r="I1616">
        <v>3</v>
      </c>
      <c r="J1616" t="s">
        <v>33</v>
      </c>
      <c r="K1616">
        <f t="shared" si="25"/>
        <v>144000</v>
      </c>
    </row>
    <row r="1617" spans="1:11">
      <c r="A1617" t="s">
        <v>66</v>
      </c>
      <c r="B1617" t="s">
        <v>49</v>
      </c>
      <c r="C1617" t="s">
        <v>28</v>
      </c>
      <c r="D1617" t="s">
        <v>41</v>
      </c>
      <c r="E1617" t="s">
        <v>30</v>
      </c>
      <c r="F1617" t="s">
        <v>56</v>
      </c>
      <c r="G1617" t="s">
        <v>32</v>
      </c>
      <c r="H1617">
        <v>320000</v>
      </c>
      <c r="I1617">
        <v>9</v>
      </c>
      <c r="J1617" t="s">
        <v>33</v>
      </c>
      <c r="K1617">
        <f t="shared" si="25"/>
        <v>256000</v>
      </c>
    </row>
    <row r="1618" spans="1:11">
      <c r="A1618" t="s">
        <v>111</v>
      </c>
      <c r="B1618" t="s">
        <v>27</v>
      </c>
      <c r="C1618" t="s">
        <v>28</v>
      </c>
      <c r="D1618" t="s">
        <v>41</v>
      </c>
      <c r="E1618" t="s">
        <v>37</v>
      </c>
      <c r="F1618" t="s">
        <v>31</v>
      </c>
      <c r="G1618" t="s">
        <v>32</v>
      </c>
      <c r="H1618">
        <v>85000</v>
      </c>
      <c r="I1618">
        <v>5</v>
      </c>
      <c r="J1618" t="s">
        <v>47</v>
      </c>
      <c r="K1618">
        <f t="shared" si="25"/>
        <v>68000</v>
      </c>
    </row>
    <row r="1619" spans="1:11">
      <c r="A1619" t="s">
        <v>160</v>
      </c>
      <c r="B1619" t="s">
        <v>44</v>
      </c>
      <c r="C1619" t="s">
        <v>36</v>
      </c>
      <c r="D1619" t="s">
        <v>29</v>
      </c>
      <c r="E1619" t="s">
        <v>30</v>
      </c>
      <c r="F1619" t="s">
        <v>73</v>
      </c>
      <c r="G1619" t="s">
        <v>39</v>
      </c>
      <c r="H1619">
        <v>220000</v>
      </c>
      <c r="I1619">
        <v>1</v>
      </c>
      <c r="J1619" t="s">
        <v>65</v>
      </c>
      <c r="K1619">
        <f t="shared" si="25"/>
        <v>176000</v>
      </c>
    </row>
    <row r="1620" spans="1:11">
      <c r="A1620" t="s">
        <v>151</v>
      </c>
      <c r="B1620" t="s">
        <v>35</v>
      </c>
      <c r="C1620" t="s">
        <v>36</v>
      </c>
      <c r="D1620" t="s">
        <v>29</v>
      </c>
      <c r="E1620" t="s">
        <v>37</v>
      </c>
      <c r="F1620" t="s">
        <v>54</v>
      </c>
      <c r="G1620" t="s">
        <v>39</v>
      </c>
      <c r="H1620">
        <v>180000</v>
      </c>
      <c r="I1620">
        <v>2</v>
      </c>
      <c r="J1620" t="s">
        <v>47</v>
      </c>
      <c r="K1620">
        <f t="shared" si="25"/>
        <v>144000</v>
      </c>
    </row>
    <row r="1621" spans="1:11">
      <c r="A1621" t="s">
        <v>87</v>
      </c>
      <c r="B1621" t="s">
        <v>35</v>
      </c>
      <c r="C1621" t="s">
        <v>36</v>
      </c>
      <c r="D1621" t="s">
        <v>41</v>
      </c>
      <c r="E1621" t="s">
        <v>37</v>
      </c>
      <c r="F1621" t="s">
        <v>62</v>
      </c>
      <c r="G1621" t="s">
        <v>51</v>
      </c>
      <c r="H1621">
        <v>150000</v>
      </c>
      <c r="I1621">
        <v>1</v>
      </c>
      <c r="J1621" t="s">
        <v>58</v>
      </c>
      <c r="K1621">
        <f t="shared" si="25"/>
        <v>120000</v>
      </c>
    </row>
    <row r="1622" spans="1:11">
      <c r="A1622" t="s">
        <v>105</v>
      </c>
      <c r="B1622" t="s">
        <v>27</v>
      </c>
      <c r="C1622" t="s">
        <v>45</v>
      </c>
      <c r="D1622" t="s">
        <v>29</v>
      </c>
      <c r="E1622" t="s">
        <v>37</v>
      </c>
      <c r="F1622" t="s">
        <v>54</v>
      </c>
      <c r="G1622" t="s">
        <v>39</v>
      </c>
      <c r="H1622">
        <v>180000</v>
      </c>
      <c r="I1622">
        <v>2</v>
      </c>
      <c r="J1622" t="s">
        <v>42</v>
      </c>
      <c r="K1622">
        <f t="shared" si="25"/>
        <v>144000</v>
      </c>
    </row>
    <row r="1623" spans="1:11">
      <c r="A1623" t="s">
        <v>76</v>
      </c>
      <c r="B1623" t="s">
        <v>49</v>
      </c>
      <c r="C1623" t="s">
        <v>53</v>
      </c>
      <c r="D1623" t="s">
        <v>41</v>
      </c>
      <c r="E1623" t="s">
        <v>30</v>
      </c>
      <c r="F1623" t="s">
        <v>56</v>
      </c>
      <c r="G1623" t="s">
        <v>32</v>
      </c>
      <c r="H1623">
        <v>320000</v>
      </c>
      <c r="I1623">
        <v>4</v>
      </c>
      <c r="J1623" t="s">
        <v>69</v>
      </c>
      <c r="K1623">
        <f t="shared" si="25"/>
        <v>256000</v>
      </c>
    </row>
    <row r="1624" spans="1:11">
      <c r="A1624" t="s">
        <v>126</v>
      </c>
      <c r="B1624" t="s">
        <v>49</v>
      </c>
      <c r="C1624" t="s">
        <v>53</v>
      </c>
      <c r="D1624" t="s">
        <v>29</v>
      </c>
      <c r="E1624" t="s">
        <v>37</v>
      </c>
      <c r="F1624" t="s">
        <v>62</v>
      </c>
      <c r="G1624" t="s">
        <v>51</v>
      </c>
      <c r="H1624">
        <v>150000</v>
      </c>
      <c r="I1624">
        <v>10</v>
      </c>
      <c r="J1624" t="s">
        <v>33</v>
      </c>
      <c r="K1624">
        <f t="shared" si="25"/>
        <v>120000</v>
      </c>
    </row>
    <row r="1625" spans="1:11">
      <c r="A1625" t="s">
        <v>154</v>
      </c>
      <c r="B1625" t="s">
        <v>44</v>
      </c>
      <c r="C1625" t="s">
        <v>45</v>
      </c>
      <c r="D1625" t="s">
        <v>41</v>
      </c>
      <c r="E1625" t="s">
        <v>37</v>
      </c>
      <c r="F1625" t="s">
        <v>38</v>
      </c>
      <c r="G1625" t="s">
        <v>39</v>
      </c>
      <c r="H1625">
        <v>30000</v>
      </c>
      <c r="I1625">
        <v>3</v>
      </c>
      <c r="J1625" t="s">
        <v>58</v>
      </c>
      <c r="K1625">
        <f t="shared" si="25"/>
        <v>24000</v>
      </c>
    </row>
    <row r="1626" spans="1:11">
      <c r="A1626" t="s">
        <v>59</v>
      </c>
      <c r="B1626" t="s">
        <v>44</v>
      </c>
      <c r="C1626" t="s">
        <v>45</v>
      </c>
      <c r="D1626" t="s">
        <v>29</v>
      </c>
      <c r="E1626" t="s">
        <v>37</v>
      </c>
      <c r="F1626" t="s">
        <v>31</v>
      </c>
      <c r="G1626" t="s">
        <v>32</v>
      </c>
      <c r="H1626">
        <v>85000</v>
      </c>
      <c r="I1626">
        <v>4</v>
      </c>
      <c r="J1626" t="s">
        <v>58</v>
      </c>
      <c r="K1626">
        <f t="shared" si="25"/>
        <v>68000</v>
      </c>
    </row>
    <row r="1627" spans="1:11">
      <c r="A1627" t="s">
        <v>64</v>
      </c>
      <c r="B1627" t="s">
        <v>27</v>
      </c>
      <c r="C1627" t="s">
        <v>53</v>
      </c>
      <c r="D1627" t="s">
        <v>29</v>
      </c>
      <c r="E1627" t="s">
        <v>37</v>
      </c>
      <c r="F1627" t="s">
        <v>54</v>
      </c>
      <c r="G1627" t="s">
        <v>39</v>
      </c>
      <c r="H1627">
        <v>180000</v>
      </c>
      <c r="I1627">
        <v>10</v>
      </c>
      <c r="J1627" t="s">
        <v>58</v>
      </c>
      <c r="K1627">
        <f t="shared" si="25"/>
        <v>144000</v>
      </c>
    </row>
    <row r="1628" spans="1:11">
      <c r="A1628" t="s">
        <v>164</v>
      </c>
      <c r="B1628" t="s">
        <v>27</v>
      </c>
      <c r="C1628" t="s">
        <v>36</v>
      </c>
      <c r="D1628" t="s">
        <v>41</v>
      </c>
      <c r="E1628" t="s">
        <v>37</v>
      </c>
      <c r="F1628" t="s">
        <v>56</v>
      </c>
      <c r="G1628" t="s">
        <v>32</v>
      </c>
      <c r="H1628">
        <v>320000</v>
      </c>
      <c r="I1628">
        <v>9</v>
      </c>
      <c r="J1628" t="s">
        <v>65</v>
      </c>
      <c r="K1628">
        <f t="shared" si="25"/>
        <v>256000</v>
      </c>
    </row>
    <row r="1629" spans="1:11">
      <c r="A1629" t="s">
        <v>78</v>
      </c>
      <c r="B1629" t="s">
        <v>44</v>
      </c>
      <c r="C1629" t="s">
        <v>36</v>
      </c>
      <c r="D1629" t="s">
        <v>41</v>
      </c>
      <c r="E1629" t="s">
        <v>30</v>
      </c>
      <c r="F1629" t="s">
        <v>62</v>
      </c>
      <c r="G1629" t="s">
        <v>51</v>
      </c>
      <c r="H1629">
        <v>150000</v>
      </c>
      <c r="I1629">
        <v>3</v>
      </c>
      <c r="J1629" t="s">
        <v>69</v>
      </c>
      <c r="K1629">
        <f t="shared" si="25"/>
        <v>120000</v>
      </c>
    </row>
    <row r="1630" spans="1:11">
      <c r="A1630" t="s">
        <v>163</v>
      </c>
      <c r="B1630" t="s">
        <v>49</v>
      </c>
      <c r="C1630" t="s">
        <v>36</v>
      </c>
      <c r="D1630" t="s">
        <v>29</v>
      </c>
      <c r="E1630" t="s">
        <v>30</v>
      </c>
      <c r="F1630" t="s">
        <v>73</v>
      </c>
      <c r="G1630" t="s">
        <v>39</v>
      </c>
      <c r="H1630">
        <v>220000</v>
      </c>
      <c r="I1630">
        <v>5</v>
      </c>
      <c r="J1630" t="s">
        <v>69</v>
      </c>
      <c r="K1630">
        <f t="shared" si="25"/>
        <v>176000</v>
      </c>
    </row>
    <row r="1631" spans="1:11">
      <c r="A1631" t="s">
        <v>176</v>
      </c>
      <c r="B1631" t="s">
        <v>49</v>
      </c>
      <c r="C1631" t="s">
        <v>53</v>
      </c>
      <c r="D1631" t="s">
        <v>41</v>
      </c>
      <c r="E1631" t="s">
        <v>37</v>
      </c>
      <c r="F1631" t="s">
        <v>50</v>
      </c>
      <c r="G1631" t="s">
        <v>51</v>
      </c>
      <c r="H1631">
        <v>300000</v>
      </c>
      <c r="I1631">
        <v>2</v>
      </c>
      <c r="J1631" t="s">
        <v>33</v>
      </c>
      <c r="K1631">
        <f t="shared" si="25"/>
        <v>240000</v>
      </c>
    </row>
    <row r="1632" spans="1:11">
      <c r="A1632" t="s">
        <v>117</v>
      </c>
      <c r="B1632" t="s">
        <v>35</v>
      </c>
      <c r="C1632" t="s">
        <v>28</v>
      </c>
      <c r="D1632" t="s">
        <v>41</v>
      </c>
      <c r="E1632" t="s">
        <v>30</v>
      </c>
      <c r="F1632" t="s">
        <v>50</v>
      </c>
      <c r="G1632" t="s">
        <v>51</v>
      </c>
      <c r="H1632">
        <v>300000</v>
      </c>
      <c r="I1632">
        <v>6</v>
      </c>
      <c r="J1632" t="s">
        <v>69</v>
      </c>
      <c r="K1632">
        <f t="shared" si="25"/>
        <v>240000</v>
      </c>
    </row>
    <row r="1633" spans="1:11">
      <c r="A1633" t="s">
        <v>87</v>
      </c>
      <c r="B1633" t="s">
        <v>49</v>
      </c>
      <c r="C1633" t="s">
        <v>53</v>
      </c>
      <c r="D1633" t="s">
        <v>41</v>
      </c>
      <c r="E1633" t="s">
        <v>30</v>
      </c>
      <c r="F1633" t="s">
        <v>54</v>
      </c>
      <c r="G1633" t="s">
        <v>39</v>
      </c>
      <c r="H1633">
        <v>180000</v>
      </c>
      <c r="I1633">
        <v>7</v>
      </c>
      <c r="J1633" t="s">
        <v>69</v>
      </c>
      <c r="K1633">
        <f t="shared" si="25"/>
        <v>144000</v>
      </c>
    </row>
    <row r="1634" spans="1:11">
      <c r="A1634" t="s">
        <v>120</v>
      </c>
      <c r="B1634" t="s">
        <v>27</v>
      </c>
      <c r="C1634" t="s">
        <v>45</v>
      </c>
      <c r="D1634" t="s">
        <v>41</v>
      </c>
      <c r="E1634" t="s">
        <v>37</v>
      </c>
      <c r="F1634" t="s">
        <v>56</v>
      </c>
      <c r="G1634" t="s">
        <v>32</v>
      </c>
      <c r="H1634">
        <v>320000</v>
      </c>
      <c r="I1634">
        <v>6</v>
      </c>
      <c r="J1634" t="s">
        <v>33</v>
      </c>
      <c r="K1634">
        <f t="shared" si="25"/>
        <v>256000</v>
      </c>
    </row>
    <row r="1635" spans="1:11">
      <c r="A1635" t="s">
        <v>87</v>
      </c>
      <c r="B1635" t="s">
        <v>49</v>
      </c>
      <c r="C1635" t="s">
        <v>36</v>
      </c>
      <c r="D1635" t="s">
        <v>29</v>
      </c>
      <c r="E1635" t="s">
        <v>37</v>
      </c>
      <c r="F1635" t="s">
        <v>71</v>
      </c>
      <c r="G1635" t="s">
        <v>51</v>
      </c>
      <c r="H1635">
        <v>250000</v>
      </c>
      <c r="I1635">
        <v>5</v>
      </c>
      <c r="J1635" t="s">
        <v>58</v>
      </c>
      <c r="K1635">
        <f t="shared" si="25"/>
        <v>200000</v>
      </c>
    </row>
    <row r="1636" spans="1:11">
      <c r="A1636" t="s">
        <v>139</v>
      </c>
      <c r="B1636" t="s">
        <v>27</v>
      </c>
      <c r="C1636" t="s">
        <v>36</v>
      </c>
      <c r="D1636" t="s">
        <v>29</v>
      </c>
      <c r="E1636" t="s">
        <v>30</v>
      </c>
      <c r="F1636" t="s">
        <v>50</v>
      </c>
      <c r="G1636" t="s">
        <v>51</v>
      </c>
      <c r="H1636">
        <v>300000</v>
      </c>
      <c r="I1636">
        <v>3</v>
      </c>
      <c r="J1636" t="s">
        <v>69</v>
      </c>
      <c r="K1636">
        <f t="shared" si="25"/>
        <v>240000</v>
      </c>
    </row>
    <row r="1637" spans="1:11">
      <c r="A1637" t="s">
        <v>26</v>
      </c>
      <c r="B1637" t="s">
        <v>27</v>
      </c>
      <c r="C1637" t="s">
        <v>53</v>
      </c>
      <c r="D1637" t="s">
        <v>29</v>
      </c>
      <c r="E1637" t="s">
        <v>37</v>
      </c>
      <c r="F1637" t="s">
        <v>54</v>
      </c>
      <c r="G1637" t="s">
        <v>39</v>
      </c>
      <c r="H1637">
        <v>180000</v>
      </c>
      <c r="I1637">
        <v>8</v>
      </c>
      <c r="J1637" t="s">
        <v>69</v>
      </c>
      <c r="K1637">
        <f t="shared" si="25"/>
        <v>144000</v>
      </c>
    </row>
    <row r="1638" spans="1:11">
      <c r="A1638" t="s">
        <v>141</v>
      </c>
      <c r="B1638" t="s">
        <v>35</v>
      </c>
      <c r="C1638" t="s">
        <v>53</v>
      </c>
      <c r="D1638" t="s">
        <v>29</v>
      </c>
      <c r="E1638" t="s">
        <v>37</v>
      </c>
      <c r="F1638" t="s">
        <v>56</v>
      </c>
      <c r="G1638" t="s">
        <v>32</v>
      </c>
      <c r="H1638">
        <v>320000</v>
      </c>
      <c r="I1638">
        <v>5</v>
      </c>
      <c r="J1638" t="s">
        <v>42</v>
      </c>
      <c r="K1638">
        <f t="shared" si="25"/>
        <v>256000</v>
      </c>
    </row>
    <row r="1639" spans="1:11">
      <c r="A1639" t="s">
        <v>52</v>
      </c>
      <c r="B1639" t="s">
        <v>27</v>
      </c>
      <c r="C1639" t="s">
        <v>53</v>
      </c>
      <c r="D1639" t="s">
        <v>29</v>
      </c>
      <c r="E1639" t="s">
        <v>30</v>
      </c>
      <c r="F1639" t="s">
        <v>71</v>
      </c>
      <c r="G1639" t="s">
        <v>51</v>
      </c>
      <c r="H1639">
        <v>250000</v>
      </c>
      <c r="I1639">
        <v>7</v>
      </c>
      <c r="J1639" t="s">
        <v>42</v>
      </c>
      <c r="K1639">
        <f t="shared" si="25"/>
        <v>200000</v>
      </c>
    </row>
    <row r="1640" spans="1:11">
      <c r="A1640" t="s">
        <v>135</v>
      </c>
      <c r="B1640" t="s">
        <v>27</v>
      </c>
      <c r="C1640" t="s">
        <v>36</v>
      </c>
      <c r="D1640" t="s">
        <v>29</v>
      </c>
      <c r="E1640" t="s">
        <v>37</v>
      </c>
      <c r="F1640" t="s">
        <v>50</v>
      </c>
      <c r="G1640" t="s">
        <v>51</v>
      </c>
      <c r="H1640">
        <v>300000</v>
      </c>
      <c r="I1640">
        <v>8</v>
      </c>
      <c r="J1640" t="s">
        <v>33</v>
      </c>
      <c r="K1640">
        <f t="shared" si="25"/>
        <v>240000</v>
      </c>
    </row>
    <row r="1641" spans="1:11">
      <c r="A1641" t="s">
        <v>98</v>
      </c>
      <c r="B1641" t="s">
        <v>27</v>
      </c>
      <c r="C1641" t="s">
        <v>36</v>
      </c>
      <c r="D1641" t="s">
        <v>41</v>
      </c>
      <c r="E1641" t="s">
        <v>30</v>
      </c>
      <c r="F1641" t="s">
        <v>67</v>
      </c>
      <c r="G1641" t="s">
        <v>51</v>
      </c>
      <c r="H1641">
        <v>420000</v>
      </c>
      <c r="I1641">
        <v>4</v>
      </c>
      <c r="J1641" t="s">
        <v>69</v>
      </c>
      <c r="K1641">
        <f t="shared" si="25"/>
        <v>336000</v>
      </c>
    </row>
    <row r="1642" spans="1:11">
      <c r="A1642" t="s">
        <v>151</v>
      </c>
      <c r="B1642" t="s">
        <v>27</v>
      </c>
      <c r="C1642" t="s">
        <v>28</v>
      </c>
      <c r="D1642" t="s">
        <v>41</v>
      </c>
      <c r="E1642" t="s">
        <v>37</v>
      </c>
      <c r="F1642" t="s">
        <v>71</v>
      </c>
      <c r="G1642" t="s">
        <v>51</v>
      </c>
      <c r="H1642">
        <v>250000</v>
      </c>
      <c r="I1642">
        <v>6</v>
      </c>
      <c r="J1642" t="s">
        <v>47</v>
      </c>
      <c r="K1642">
        <f t="shared" si="25"/>
        <v>200000</v>
      </c>
    </row>
    <row r="1643" spans="1:11">
      <c r="A1643" t="s">
        <v>95</v>
      </c>
      <c r="B1643" t="s">
        <v>35</v>
      </c>
      <c r="C1643" t="s">
        <v>53</v>
      </c>
      <c r="D1643" t="s">
        <v>29</v>
      </c>
      <c r="E1643" t="s">
        <v>30</v>
      </c>
      <c r="F1643" t="s">
        <v>62</v>
      </c>
      <c r="G1643" t="s">
        <v>51</v>
      </c>
      <c r="H1643">
        <v>150000</v>
      </c>
      <c r="I1643">
        <v>3</v>
      </c>
      <c r="J1643" t="s">
        <v>47</v>
      </c>
      <c r="K1643">
        <f t="shared" si="25"/>
        <v>120000</v>
      </c>
    </row>
    <row r="1644" spans="1:11">
      <c r="A1644" t="s">
        <v>151</v>
      </c>
      <c r="B1644" t="s">
        <v>49</v>
      </c>
      <c r="C1644" t="s">
        <v>28</v>
      </c>
      <c r="D1644" t="s">
        <v>41</v>
      </c>
      <c r="E1644" t="s">
        <v>37</v>
      </c>
      <c r="F1644" t="s">
        <v>50</v>
      </c>
      <c r="G1644" t="s">
        <v>51</v>
      </c>
      <c r="H1644">
        <v>300000</v>
      </c>
      <c r="I1644">
        <v>6</v>
      </c>
      <c r="J1644" t="s">
        <v>65</v>
      </c>
      <c r="K1644">
        <f t="shared" si="25"/>
        <v>240000</v>
      </c>
    </row>
    <row r="1645" spans="1:11">
      <c r="A1645" t="s">
        <v>61</v>
      </c>
      <c r="B1645" t="s">
        <v>44</v>
      </c>
      <c r="C1645" t="s">
        <v>28</v>
      </c>
      <c r="D1645" t="s">
        <v>29</v>
      </c>
      <c r="E1645" t="s">
        <v>37</v>
      </c>
      <c r="F1645" t="s">
        <v>54</v>
      </c>
      <c r="G1645" t="s">
        <v>39</v>
      </c>
      <c r="H1645">
        <v>180000</v>
      </c>
      <c r="I1645">
        <v>2</v>
      </c>
      <c r="J1645" t="s">
        <v>47</v>
      </c>
      <c r="K1645">
        <f t="shared" si="25"/>
        <v>144000</v>
      </c>
    </row>
    <row r="1646" spans="1:11">
      <c r="A1646" t="s">
        <v>91</v>
      </c>
      <c r="B1646" t="s">
        <v>35</v>
      </c>
      <c r="C1646" t="s">
        <v>36</v>
      </c>
      <c r="D1646" t="s">
        <v>41</v>
      </c>
      <c r="E1646" t="s">
        <v>37</v>
      </c>
      <c r="F1646" t="s">
        <v>62</v>
      </c>
      <c r="G1646" t="s">
        <v>51</v>
      </c>
      <c r="H1646">
        <v>150000</v>
      </c>
      <c r="I1646">
        <v>6</v>
      </c>
      <c r="J1646" t="s">
        <v>42</v>
      </c>
      <c r="K1646">
        <f t="shared" si="25"/>
        <v>120000</v>
      </c>
    </row>
    <row r="1647" spans="1:11">
      <c r="A1647" t="s">
        <v>109</v>
      </c>
      <c r="B1647" t="s">
        <v>44</v>
      </c>
      <c r="C1647" t="s">
        <v>45</v>
      </c>
      <c r="D1647" t="s">
        <v>29</v>
      </c>
      <c r="E1647" t="s">
        <v>37</v>
      </c>
      <c r="F1647" t="s">
        <v>46</v>
      </c>
      <c r="G1647" t="s">
        <v>39</v>
      </c>
      <c r="H1647">
        <v>60000</v>
      </c>
      <c r="I1647">
        <v>8</v>
      </c>
      <c r="J1647" t="s">
        <v>65</v>
      </c>
      <c r="K1647">
        <f t="shared" si="25"/>
        <v>48000</v>
      </c>
    </row>
    <row r="1648" spans="1:11">
      <c r="A1648" t="s">
        <v>102</v>
      </c>
      <c r="B1648" t="s">
        <v>27</v>
      </c>
      <c r="C1648" t="s">
        <v>36</v>
      </c>
      <c r="D1648" t="s">
        <v>29</v>
      </c>
      <c r="E1648" t="s">
        <v>37</v>
      </c>
      <c r="F1648" t="s">
        <v>73</v>
      </c>
      <c r="G1648" t="s">
        <v>39</v>
      </c>
      <c r="H1648">
        <v>220000</v>
      </c>
      <c r="I1648">
        <v>9</v>
      </c>
      <c r="J1648" t="s">
        <v>47</v>
      </c>
      <c r="K1648">
        <f t="shared" si="25"/>
        <v>176000</v>
      </c>
    </row>
    <row r="1649" spans="1:11">
      <c r="A1649" t="s">
        <v>128</v>
      </c>
      <c r="B1649" t="s">
        <v>49</v>
      </c>
      <c r="C1649" t="s">
        <v>53</v>
      </c>
      <c r="D1649" t="s">
        <v>41</v>
      </c>
      <c r="E1649" t="s">
        <v>30</v>
      </c>
      <c r="F1649" t="s">
        <v>50</v>
      </c>
      <c r="G1649" t="s">
        <v>51</v>
      </c>
      <c r="H1649">
        <v>300000</v>
      </c>
      <c r="I1649">
        <v>9</v>
      </c>
      <c r="J1649" t="s">
        <v>58</v>
      </c>
      <c r="K1649">
        <f t="shared" si="25"/>
        <v>240000</v>
      </c>
    </row>
    <row r="1650" spans="1:11">
      <c r="A1650" t="s">
        <v>158</v>
      </c>
      <c r="B1650" t="s">
        <v>27</v>
      </c>
      <c r="C1650" t="s">
        <v>53</v>
      </c>
      <c r="D1650" t="s">
        <v>29</v>
      </c>
      <c r="E1650" t="s">
        <v>30</v>
      </c>
      <c r="F1650" t="s">
        <v>67</v>
      </c>
      <c r="G1650" t="s">
        <v>51</v>
      </c>
      <c r="H1650">
        <v>420000</v>
      </c>
      <c r="I1650">
        <v>1</v>
      </c>
      <c r="J1650" t="s">
        <v>65</v>
      </c>
      <c r="K1650">
        <f t="shared" si="25"/>
        <v>336000</v>
      </c>
    </row>
    <row r="1651" spans="1:11">
      <c r="A1651" t="s">
        <v>105</v>
      </c>
      <c r="B1651" t="s">
        <v>44</v>
      </c>
      <c r="C1651" t="s">
        <v>53</v>
      </c>
      <c r="D1651" t="s">
        <v>29</v>
      </c>
      <c r="E1651" t="s">
        <v>37</v>
      </c>
      <c r="F1651" t="s">
        <v>73</v>
      </c>
      <c r="G1651" t="s">
        <v>39</v>
      </c>
      <c r="H1651">
        <v>220000</v>
      </c>
      <c r="I1651">
        <v>6</v>
      </c>
      <c r="J1651" t="s">
        <v>58</v>
      </c>
      <c r="K1651">
        <f t="shared" si="25"/>
        <v>176000</v>
      </c>
    </row>
    <row r="1652" spans="1:11">
      <c r="A1652" t="s">
        <v>87</v>
      </c>
      <c r="B1652" t="s">
        <v>27</v>
      </c>
      <c r="C1652" t="s">
        <v>36</v>
      </c>
      <c r="D1652" t="s">
        <v>29</v>
      </c>
      <c r="E1652" t="s">
        <v>37</v>
      </c>
      <c r="F1652" t="s">
        <v>38</v>
      </c>
      <c r="G1652" t="s">
        <v>39</v>
      </c>
      <c r="H1652">
        <v>30000</v>
      </c>
      <c r="I1652">
        <v>5</v>
      </c>
      <c r="J1652" t="s">
        <v>47</v>
      </c>
      <c r="K1652">
        <f t="shared" si="25"/>
        <v>24000</v>
      </c>
    </row>
    <row r="1653" spans="1:11">
      <c r="A1653" t="s">
        <v>173</v>
      </c>
      <c r="B1653" t="s">
        <v>49</v>
      </c>
      <c r="C1653" t="s">
        <v>45</v>
      </c>
      <c r="D1653" t="s">
        <v>41</v>
      </c>
      <c r="E1653" t="s">
        <v>30</v>
      </c>
      <c r="F1653" t="s">
        <v>38</v>
      </c>
      <c r="G1653" t="s">
        <v>39</v>
      </c>
      <c r="H1653">
        <v>30000</v>
      </c>
      <c r="I1653">
        <v>9</v>
      </c>
      <c r="J1653" t="s">
        <v>47</v>
      </c>
      <c r="K1653">
        <f t="shared" si="25"/>
        <v>24000</v>
      </c>
    </row>
    <row r="1654" spans="1:11">
      <c r="A1654" t="s">
        <v>91</v>
      </c>
      <c r="B1654" t="s">
        <v>44</v>
      </c>
      <c r="C1654" t="s">
        <v>28</v>
      </c>
      <c r="D1654" t="s">
        <v>29</v>
      </c>
      <c r="E1654" t="s">
        <v>30</v>
      </c>
      <c r="F1654" t="s">
        <v>71</v>
      </c>
      <c r="G1654" t="s">
        <v>51</v>
      </c>
      <c r="H1654">
        <v>250000</v>
      </c>
      <c r="I1654">
        <v>1</v>
      </c>
      <c r="J1654" t="s">
        <v>58</v>
      </c>
      <c r="K1654">
        <f t="shared" si="25"/>
        <v>200000</v>
      </c>
    </row>
    <row r="1655" spans="1:11">
      <c r="A1655" t="s">
        <v>81</v>
      </c>
      <c r="B1655" t="s">
        <v>44</v>
      </c>
      <c r="C1655" t="s">
        <v>53</v>
      </c>
      <c r="D1655" t="s">
        <v>29</v>
      </c>
      <c r="E1655" t="s">
        <v>30</v>
      </c>
      <c r="F1655" t="s">
        <v>73</v>
      </c>
      <c r="G1655" t="s">
        <v>39</v>
      </c>
      <c r="H1655">
        <v>220000</v>
      </c>
      <c r="I1655">
        <v>8</v>
      </c>
      <c r="J1655" t="s">
        <v>42</v>
      </c>
      <c r="K1655">
        <f t="shared" si="25"/>
        <v>176000</v>
      </c>
    </row>
    <row r="1656" spans="1:11">
      <c r="A1656" t="s">
        <v>154</v>
      </c>
      <c r="B1656" t="s">
        <v>35</v>
      </c>
      <c r="C1656" t="s">
        <v>36</v>
      </c>
      <c r="D1656" t="s">
        <v>29</v>
      </c>
      <c r="E1656" t="s">
        <v>30</v>
      </c>
      <c r="F1656" t="s">
        <v>67</v>
      </c>
      <c r="G1656" t="s">
        <v>51</v>
      </c>
      <c r="H1656">
        <v>420000</v>
      </c>
      <c r="I1656">
        <v>8</v>
      </c>
      <c r="J1656" t="s">
        <v>69</v>
      </c>
      <c r="K1656">
        <f t="shared" si="25"/>
        <v>336000</v>
      </c>
    </row>
    <row r="1657" spans="1:11">
      <c r="A1657" t="s">
        <v>171</v>
      </c>
      <c r="B1657" t="s">
        <v>49</v>
      </c>
      <c r="C1657" t="s">
        <v>45</v>
      </c>
      <c r="D1657" t="s">
        <v>29</v>
      </c>
      <c r="E1657" t="s">
        <v>30</v>
      </c>
      <c r="F1657" t="s">
        <v>50</v>
      </c>
      <c r="G1657" t="s">
        <v>51</v>
      </c>
      <c r="H1657">
        <v>300000</v>
      </c>
      <c r="I1657">
        <v>10</v>
      </c>
      <c r="J1657" t="s">
        <v>58</v>
      </c>
      <c r="K1657">
        <f t="shared" si="25"/>
        <v>240000</v>
      </c>
    </row>
    <row r="1658" spans="1:11">
      <c r="A1658" t="s">
        <v>138</v>
      </c>
      <c r="B1658" t="s">
        <v>49</v>
      </c>
      <c r="C1658" t="s">
        <v>53</v>
      </c>
      <c r="D1658" t="s">
        <v>29</v>
      </c>
      <c r="E1658" t="s">
        <v>30</v>
      </c>
      <c r="F1658" t="s">
        <v>62</v>
      </c>
      <c r="G1658" t="s">
        <v>51</v>
      </c>
      <c r="H1658">
        <v>150000</v>
      </c>
      <c r="I1658">
        <v>1</v>
      </c>
      <c r="J1658" t="s">
        <v>58</v>
      </c>
      <c r="K1658">
        <f t="shared" si="25"/>
        <v>120000</v>
      </c>
    </row>
    <row r="1659" spans="1:11">
      <c r="A1659" t="s">
        <v>139</v>
      </c>
      <c r="B1659" t="s">
        <v>49</v>
      </c>
      <c r="C1659" t="s">
        <v>53</v>
      </c>
      <c r="D1659" t="s">
        <v>29</v>
      </c>
      <c r="E1659" t="s">
        <v>37</v>
      </c>
      <c r="F1659" t="s">
        <v>73</v>
      </c>
      <c r="G1659" t="s">
        <v>39</v>
      </c>
      <c r="H1659">
        <v>220000</v>
      </c>
      <c r="I1659">
        <v>6</v>
      </c>
      <c r="J1659" t="s">
        <v>47</v>
      </c>
      <c r="K1659">
        <f t="shared" si="25"/>
        <v>176000</v>
      </c>
    </row>
    <row r="1660" spans="1:11">
      <c r="A1660" t="s">
        <v>100</v>
      </c>
      <c r="B1660" t="s">
        <v>49</v>
      </c>
      <c r="C1660" t="s">
        <v>36</v>
      </c>
      <c r="D1660" t="s">
        <v>41</v>
      </c>
      <c r="E1660" t="s">
        <v>30</v>
      </c>
      <c r="F1660" t="s">
        <v>54</v>
      </c>
      <c r="G1660" t="s">
        <v>39</v>
      </c>
      <c r="H1660">
        <v>180000</v>
      </c>
      <c r="I1660">
        <v>3</v>
      </c>
      <c r="J1660" t="s">
        <v>69</v>
      </c>
      <c r="K1660">
        <f t="shared" si="25"/>
        <v>144000</v>
      </c>
    </row>
    <row r="1661" spans="1:11">
      <c r="A1661" t="s">
        <v>63</v>
      </c>
      <c r="B1661" t="s">
        <v>49</v>
      </c>
      <c r="C1661" t="s">
        <v>28</v>
      </c>
      <c r="D1661" t="s">
        <v>29</v>
      </c>
      <c r="E1661" t="s">
        <v>37</v>
      </c>
      <c r="F1661" t="s">
        <v>46</v>
      </c>
      <c r="G1661" t="s">
        <v>39</v>
      </c>
      <c r="H1661">
        <v>60000</v>
      </c>
      <c r="I1661">
        <v>10</v>
      </c>
      <c r="J1661" t="s">
        <v>58</v>
      </c>
      <c r="K1661">
        <f t="shared" si="25"/>
        <v>48000</v>
      </c>
    </row>
    <row r="1662" spans="1:11">
      <c r="A1662" t="s">
        <v>106</v>
      </c>
      <c r="B1662" t="s">
        <v>44</v>
      </c>
      <c r="C1662" t="s">
        <v>28</v>
      </c>
      <c r="D1662" t="s">
        <v>41</v>
      </c>
      <c r="E1662" t="s">
        <v>30</v>
      </c>
      <c r="F1662" t="s">
        <v>73</v>
      </c>
      <c r="G1662" t="s">
        <v>39</v>
      </c>
      <c r="H1662">
        <v>220000</v>
      </c>
      <c r="I1662">
        <v>1</v>
      </c>
      <c r="J1662" t="s">
        <v>65</v>
      </c>
      <c r="K1662">
        <f t="shared" si="25"/>
        <v>176000</v>
      </c>
    </row>
    <row r="1663" spans="1:11">
      <c r="A1663" t="s">
        <v>116</v>
      </c>
      <c r="B1663" t="s">
        <v>49</v>
      </c>
      <c r="C1663" t="s">
        <v>45</v>
      </c>
      <c r="D1663" t="s">
        <v>29</v>
      </c>
      <c r="E1663" t="s">
        <v>37</v>
      </c>
      <c r="F1663" t="s">
        <v>71</v>
      </c>
      <c r="G1663" t="s">
        <v>51</v>
      </c>
      <c r="H1663">
        <v>250000</v>
      </c>
      <c r="I1663">
        <v>5</v>
      </c>
      <c r="J1663" t="s">
        <v>47</v>
      </c>
      <c r="K1663">
        <f t="shared" si="25"/>
        <v>200000</v>
      </c>
    </row>
    <row r="1664" spans="1:11">
      <c r="A1664" t="s">
        <v>143</v>
      </c>
      <c r="B1664" t="s">
        <v>44</v>
      </c>
      <c r="C1664" t="s">
        <v>36</v>
      </c>
      <c r="D1664" t="s">
        <v>41</v>
      </c>
      <c r="E1664" t="s">
        <v>37</v>
      </c>
      <c r="F1664" t="s">
        <v>71</v>
      </c>
      <c r="G1664" t="s">
        <v>51</v>
      </c>
      <c r="H1664">
        <v>250000</v>
      </c>
      <c r="I1664">
        <v>8</v>
      </c>
      <c r="J1664" t="s">
        <v>58</v>
      </c>
      <c r="K1664">
        <f t="shared" si="25"/>
        <v>200000</v>
      </c>
    </row>
    <row r="1665" spans="1:11">
      <c r="A1665" t="s">
        <v>130</v>
      </c>
      <c r="B1665" t="s">
        <v>27</v>
      </c>
      <c r="C1665" t="s">
        <v>53</v>
      </c>
      <c r="D1665" t="s">
        <v>41</v>
      </c>
      <c r="E1665" t="s">
        <v>30</v>
      </c>
      <c r="F1665" t="s">
        <v>62</v>
      </c>
      <c r="G1665" t="s">
        <v>51</v>
      </c>
      <c r="H1665">
        <v>150000</v>
      </c>
      <c r="I1665">
        <v>4</v>
      </c>
      <c r="J1665" t="s">
        <v>42</v>
      </c>
      <c r="K1665">
        <f t="shared" si="25"/>
        <v>120000</v>
      </c>
    </row>
    <row r="1666" spans="1:11">
      <c r="A1666" t="s">
        <v>153</v>
      </c>
      <c r="B1666" t="s">
        <v>44</v>
      </c>
      <c r="C1666" t="s">
        <v>36</v>
      </c>
      <c r="D1666" t="s">
        <v>29</v>
      </c>
      <c r="E1666" t="s">
        <v>30</v>
      </c>
      <c r="F1666" t="s">
        <v>73</v>
      </c>
      <c r="G1666" t="s">
        <v>39</v>
      </c>
      <c r="H1666">
        <v>220000</v>
      </c>
      <c r="I1666">
        <v>3</v>
      </c>
      <c r="J1666" t="s">
        <v>65</v>
      </c>
      <c r="K1666">
        <f t="shared" ref="K1666:K1729" si="26">H1666-H1666*0.2</f>
        <v>176000</v>
      </c>
    </row>
    <row r="1667" spans="1:11">
      <c r="A1667" t="s">
        <v>63</v>
      </c>
      <c r="B1667" t="s">
        <v>44</v>
      </c>
      <c r="C1667" t="s">
        <v>45</v>
      </c>
      <c r="D1667" t="s">
        <v>29</v>
      </c>
      <c r="E1667" t="s">
        <v>30</v>
      </c>
      <c r="F1667" t="s">
        <v>54</v>
      </c>
      <c r="G1667" t="s">
        <v>39</v>
      </c>
      <c r="H1667">
        <v>180000</v>
      </c>
      <c r="I1667">
        <v>7</v>
      </c>
      <c r="J1667" t="s">
        <v>65</v>
      </c>
      <c r="K1667">
        <f t="shared" si="26"/>
        <v>144000</v>
      </c>
    </row>
    <row r="1668" spans="1:11">
      <c r="A1668" t="s">
        <v>175</v>
      </c>
      <c r="B1668" t="s">
        <v>44</v>
      </c>
      <c r="C1668" t="s">
        <v>36</v>
      </c>
      <c r="D1668" t="s">
        <v>41</v>
      </c>
      <c r="E1668" t="s">
        <v>37</v>
      </c>
      <c r="F1668" t="s">
        <v>62</v>
      </c>
      <c r="G1668" t="s">
        <v>51</v>
      </c>
      <c r="H1668">
        <v>150000</v>
      </c>
      <c r="I1668">
        <v>4</v>
      </c>
      <c r="J1668" t="s">
        <v>58</v>
      </c>
      <c r="K1668">
        <f t="shared" si="26"/>
        <v>120000</v>
      </c>
    </row>
    <row r="1669" spans="1:11">
      <c r="A1669" t="s">
        <v>124</v>
      </c>
      <c r="B1669" t="s">
        <v>35</v>
      </c>
      <c r="C1669" t="s">
        <v>45</v>
      </c>
      <c r="D1669" t="s">
        <v>41</v>
      </c>
      <c r="E1669" t="s">
        <v>30</v>
      </c>
      <c r="F1669" t="s">
        <v>62</v>
      </c>
      <c r="G1669" t="s">
        <v>51</v>
      </c>
      <c r="H1669">
        <v>150000</v>
      </c>
      <c r="I1669">
        <v>10</v>
      </c>
      <c r="J1669" t="s">
        <v>42</v>
      </c>
      <c r="K1669">
        <f t="shared" si="26"/>
        <v>120000</v>
      </c>
    </row>
    <row r="1670" spans="1:11">
      <c r="A1670" t="s">
        <v>79</v>
      </c>
      <c r="B1670" t="s">
        <v>27</v>
      </c>
      <c r="C1670" t="s">
        <v>36</v>
      </c>
      <c r="D1670" t="s">
        <v>29</v>
      </c>
      <c r="E1670" t="s">
        <v>30</v>
      </c>
      <c r="F1670" t="s">
        <v>62</v>
      </c>
      <c r="G1670" t="s">
        <v>51</v>
      </c>
      <c r="H1670">
        <v>150000</v>
      </c>
      <c r="I1670">
        <v>1</v>
      </c>
      <c r="J1670" t="s">
        <v>69</v>
      </c>
      <c r="K1670">
        <f t="shared" si="26"/>
        <v>120000</v>
      </c>
    </row>
    <row r="1671" spans="1:11">
      <c r="A1671" t="s">
        <v>124</v>
      </c>
      <c r="B1671" t="s">
        <v>49</v>
      </c>
      <c r="C1671" t="s">
        <v>45</v>
      </c>
      <c r="D1671" t="s">
        <v>41</v>
      </c>
      <c r="E1671" t="s">
        <v>37</v>
      </c>
      <c r="F1671" t="s">
        <v>62</v>
      </c>
      <c r="G1671" t="s">
        <v>51</v>
      </c>
      <c r="H1671">
        <v>150000</v>
      </c>
      <c r="I1671">
        <v>4</v>
      </c>
      <c r="J1671" t="s">
        <v>42</v>
      </c>
      <c r="K1671">
        <f t="shared" si="26"/>
        <v>120000</v>
      </c>
    </row>
    <row r="1672" spans="1:11">
      <c r="A1672" t="s">
        <v>60</v>
      </c>
      <c r="B1672" t="s">
        <v>27</v>
      </c>
      <c r="C1672" t="s">
        <v>45</v>
      </c>
      <c r="D1672" t="s">
        <v>41</v>
      </c>
      <c r="E1672" t="s">
        <v>30</v>
      </c>
      <c r="F1672" t="s">
        <v>46</v>
      </c>
      <c r="G1672" t="s">
        <v>39</v>
      </c>
      <c r="H1672">
        <v>60000</v>
      </c>
      <c r="I1672">
        <v>5</v>
      </c>
      <c r="J1672" t="s">
        <v>65</v>
      </c>
      <c r="K1672">
        <f t="shared" si="26"/>
        <v>48000</v>
      </c>
    </row>
    <row r="1673" spans="1:11">
      <c r="A1673" t="s">
        <v>169</v>
      </c>
      <c r="B1673" t="s">
        <v>44</v>
      </c>
      <c r="C1673" t="s">
        <v>53</v>
      </c>
      <c r="D1673" t="s">
        <v>29</v>
      </c>
      <c r="E1673" t="s">
        <v>37</v>
      </c>
      <c r="F1673" t="s">
        <v>73</v>
      </c>
      <c r="G1673" t="s">
        <v>39</v>
      </c>
      <c r="H1673">
        <v>220000</v>
      </c>
      <c r="I1673">
        <v>7</v>
      </c>
      <c r="J1673" t="s">
        <v>33</v>
      </c>
      <c r="K1673">
        <f t="shared" si="26"/>
        <v>176000</v>
      </c>
    </row>
    <row r="1674" spans="1:11">
      <c r="A1674" t="s">
        <v>160</v>
      </c>
      <c r="B1674" t="s">
        <v>49</v>
      </c>
      <c r="C1674" t="s">
        <v>36</v>
      </c>
      <c r="D1674" t="s">
        <v>29</v>
      </c>
      <c r="E1674" t="s">
        <v>37</v>
      </c>
      <c r="F1674" t="s">
        <v>62</v>
      </c>
      <c r="G1674" t="s">
        <v>51</v>
      </c>
      <c r="H1674">
        <v>150000</v>
      </c>
      <c r="I1674">
        <v>4</v>
      </c>
      <c r="J1674" t="s">
        <v>69</v>
      </c>
      <c r="K1674">
        <f t="shared" si="26"/>
        <v>120000</v>
      </c>
    </row>
    <row r="1675" spans="1:11">
      <c r="A1675" t="s">
        <v>116</v>
      </c>
      <c r="B1675" t="s">
        <v>35</v>
      </c>
      <c r="C1675" t="s">
        <v>45</v>
      </c>
      <c r="D1675" t="s">
        <v>41</v>
      </c>
      <c r="E1675" t="s">
        <v>30</v>
      </c>
      <c r="F1675" t="s">
        <v>56</v>
      </c>
      <c r="G1675" t="s">
        <v>32</v>
      </c>
      <c r="H1675">
        <v>320000</v>
      </c>
      <c r="I1675">
        <v>6</v>
      </c>
      <c r="J1675" t="s">
        <v>33</v>
      </c>
      <c r="K1675">
        <f t="shared" si="26"/>
        <v>256000</v>
      </c>
    </row>
    <row r="1676" spans="1:11">
      <c r="A1676" t="s">
        <v>96</v>
      </c>
      <c r="B1676" t="s">
        <v>44</v>
      </c>
      <c r="C1676" t="s">
        <v>28</v>
      </c>
      <c r="D1676" t="s">
        <v>29</v>
      </c>
      <c r="E1676" t="s">
        <v>37</v>
      </c>
      <c r="F1676" t="s">
        <v>56</v>
      </c>
      <c r="G1676" t="s">
        <v>32</v>
      </c>
      <c r="H1676">
        <v>320000</v>
      </c>
      <c r="I1676">
        <v>6</v>
      </c>
      <c r="J1676" t="s">
        <v>65</v>
      </c>
      <c r="K1676">
        <f t="shared" si="26"/>
        <v>256000</v>
      </c>
    </row>
    <row r="1677" spans="1:11">
      <c r="A1677" t="s">
        <v>40</v>
      </c>
      <c r="B1677" t="s">
        <v>27</v>
      </c>
      <c r="C1677" t="s">
        <v>28</v>
      </c>
      <c r="D1677" t="s">
        <v>41</v>
      </c>
      <c r="E1677" t="s">
        <v>37</v>
      </c>
      <c r="F1677" t="s">
        <v>46</v>
      </c>
      <c r="G1677" t="s">
        <v>39</v>
      </c>
      <c r="H1677">
        <v>60000</v>
      </c>
      <c r="I1677">
        <v>4</v>
      </c>
      <c r="J1677" t="s">
        <v>65</v>
      </c>
      <c r="K1677">
        <f t="shared" si="26"/>
        <v>48000</v>
      </c>
    </row>
    <row r="1678" spans="1:11">
      <c r="A1678" t="s">
        <v>137</v>
      </c>
      <c r="B1678" t="s">
        <v>49</v>
      </c>
      <c r="C1678" t="s">
        <v>36</v>
      </c>
      <c r="D1678" t="s">
        <v>29</v>
      </c>
      <c r="E1678" t="s">
        <v>30</v>
      </c>
      <c r="F1678" t="s">
        <v>31</v>
      </c>
      <c r="G1678" t="s">
        <v>32</v>
      </c>
      <c r="H1678">
        <v>85000</v>
      </c>
      <c r="I1678">
        <v>8</v>
      </c>
      <c r="J1678" t="s">
        <v>42</v>
      </c>
      <c r="K1678">
        <f t="shared" si="26"/>
        <v>68000</v>
      </c>
    </row>
    <row r="1679" spans="1:11">
      <c r="A1679" t="s">
        <v>174</v>
      </c>
      <c r="B1679" t="s">
        <v>44</v>
      </c>
      <c r="C1679" t="s">
        <v>45</v>
      </c>
      <c r="D1679" t="s">
        <v>41</v>
      </c>
      <c r="E1679" t="s">
        <v>30</v>
      </c>
      <c r="F1679" t="s">
        <v>31</v>
      </c>
      <c r="G1679" t="s">
        <v>32</v>
      </c>
      <c r="H1679">
        <v>85000</v>
      </c>
      <c r="I1679">
        <v>2</v>
      </c>
      <c r="J1679" t="s">
        <v>69</v>
      </c>
      <c r="K1679">
        <f t="shared" si="26"/>
        <v>68000</v>
      </c>
    </row>
    <row r="1680" spans="1:11">
      <c r="A1680" t="s">
        <v>80</v>
      </c>
      <c r="B1680" t="s">
        <v>49</v>
      </c>
      <c r="C1680" t="s">
        <v>45</v>
      </c>
      <c r="D1680" t="s">
        <v>41</v>
      </c>
      <c r="E1680" t="s">
        <v>37</v>
      </c>
      <c r="F1680" t="s">
        <v>31</v>
      </c>
      <c r="G1680" t="s">
        <v>32</v>
      </c>
      <c r="H1680">
        <v>85000</v>
      </c>
      <c r="I1680">
        <v>9</v>
      </c>
      <c r="J1680" t="s">
        <v>33</v>
      </c>
      <c r="K1680">
        <f t="shared" si="26"/>
        <v>68000</v>
      </c>
    </row>
    <row r="1681" spans="1:11">
      <c r="A1681" t="s">
        <v>129</v>
      </c>
      <c r="B1681" t="s">
        <v>44</v>
      </c>
      <c r="C1681" t="s">
        <v>45</v>
      </c>
      <c r="D1681" t="s">
        <v>29</v>
      </c>
      <c r="E1681" t="s">
        <v>37</v>
      </c>
      <c r="F1681" t="s">
        <v>67</v>
      </c>
      <c r="G1681" t="s">
        <v>51</v>
      </c>
      <c r="H1681">
        <v>420000</v>
      </c>
      <c r="I1681">
        <v>3</v>
      </c>
      <c r="J1681" t="s">
        <v>58</v>
      </c>
      <c r="K1681">
        <f t="shared" si="26"/>
        <v>336000</v>
      </c>
    </row>
    <row r="1682" spans="1:11">
      <c r="A1682" t="s">
        <v>141</v>
      </c>
      <c r="B1682" t="s">
        <v>49</v>
      </c>
      <c r="C1682" t="s">
        <v>36</v>
      </c>
      <c r="D1682" t="s">
        <v>29</v>
      </c>
      <c r="E1682" t="s">
        <v>30</v>
      </c>
      <c r="F1682" t="s">
        <v>50</v>
      </c>
      <c r="G1682" t="s">
        <v>51</v>
      </c>
      <c r="H1682">
        <v>300000</v>
      </c>
      <c r="I1682">
        <v>5</v>
      </c>
      <c r="J1682" t="s">
        <v>58</v>
      </c>
      <c r="K1682">
        <f t="shared" si="26"/>
        <v>240000</v>
      </c>
    </row>
    <row r="1683" spans="1:11">
      <c r="A1683" t="s">
        <v>102</v>
      </c>
      <c r="B1683" t="s">
        <v>35</v>
      </c>
      <c r="C1683" t="s">
        <v>45</v>
      </c>
      <c r="D1683" t="s">
        <v>41</v>
      </c>
      <c r="E1683" t="s">
        <v>37</v>
      </c>
      <c r="F1683" t="s">
        <v>38</v>
      </c>
      <c r="G1683" t="s">
        <v>39</v>
      </c>
      <c r="H1683">
        <v>30000</v>
      </c>
      <c r="I1683">
        <v>1</v>
      </c>
      <c r="J1683" t="s">
        <v>33</v>
      </c>
      <c r="K1683">
        <f t="shared" si="26"/>
        <v>24000</v>
      </c>
    </row>
    <row r="1684" spans="1:11">
      <c r="A1684" t="s">
        <v>139</v>
      </c>
      <c r="B1684" t="s">
        <v>27</v>
      </c>
      <c r="C1684" t="s">
        <v>53</v>
      </c>
      <c r="D1684" t="s">
        <v>41</v>
      </c>
      <c r="E1684" t="s">
        <v>37</v>
      </c>
      <c r="F1684" t="s">
        <v>73</v>
      </c>
      <c r="G1684" t="s">
        <v>39</v>
      </c>
      <c r="H1684">
        <v>220000</v>
      </c>
      <c r="I1684">
        <v>8</v>
      </c>
      <c r="J1684" t="s">
        <v>65</v>
      </c>
      <c r="K1684">
        <f t="shared" si="26"/>
        <v>176000</v>
      </c>
    </row>
    <row r="1685" spans="1:11">
      <c r="A1685" t="s">
        <v>52</v>
      </c>
      <c r="B1685" t="s">
        <v>49</v>
      </c>
      <c r="C1685" t="s">
        <v>28</v>
      </c>
      <c r="D1685" t="s">
        <v>41</v>
      </c>
      <c r="E1685" t="s">
        <v>30</v>
      </c>
      <c r="F1685" t="s">
        <v>56</v>
      </c>
      <c r="G1685" t="s">
        <v>32</v>
      </c>
      <c r="H1685">
        <v>320000</v>
      </c>
      <c r="I1685">
        <v>5</v>
      </c>
      <c r="J1685" t="s">
        <v>33</v>
      </c>
      <c r="K1685">
        <f t="shared" si="26"/>
        <v>256000</v>
      </c>
    </row>
    <row r="1686" spans="1:11">
      <c r="A1686" t="s">
        <v>104</v>
      </c>
      <c r="B1686" t="s">
        <v>35</v>
      </c>
      <c r="C1686" t="s">
        <v>36</v>
      </c>
      <c r="D1686" t="s">
        <v>41</v>
      </c>
      <c r="E1686" t="s">
        <v>30</v>
      </c>
      <c r="F1686" t="s">
        <v>50</v>
      </c>
      <c r="G1686" t="s">
        <v>51</v>
      </c>
      <c r="H1686">
        <v>300000</v>
      </c>
      <c r="I1686">
        <v>10</v>
      </c>
      <c r="J1686" t="s">
        <v>58</v>
      </c>
      <c r="K1686">
        <f t="shared" si="26"/>
        <v>240000</v>
      </c>
    </row>
    <row r="1687" spans="1:11">
      <c r="A1687" t="s">
        <v>81</v>
      </c>
      <c r="B1687" t="s">
        <v>49</v>
      </c>
      <c r="C1687" t="s">
        <v>28</v>
      </c>
      <c r="D1687" t="s">
        <v>29</v>
      </c>
      <c r="E1687" t="s">
        <v>37</v>
      </c>
      <c r="F1687" t="s">
        <v>73</v>
      </c>
      <c r="G1687" t="s">
        <v>39</v>
      </c>
      <c r="H1687">
        <v>220000</v>
      </c>
      <c r="I1687">
        <v>1</v>
      </c>
      <c r="J1687" t="s">
        <v>33</v>
      </c>
      <c r="K1687">
        <f t="shared" si="26"/>
        <v>176000</v>
      </c>
    </row>
    <row r="1688" spans="1:11">
      <c r="A1688" t="s">
        <v>170</v>
      </c>
      <c r="B1688" t="s">
        <v>44</v>
      </c>
      <c r="C1688" t="s">
        <v>45</v>
      </c>
      <c r="D1688" t="s">
        <v>41</v>
      </c>
      <c r="E1688" t="s">
        <v>30</v>
      </c>
      <c r="F1688" t="s">
        <v>38</v>
      </c>
      <c r="G1688" t="s">
        <v>39</v>
      </c>
      <c r="H1688">
        <v>30000</v>
      </c>
      <c r="I1688">
        <v>6</v>
      </c>
      <c r="J1688" t="s">
        <v>42</v>
      </c>
      <c r="K1688">
        <f t="shared" si="26"/>
        <v>24000</v>
      </c>
    </row>
    <row r="1689" spans="1:11">
      <c r="A1689" t="s">
        <v>112</v>
      </c>
      <c r="B1689" t="s">
        <v>49</v>
      </c>
      <c r="C1689" t="s">
        <v>36</v>
      </c>
      <c r="D1689" t="s">
        <v>29</v>
      </c>
      <c r="E1689" t="s">
        <v>30</v>
      </c>
      <c r="F1689" t="s">
        <v>67</v>
      </c>
      <c r="G1689" t="s">
        <v>51</v>
      </c>
      <c r="H1689">
        <v>420000</v>
      </c>
      <c r="I1689">
        <v>1</v>
      </c>
      <c r="J1689" t="s">
        <v>69</v>
      </c>
      <c r="K1689">
        <f t="shared" si="26"/>
        <v>336000</v>
      </c>
    </row>
    <row r="1690" spans="1:11">
      <c r="A1690" t="s">
        <v>175</v>
      </c>
      <c r="B1690" t="s">
        <v>44</v>
      </c>
      <c r="C1690" t="s">
        <v>53</v>
      </c>
      <c r="D1690" t="s">
        <v>41</v>
      </c>
      <c r="E1690" t="s">
        <v>37</v>
      </c>
      <c r="F1690" t="s">
        <v>67</v>
      </c>
      <c r="G1690" t="s">
        <v>51</v>
      </c>
      <c r="H1690">
        <v>420000</v>
      </c>
      <c r="I1690">
        <v>6</v>
      </c>
      <c r="J1690" t="s">
        <v>65</v>
      </c>
      <c r="K1690">
        <f t="shared" si="26"/>
        <v>336000</v>
      </c>
    </row>
    <row r="1691" spans="1:11">
      <c r="A1691" t="s">
        <v>153</v>
      </c>
      <c r="B1691" t="s">
        <v>44</v>
      </c>
      <c r="C1691" t="s">
        <v>53</v>
      </c>
      <c r="D1691" t="s">
        <v>29</v>
      </c>
      <c r="E1691" t="s">
        <v>37</v>
      </c>
      <c r="F1691" t="s">
        <v>31</v>
      </c>
      <c r="G1691" t="s">
        <v>32</v>
      </c>
      <c r="H1691">
        <v>85000</v>
      </c>
      <c r="I1691">
        <v>7</v>
      </c>
      <c r="J1691" t="s">
        <v>58</v>
      </c>
      <c r="K1691">
        <f t="shared" si="26"/>
        <v>68000</v>
      </c>
    </row>
    <row r="1692" spans="1:11">
      <c r="A1692" t="s">
        <v>94</v>
      </c>
      <c r="B1692" t="s">
        <v>44</v>
      </c>
      <c r="C1692" t="s">
        <v>36</v>
      </c>
      <c r="D1692" t="s">
        <v>41</v>
      </c>
      <c r="E1692" t="s">
        <v>37</v>
      </c>
      <c r="F1692" t="s">
        <v>62</v>
      </c>
      <c r="G1692" t="s">
        <v>51</v>
      </c>
      <c r="H1692">
        <v>150000</v>
      </c>
      <c r="I1692">
        <v>7</v>
      </c>
      <c r="J1692" t="s">
        <v>69</v>
      </c>
      <c r="K1692">
        <f t="shared" si="26"/>
        <v>120000</v>
      </c>
    </row>
    <row r="1693" spans="1:11">
      <c r="A1693" t="s">
        <v>160</v>
      </c>
      <c r="B1693" t="s">
        <v>27</v>
      </c>
      <c r="C1693" t="s">
        <v>36</v>
      </c>
      <c r="D1693" t="s">
        <v>29</v>
      </c>
      <c r="E1693" t="s">
        <v>37</v>
      </c>
      <c r="F1693" t="s">
        <v>62</v>
      </c>
      <c r="G1693" t="s">
        <v>51</v>
      </c>
      <c r="H1693">
        <v>150000</v>
      </c>
      <c r="I1693">
        <v>10</v>
      </c>
      <c r="J1693" t="s">
        <v>33</v>
      </c>
      <c r="K1693">
        <f t="shared" si="26"/>
        <v>120000</v>
      </c>
    </row>
    <row r="1694" spans="1:11">
      <c r="A1694" t="s">
        <v>104</v>
      </c>
      <c r="B1694" t="s">
        <v>35</v>
      </c>
      <c r="C1694" t="s">
        <v>28</v>
      </c>
      <c r="D1694" t="s">
        <v>29</v>
      </c>
      <c r="E1694" t="s">
        <v>37</v>
      </c>
      <c r="F1694" t="s">
        <v>38</v>
      </c>
      <c r="G1694" t="s">
        <v>39</v>
      </c>
      <c r="H1694">
        <v>30000</v>
      </c>
      <c r="I1694">
        <v>9</v>
      </c>
      <c r="J1694" t="s">
        <v>33</v>
      </c>
      <c r="K1694">
        <f t="shared" si="26"/>
        <v>24000</v>
      </c>
    </row>
    <row r="1695" spans="1:11">
      <c r="A1695" t="s">
        <v>157</v>
      </c>
      <c r="B1695" t="s">
        <v>44</v>
      </c>
      <c r="C1695" t="s">
        <v>45</v>
      </c>
      <c r="D1695" t="s">
        <v>41</v>
      </c>
      <c r="E1695" t="s">
        <v>30</v>
      </c>
      <c r="F1695" t="s">
        <v>56</v>
      </c>
      <c r="G1695" t="s">
        <v>32</v>
      </c>
      <c r="H1695">
        <v>320000</v>
      </c>
      <c r="I1695">
        <v>8</v>
      </c>
      <c r="J1695" t="s">
        <v>65</v>
      </c>
      <c r="K1695">
        <f t="shared" si="26"/>
        <v>256000</v>
      </c>
    </row>
    <row r="1696" spans="1:11">
      <c r="A1696" t="s">
        <v>75</v>
      </c>
      <c r="B1696" t="s">
        <v>35</v>
      </c>
      <c r="C1696" t="s">
        <v>53</v>
      </c>
      <c r="D1696" t="s">
        <v>29</v>
      </c>
      <c r="E1696" t="s">
        <v>37</v>
      </c>
      <c r="F1696" t="s">
        <v>38</v>
      </c>
      <c r="G1696" t="s">
        <v>39</v>
      </c>
      <c r="H1696">
        <v>30000</v>
      </c>
      <c r="I1696">
        <v>9</v>
      </c>
      <c r="J1696" t="s">
        <v>47</v>
      </c>
      <c r="K1696">
        <f t="shared" si="26"/>
        <v>24000</v>
      </c>
    </row>
    <row r="1697" spans="1:11">
      <c r="A1697" t="s">
        <v>143</v>
      </c>
      <c r="B1697" t="s">
        <v>35</v>
      </c>
      <c r="C1697" t="s">
        <v>45</v>
      </c>
      <c r="D1697" t="s">
        <v>41</v>
      </c>
      <c r="E1697" t="s">
        <v>30</v>
      </c>
      <c r="F1697" t="s">
        <v>71</v>
      </c>
      <c r="G1697" t="s">
        <v>51</v>
      </c>
      <c r="H1697">
        <v>250000</v>
      </c>
      <c r="I1697">
        <v>3</v>
      </c>
      <c r="J1697" t="s">
        <v>42</v>
      </c>
      <c r="K1697">
        <f t="shared" si="26"/>
        <v>200000</v>
      </c>
    </row>
    <row r="1698" spans="1:11">
      <c r="A1698" t="s">
        <v>146</v>
      </c>
      <c r="B1698" t="s">
        <v>35</v>
      </c>
      <c r="C1698" t="s">
        <v>36</v>
      </c>
      <c r="D1698" t="s">
        <v>41</v>
      </c>
      <c r="E1698" t="s">
        <v>30</v>
      </c>
      <c r="F1698" t="s">
        <v>46</v>
      </c>
      <c r="G1698" t="s">
        <v>39</v>
      </c>
      <c r="H1698">
        <v>60000</v>
      </c>
      <c r="I1698">
        <v>2</v>
      </c>
      <c r="J1698" t="s">
        <v>42</v>
      </c>
      <c r="K1698">
        <f t="shared" si="26"/>
        <v>48000</v>
      </c>
    </row>
    <row r="1699" spans="1:11">
      <c r="A1699" t="s">
        <v>105</v>
      </c>
      <c r="B1699" t="s">
        <v>27</v>
      </c>
      <c r="C1699" t="s">
        <v>53</v>
      </c>
      <c r="D1699" t="s">
        <v>29</v>
      </c>
      <c r="E1699" t="s">
        <v>37</v>
      </c>
      <c r="F1699" t="s">
        <v>56</v>
      </c>
      <c r="G1699" t="s">
        <v>32</v>
      </c>
      <c r="H1699">
        <v>320000</v>
      </c>
      <c r="I1699">
        <v>3</v>
      </c>
      <c r="J1699" t="s">
        <v>47</v>
      </c>
      <c r="K1699">
        <f t="shared" si="26"/>
        <v>256000</v>
      </c>
    </row>
    <row r="1700" spans="1:11">
      <c r="A1700" t="s">
        <v>153</v>
      </c>
      <c r="B1700" t="s">
        <v>35</v>
      </c>
      <c r="C1700" t="s">
        <v>45</v>
      </c>
      <c r="D1700" t="s">
        <v>29</v>
      </c>
      <c r="E1700" t="s">
        <v>30</v>
      </c>
      <c r="F1700" t="s">
        <v>50</v>
      </c>
      <c r="G1700" t="s">
        <v>51</v>
      </c>
      <c r="H1700">
        <v>300000</v>
      </c>
      <c r="I1700">
        <v>9</v>
      </c>
      <c r="J1700" t="s">
        <v>42</v>
      </c>
      <c r="K1700">
        <f t="shared" si="26"/>
        <v>240000</v>
      </c>
    </row>
    <row r="1701" spans="1:11">
      <c r="A1701" t="s">
        <v>110</v>
      </c>
      <c r="B1701" t="s">
        <v>35</v>
      </c>
      <c r="C1701" t="s">
        <v>53</v>
      </c>
      <c r="D1701" t="s">
        <v>29</v>
      </c>
      <c r="E1701" t="s">
        <v>30</v>
      </c>
      <c r="F1701" t="s">
        <v>67</v>
      </c>
      <c r="G1701" t="s">
        <v>51</v>
      </c>
      <c r="H1701">
        <v>420000</v>
      </c>
      <c r="I1701">
        <v>4</v>
      </c>
      <c r="J1701" t="s">
        <v>69</v>
      </c>
      <c r="K1701">
        <f t="shared" si="26"/>
        <v>336000</v>
      </c>
    </row>
    <row r="1702" spans="1:11">
      <c r="A1702" t="s">
        <v>82</v>
      </c>
      <c r="B1702" t="s">
        <v>27</v>
      </c>
      <c r="C1702" t="s">
        <v>28</v>
      </c>
      <c r="D1702" t="s">
        <v>29</v>
      </c>
      <c r="E1702" t="s">
        <v>37</v>
      </c>
      <c r="F1702" t="s">
        <v>56</v>
      </c>
      <c r="G1702" t="s">
        <v>32</v>
      </c>
      <c r="H1702">
        <v>320000</v>
      </c>
      <c r="I1702">
        <v>6</v>
      </c>
      <c r="J1702" t="s">
        <v>58</v>
      </c>
      <c r="K1702">
        <f t="shared" si="26"/>
        <v>256000</v>
      </c>
    </row>
    <row r="1703" spans="1:11">
      <c r="A1703" t="s">
        <v>121</v>
      </c>
      <c r="B1703" t="s">
        <v>27</v>
      </c>
      <c r="C1703" t="s">
        <v>53</v>
      </c>
      <c r="D1703" t="s">
        <v>29</v>
      </c>
      <c r="E1703" t="s">
        <v>37</v>
      </c>
      <c r="F1703" t="s">
        <v>73</v>
      </c>
      <c r="G1703" t="s">
        <v>39</v>
      </c>
      <c r="H1703">
        <v>220000</v>
      </c>
      <c r="I1703">
        <v>4</v>
      </c>
      <c r="J1703" t="s">
        <v>69</v>
      </c>
      <c r="K1703">
        <f t="shared" si="26"/>
        <v>176000</v>
      </c>
    </row>
    <row r="1704" spans="1:11">
      <c r="A1704" t="s">
        <v>137</v>
      </c>
      <c r="B1704" t="s">
        <v>44</v>
      </c>
      <c r="C1704" t="s">
        <v>53</v>
      </c>
      <c r="D1704" t="s">
        <v>29</v>
      </c>
      <c r="E1704" t="s">
        <v>37</v>
      </c>
      <c r="F1704" t="s">
        <v>31</v>
      </c>
      <c r="G1704" t="s">
        <v>32</v>
      </c>
      <c r="H1704">
        <v>85000</v>
      </c>
      <c r="I1704">
        <v>8</v>
      </c>
      <c r="J1704" t="s">
        <v>42</v>
      </c>
      <c r="K1704">
        <f t="shared" si="26"/>
        <v>68000</v>
      </c>
    </row>
    <row r="1705" spans="1:11">
      <c r="A1705" t="s">
        <v>138</v>
      </c>
      <c r="B1705" t="s">
        <v>27</v>
      </c>
      <c r="C1705" t="s">
        <v>28</v>
      </c>
      <c r="D1705" t="s">
        <v>29</v>
      </c>
      <c r="E1705" t="s">
        <v>37</v>
      </c>
      <c r="F1705" t="s">
        <v>67</v>
      </c>
      <c r="G1705" t="s">
        <v>51</v>
      </c>
      <c r="H1705">
        <v>420000</v>
      </c>
      <c r="I1705">
        <v>7</v>
      </c>
      <c r="J1705" t="s">
        <v>47</v>
      </c>
      <c r="K1705">
        <f t="shared" si="26"/>
        <v>336000</v>
      </c>
    </row>
    <row r="1706" spans="1:11">
      <c r="A1706" t="s">
        <v>133</v>
      </c>
      <c r="B1706" t="s">
        <v>35</v>
      </c>
      <c r="C1706" t="s">
        <v>53</v>
      </c>
      <c r="D1706" t="s">
        <v>41</v>
      </c>
      <c r="E1706" t="s">
        <v>37</v>
      </c>
      <c r="F1706" t="s">
        <v>73</v>
      </c>
      <c r="G1706" t="s">
        <v>39</v>
      </c>
      <c r="H1706">
        <v>220000</v>
      </c>
      <c r="I1706">
        <v>2</v>
      </c>
      <c r="J1706" t="s">
        <v>33</v>
      </c>
      <c r="K1706">
        <f t="shared" si="26"/>
        <v>176000</v>
      </c>
    </row>
    <row r="1707" spans="1:11">
      <c r="A1707" t="s">
        <v>74</v>
      </c>
      <c r="B1707" t="s">
        <v>49</v>
      </c>
      <c r="C1707" t="s">
        <v>45</v>
      </c>
      <c r="D1707" t="s">
        <v>29</v>
      </c>
      <c r="E1707" t="s">
        <v>30</v>
      </c>
      <c r="F1707" t="s">
        <v>62</v>
      </c>
      <c r="G1707" t="s">
        <v>51</v>
      </c>
      <c r="H1707">
        <v>150000</v>
      </c>
      <c r="I1707">
        <v>1</v>
      </c>
      <c r="J1707" t="s">
        <v>58</v>
      </c>
      <c r="K1707">
        <f t="shared" si="26"/>
        <v>120000</v>
      </c>
    </row>
    <row r="1708" spans="1:11">
      <c r="A1708" t="s">
        <v>136</v>
      </c>
      <c r="B1708" t="s">
        <v>49</v>
      </c>
      <c r="C1708" t="s">
        <v>28</v>
      </c>
      <c r="D1708" t="s">
        <v>41</v>
      </c>
      <c r="E1708" t="s">
        <v>37</v>
      </c>
      <c r="F1708" t="s">
        <v>67</v>
      </c>
      <c r="G1708" t="s">
        <v>51</v>
      </c>
      <c r="H1708">
        <v>420000</v>
      </c>
      <c r="I1708">
        <v>4</v>
      </c>
      <c r="J1708" t="s">
        <v>65</v>
      </c>
      <c r="K1708">
        <f t="shared" si="26"/>
        <v>336000</v>
      </c>
    </row>
    <row r="1709" spans="1:11">
      <c r="A1709" t="s">
        <v>117</v>
      </c>
      <c r="B1709" t="s">
        <v>44</v>
      </c>
      <c r="C1709" t="s">
        <v>36</v>
      </c>
      <c r="D1709" t="s">
        <v>41</v>
      </c>
      <c r="E1709" t="s">
        <v>30</v>
      </c>
      <c r="F1709" t="s">
        <v>50</v>
      </c>
      <c r="G1709" t="s">
        <v>51</v>
      </c>
      <c r="H1709">
        <v>300000</v>
      </c>
      <c r="I1709">
        <v>1</v>
      </c>
      <c r="J1709" t="s">
        <v>47</v>
      </c>
      <c r="K1709">
        <f t="shared" si="26"/>
        <v>240000</v>
      </c>
    </row>
    <row r="1710" spans="1:11">
      <c r="A1710" t="s">
        <v>107</v>
      </c>
      <c r="B1710" t="s">
        <v>27</v>
      </c>
      <c r="C1710" t="s">
        <v>36</v>
      </c>
      <c r="D1710" t="s">
        <v>29</v>
      </c>
      <c r="E1710" t="s">
        <v>37</v>
      </c>
      <c r="F1710" t="s">
        <v>50</v>
      </c>
      <c r="G1710" t="s">
        <v>51</v>
      </c>
      <c r="H1710">
        <v>300000</v>
      </c>
      <c r="I1710">
        <v>9</v>
      </c>
      <c r="J1710" t="s">
        <v>42</v>
      </c>
      <c r="K1710">
        <f t="shared" si="26"/>
        <v>240000</v>
      </c>
    </row>
    <row r="1711" spans="1:11">
      <c r="A1711" t="s">
        <v>111</v>
      </c>
      <c r="B1711" t="s">
        <v>44</v>
      </c>
      <c r="C1711" t="s">
        <v>53</v>
      </c>
      <c r="D1711" t="s">
        <v>29</v>
      </c>
      <c r="E1711" t="s">
        <v>30</v>
      </c>
      <c r="F1711" t="s">
        <v>71</v>
      </c>
      <c r="G1711" t="s">
        <v>51</v>
      </c>
      <c r="H1711">
        <v>250000</v>
      </c>
      <c r="I1711">
        <v>6</v>
      </c>
      <c r="J1711" t="s">
        <v>42</v>
      </c>
      <c r="K1711">
        <f t="shared" si="26"/>
        <v>200000</v>
      </c>
    </row>
    <row r="1712" spans="1:11">
      <c r="A1712" t="s">
        <v>169</v>
      </c>
      <c r="B1712" t="s">
        <v>49</v>
      </c>
      <c r="C1712" t="s">
        <v>45</v>
      </c>
      <c r="D1712" t="s">
        <v>29</v>
      </c>
      <c r="E1712" t="s">
        <v>37</v>
      </c>
      <c r="F1712" t="s">
        <v>38</v>
      </c>
      <c r="G1712" t="s">
        <v>39</v>
      </c>
      <c r="H1712">
        <v>30000</v>
      </c>
      <c r="I1712">
        <v>7</v>
      </c>
      <c r="J1712" t="s">
        <v>47</v>
      </c>
      <c r="K1712">
        <f t="shared" si="26"/>
        <v>24000</v>
      </c>
    </row>
    <row r="1713" spans="1:11">
      <c r="A1713" t="s">
        <v>84</v>
      </c>
      <c r="B1713" t="s">
        <v>44</v>
      </c>
      <c r="C1713" t="s">
        <v>28</v>
      </c>
      <c r="D1713" t="s">
        <v>41</v>
      </c>
      <c r="E1713" t="s">
        <v>30</v>
      </c>
      <c r="F1713" t="s">
        <v>31</v>
      </c>
      <c r="G1713" t="s">
        <v>32</v>
      </c>
      <c r="H1713">
        <v>85000</v>
      </c>
      <c r="I1713">
        <v>7</v>
      </c>
      <c r="J1713" t="s">
        <v>69</v>
      </c>
      <c r="K1713">
        <f t="shared" si="26"/>
        <v>68000</v>
      </c>
    </row>
    <row r="1714" spans="1:11">
      <c r="A1714" t="s">
        <v>59</v>
      </c>
      <c r="B1714" t="s">
        <v>27</v>
      </c>
      <c r="C1714" t="s">
        <v>53</v>
      </c>
      <c r="D1714" t="s">
        <v>41</v>
      </c>
      <c r="E1714" t="s">
        <v>30</v>
      </c>
      <c r="F1714" t="s">
        <v>31</v>
      </c>
      <c r="G1714" t="s">
        <v>32</v>
      </c>
      <c r="H1714">
        <v>85000</v>
      </c>
      <c r="I1714">
        <v>7</v>
      </c>
      <c r="J1714" t="s">
        <v>69</v>
      </c>
      <c r="K1714">
        <f t="shared" si="26"/>
        <v>68000</v>
      </c>
    </row>
    <row r="1715" spans="1:11">
      <c r="A1715" t="s">
        <v>97</v>
      </c>
      <c r="B1715" t="s">
        <v>44</v>
      </c>
      <c r="C1715" t="s">
        <v>45</v>
      </c>
      <c r="D1715" t="s">
        <v>29</v>
      </c>
      <c r="E1715" t="s">
        <v>30</v>
      </c>
      <c r="F1715" t="s">
        <v>38</v>
      </c>
      <c r="G1715" t="s">
        <v>39</v>
      </c>
      <c r="H1715">
        <v>30000</v>
      </c>
      <c r="I1715">
        <v>4</v>
      </c>
      <c r="J1715" t="s">
        <v>33</v>
      </c>
      <c r="K1715">
        <f t="shared" si="26"/>
        <v>24000</v>
      </c>
    </row>
    <row r="1716" spans="1:11">
      <c r="A1716" t="s">
        <v>161</v>
      </c>
      <c r="B1716" t="s">
        <v>27</v>
      </c>
      <c r="C1716" t="s">
        <v>45</v>
      </c>
      <c r="D1716" t="s">
        <v>29</v>
      </c>
      <c r="E1716" t="s">
        <v>30</v>
      </c>
      <c r="F1716" t="s">
        <v>62</v>
      </c>
      <c r="G1716" t="s">
        <v>51</v>
      </c>
      <c r="H1716">
        <v>150000</v>
      </c>
      <c r="I1716">
        <v>9</v>
      </c>
      <c r="J1716" t="s">
        <v>42</v>
      </c>
      <c r="K1716">
        <f t="shared" si="26"/>
        <v>120000</v>
      </c>
    </row>
    <row r="1717" spans="1:11">
      <c r="A1717" t="s">
        <v>157</v>
      </c>
      <c r="B1717" t="s">
        <v>49</v>
      </c>
      <c r="C1717" t="s">
        <v>28</v>
      </c>
      <c r="D1717" t="s">
        <v>41</v>
      </c>
      <c r="E1717" t="s">
        <v>37</v>
      </c>
      <c r="F1717" t="s">
        <v>73</v>
      </c>
      <c r="G1717" t="s">
        <v>39</v>
      </c>
      <c r="H1717">
        <v>220000</v>
      </c>
      <c r="I1717">
        <v>9</v>
      </c>
      <c r="J1717" t="s">
        <v>69</v>
      </c>
      <c r="K1717">
        <f t="shared" si="26"/>
        <v>176000</v>
      </c>
    </row>
    <row r="1718" spans="1:11">
      <c r="A1718" t="s">
        <v>100</v>
      </c>
      <c r="B1718" t="s">
        <v>35</v>
      </c>
      <c r="C1718" t="s">
        <v>45</v>
      </c>
      <c r="D1718" t="s">
        <v>41</v>
      </c>
      <c r="E1718" t="s">
        <v>30</v>
      </c>
      <c r="F1718" t="s">
        <v>38</v>
      </c>
      <c r="G1718" t="s">
        <v>39</v>
      </c>
      <c r="H1718">
        <v>30000</v>
      </c>
      <c r="I1718">
        <v>8</v>
      </c>
      <c r="J1718" t="s">
        <v>65</v>
      </c>
      <c r="K1718">
        <f t="shared" si="26"/>
        <v>24000</v>
      </c>
    </row>
    <row r="1719" spans="1:11">
      <c r="A1719" t="s">
        <v>160</v>
      </c>
      <c r="B1719" t="s">
        <v>35</v>
      </c>
      <c r="C1719" t="s">
        <v>45</v>
      </c>
      <c r="D1719" t="s">
        <v>29</v>
      </c>
      <c r="E1719" t="s">
        <v>30</v>
      </c>
      <c r="F1719" t="s">
        <v>31</v>
      </c>
      <c r="G1719" t="s">
        <v>32</v>
      </c>
      <c r="H1719">
        <v>85000</v>
      </c>
      <c r="I1719">
        <v>2</v>
      </c>
      <c r="J1719" t="s">
        <v>42</v>
      </c>
      <c r="K1719">
        <f t="shared" si="26"/>
        <v>68000</v>
      </c>
    </row>
    <row r="1720" spans="1:11">
      <c r="A1720" t="s">
        <v>109</v>
      </c>
      <c r="B1720" t="s">
        <v>44</v>
      </c>
      <c r="C1720" t="s">
        <v>36</v>
      </c>
      <c r="D1720" t="s">
        <v>41</v>
      </c>
      <c r="E1720" t="s">
        <v>30</v>
      </c>
      <c r="F1720" t="s">
        <v>54</v>
      </c>
      <c r="G1720" t="s">
        <v>39</v>
      </c>
      <c r="H1720">
        <v>180000</v>
      </c>
      <c r="I1720">
        <v>9</v>
      </c>
      <c r="J1720" t="s">
        <v>42</v>
      </c>
      <c r="K1720">
        <f t="shared" si="26"/>
        <v>144000</v>
      </c>
    </row>
    <row r="1721" spans="1:11">
      <c r="A1721" t="s">
        <v>95</v>
      </c>
      <c r="B1721" t="s">
        <v>35</v>
      </c>
      <c r="C1721" t="s">
        <v>45</v>
      </c>
      <c r="D1721" t="s">
        <v>29</v>
      </c>
      <c r="E1721" t="s">
        <v>30</v>
      </c>
      <c r="F1721" t="s">
        <v>62</v>
      </c>
      <c r="G1721" t="s">
        <v>51</v>
      </c>
      <c r="H1721">
        <v>150000</v>
      </c>
      <c r="I1721">
        <v>8</v>
      </c>
      <c r="J1721" t="s">
        <v>69</v>
      </c>
      <c r="K1721">
        <f t="shared" si="26"/>
        <v>120000</v>
      </c>
    </row>
    <row r="1722" spans="1:11">
      <c r="A1722" t="s">
        <v>92</v>
      </c>
      <c r="B1722" t="s">
        <v>49</v>
      </c>
      <c r="C1722" t="s">
        <v>28</v>
      </c>
      <c r="D1722" t="s">
        <v>29</v>
      </c>
      <c r="E1722" t="s">
        <v>30</v>
      </c>
      <c r="F1722" t="s">
        <v>46</v>
      </c>
      <c r="G1722" t="s">
        <v>39</v>
      </c>
      <c r="H1722">
        <v>60000</v>
      </c>
      <c r="I1722">
        <v>8</v>
      </c>
      <c r="J1722" t="s">
        <v>65</v>
      </c>
      <c r="K1722">
        <f t="shared" si="26"/>
        <v>48000</v>
      </c>
    </row>
    <row r="1723" spans="1:11">
      <c r="A1723" t="s">
        <v>160</v>
      </c>
      <c r="B1723" t="s">
        <v>27</v>
      </c>
      <c r="C1723" t="s">
        <v>28</v>
      </c>
      <c r="D1723" t="s">
        <v>29</v>
      </c>
      <c r="E1723" t="s">
        <v>37</v>
      </c>
      <c r="F1723" t="s">
        <v>50</v>
      </c>
      <c r="G1723" t="s">
        <v>51</v>
      </c>
      <c r="H1723">
        <v>300000</v>
      </c>
      <c r="I1723">
        <v>5</v>
      </c>
      <c r="J1723" t="s">
        <v>47</v>
      </c>
      <c r="K1723">
        <f t="shared" si="26"/>
        <v>240000</v>
      </c>
    </row>
    <row r="1724" spans="1:11">
      <c r="A1724" t="s">
        <v>156</v>
      </c>
      <c r="B1724" t="s">
        <v>49</v>
      </c>
      <c r="C1724" t="s">
        <v>36</v>
      </c>
      <c r="D1724" t="s">
        <v>29</v>
      </c>
      <c r="E1724" t="s">
        <v>30</v>
      </c>
      <c r="F1724" t="s">
        <v>38</v>
      </c>
      <c r="G1724" t="s">
        <v>39</v>
      </c>
      <c r="H1724">
        <v>30000</v>
      </c>
      <c r="I1724">
        <v>8</v>
      </c>
      <c r="J1724" t="s">
        <v>58</v>
      </c>
      <c r="K1724">
        <f t="shared" si="26"/>
        <v>24000</v>
      </c>
    </row>
    <row r="1725" spans="1:11">
      <c r="A1725" t="s">
        <v>104</v>
      </c>
      <c r="B1725" t="s">
        <v>49</v>
      </c>
      <c r="C1725" t="s">
        <v>28</v>
      </c>
      <c r="D1725" t="s">
        <v>41</v>
      </c>
      <c r="E1725" t="s">
        <v>37</v>
      </c>
      <c r="F1725" t="s">
        <v>67</v>
      </c>
      <c r="G1725" t="s">
        <v>51</v>
      </c>
      <c r="H1725">
        <v>420000</v>
      </c>
      <c r="I1725">
        <v>3</v>
      </c>
      <c r="J1725" t="s">
        <v>42</v>
      </c>
      <c r="K1725">
        <f t="shared" si="26"/>
        <v>336000</v>
      </c>
    </row>
    <row r="1726" spans="1:11">
      <c r="A1726" t="s">
        <v>85</v>
      </c>
      <c r="B1726" t="s">
        <v>27</v>
      </c>
      <c r="C1726" t="s">
        <v>28</v>
      </c>
      <c r="D1726" t="s">
        <v>41</v>
      </c>
      <c r="E1726" t="s">
        <v>30</v>
      </c>
      <c r="F1726" t="s">
        <v>67</v>
      </c>
      <c r="G1726" t="s">
        <v>51</v>
      </c>
      <c r="H1726">
        <v>420000</v>
      </c>
      <c r="I1726">
        <v>7</v>
      </c>
      <c r="J1726" t="s">
        <v>69</v>
      </c>
      <c r="K1726">
        <f t="shared" si="26"/>
        <v>336000</v>
      </c>
    </row>
    <row r="1727" spans="1:11">
      <c r="A1727" t="s">
        <v>81</v>
      </c>
      <c r="B1727" t="s">
        <v>35</v>
      </c>
      <c r="C1727" t="s">
        <v>36</v>
      </c>
      <c r="D1727" t="s">
        <v>41</v>
      </c>
      <c r="E1727" t="s">
        <v>30</v>
      </c>
      <c r="F1727" t="s">
        <v>31</v>
      </c>
      <c r="G1727" t="s">
        <v>32</v>
      </c>
      <c r="H1727">
        <v>85000</v>
      </c>
      <c r="I1727">
        <v>9</v>
      </c>
      <c r="J1727" t="s">
        <v>69</v>
      </c>
      <c r="K1727">
        <f t="shared" si="26"/>
        <v>68000</v>
      </c>
    </row>
    <row r="1728" spans="1:11">
      <c r="A1728" t="s">
        <v>60</v>
      </c>
      <c r="B1728" t="s">
        <v>35</v>
      </c>
      <c r="C1728" t="s">
        <v>36</v>
      </c>
      <c r="D1728" t="s">
        <v>41</v>
      </c>
      <c r="E1728" t="s">
        <v>30</v>
      </c>
      <c r="F1728" t="s">
        <v>50</v>
      </c>
      <c r="G1728" t="s">
        <v>51</v>
      </c>
      <c r="H1728">
        <v>300000</v>
      </c>
      <c r="I1728">
        <v>8</v>
      </c>
      <c r="J1728" t="s">
        <v>47</v>
      </c>
      <c r="K1728">
        <f t="shared" si="26"/>
        <v>240000</v>
      </c>
    </row>
    <row r="1729" spans="1:11">
      <c r="A1729" t="s">
        <v>114</v>
      </c>
      <c r="B1729" t="s">
        <v>49</v>
      </c>
      <c r="C1729" t="s">
        <v>53</v>
      </c>
      <c r="D1729" t="s">
        <v>29</v>
      </c>
      <c r="E1729" t="s">
        <v>37</v>
      </c>
      <c r="F1729" t="s">
        <v>67</v>
      </c>
      <c r="G1729" t="s">
        <v>51</v>
      </c>
      <c r="H1729">
        <v>420000</v>
      </c>
      <c r="I1729">
        <v>6</v>
      </c>
      <c r="J1729" t="s">
        <v>33</v>
      </c>
      <c r="K1729">
        <f t="shared" si="26"/>
        <v>336000</v>
      </c>
    </row>
    <row r="1730" spans="1:11">
      <c r="A1730" t="s">
        <v>137</v>
      </c>
      <c r="B1730" t="s">
        <v>44</v>
      </c>
      <c r="C1730" t="s">
        <v>53</v>
      </c>
      <c r="D1730" t="s">
        <v>41</v>
      </c>
      <c r="E1730" t="s">
        <v>30</v>
      </c>
      <c r="F1730" t="s">
        <v>62</v>
      </c>
      <c r="G1730" t="s">
        <v>51</v>
      </c>
      <c r="H1730">
        <v>150000</v>
      </c>
      <c r="I1730">
        <v>9</v>
      </c>
      <c r="J1730" t="s">
        <v>58</v>
      </c>
      <c r="K1730">
        <f t="shared" ref="K1730:K1793" si="27">H1730-H1730*0.2</f>
        <v>120000</v>
      </c>
    </row>
    <row r="1731" spans="1:11">
      <c r="A1731" t="s">
        <v>166</v>
      </c>
      <c r="B1731" t="s">
        <v>35</v>
      </c>
      <c r="C1731" t="s">
        <v>45</v>
      </c>
      <c r="D1731" t="s">
        <v>29</v>
      </c>
      <c r="E1731" t="s">
        <v>37</v>
      </c>
      <c r="F1731" t="s">
        <v>38</v>
      </c>
      <c r="G1731" t="s">
        <v>39</v>
      </c>
      <c r="H1731">
        <v>30000</v>
      </c>
      <c r="I1731">
        <v>3</v>
      </c>
      <c r="J1731" t="s">
        <v>47</v>
      </c>
      <c r="K1731">
        <f t="shared" si="27"/>
        <v>24000</v>
      </c>
    </row>
    <row r="1732" spans="1:11">
      <c r="A1732" t="s">
        <v>161</v>
      </c>
      <c r="B1732" t="s">
        <v>35</v>
      </c>
      <c r="C1732" t="s">
        <v>45</v>
      </c>
      <c r="D1732" t="s">
        <v>29</v>
      </c>
      <c r="E1732" t="s">
        <v>37</v>
      </c>
      <c r="F1732" t="s">
        <v>38</v>
      </c>
      <c r="G1732" t="s">
        <v>39</v>
      </c>
      <c r="H1732">
        <v>30000</v>
      </c>
      <c r="I1732">
        <v>4</v>
      </c>
      <c r="J1732" t="s">
        <v>65</v>
      </c>
      <c r="K1732">
        <f t="shared" si="27"/>
        <v>24000</v>
      </c>
    </row>
    <row r="1733" spans="1:11">
      <c r="A1733" t="s">
        <v>105</v>
      </c>
      <c r="B1733" t="s">
        <v>49</v>
      </c>
      <c r="C1733" t="s">
        <v>36</v>
      </c>
      <c r="D1733" t="s">
        <v>41</v>
      </c>
      <c r="E1733" t="s">
        <v>30</v>
      </c>
      <c r="F1733" t="s">
        <v>46</v>
      </c>
      <c r="G1733" t="s">
        <v>39</v>
      </c>
      <c r="H1733">
        <v>60000</v>
      </c>
      <c r="I1733">
        <v>4</v>
      </c>
      <c r="J1733" t="s">
        <v>65</v>
      </c>
      <c r="K1733">
        <f t="shared" si="27"/>
        <v>48000</v>
      </c>
    </row>
    <row r="1734" spans="1:11">
      <c r="A1734" t="s">
        <v>74</v>
      </c>
      <c r="B1734" t="s">
        <v>49</v>
      </c>
      <c r="C1734" t="s">
        <v>45</v>
      </c>
      <c r="D1734" t="s">
        <v>29</v>
      </c>
      <c r="E1734" t="s">
        <v>37</v>
      </c>
      <c r="F1734" t="s">
        <v>71</v>
      </c>
      <c r="G1734" t="s">
        <v>51</v>
      </c>
      <c r="H1734">
        <v>250000</v>
      </c>
      <c r="I1734">
        <v>8</v>
      </c>
      <c r="J1734" t="s">
        <v>33</v>
      </c>
      <c r="K1734">
        <f t="shared" si="27"/>
        <v>200000</v>
      </c>
    </row>
    <row r="1735" spans="1:11">
      <c r="A1735" t="s">
        <v>173</v>
      </c>
      <c r="B1735" t="s">
        <v>49</v>
      </c>
      <c r="C1735" t="s">
        <v>53</v>
      </c>
      <c r="D1735" t="s">
        <v>41</v>
      </c>
      <c r="E1735" t="s">
        <v>30</v>
      </c>
      <c r="F1735" t="s">
        <v>38</v>
      </c>
      <c r="G1735" t="s">
        <v>39</v>
      </c>
      <c r="H1735">
        <v>30000</v>
      </c>
      <c r="I1735">
        <v>6</v>
      </c>
      <c r="J1735" t="s">
        <v>47</v>
      </c>
      <c r="K1735">
        <f t="shared" si="27"/>
        <v>24000</v>
      </c>
    </row>
    <row r="1736" spans="1:11">
      <c r="A1736" t="s">
        <v>86</v>
      </c>
      <c r="B1736" t="s">
        <v>44</v>
      </c>
      <c r="C1736" t="s">
        <v>36</v>
      </c>
      <c r="D1736" t="s">
        <v>41</v>
      </c>
      <c r="E1736" t="s">
        <v>37</v>
      </c>
      <c r="F1736" t="s">
        <v>71</v>
      </c>
      <c r="G1736" t="s">
        <v>51</v>
      </c>
      <c r="H1736">
        <v>250000</v>
      </c>
      <c r="I1736">
        <v>1</v>
      </c>
      <c r="J1736" t="s">
        <v>42</v>
      </c>
      <c r="K1736">
        <f t="shared" si="27"/>
        <v>200000</v>
      </c>
    </row>
    <row r="1737" spans="1:11">
      <c r="A1737" t="s">
        <v>103</v>
      </c>
      <c r="B1737" t="s">
        <v>27</v>
      </c>
      <c r="C1737" t="s">
        <v>28</v>
      </c>
      <c r="D1737" t="s">
        <v>29</v>
      </c>
      <c r="E1737" t="s">
        <v>30</v>
      </c>
      <c r="F1737" t="s">
        <v>31</v>
      </c>
      <c r="G1737" t="s">
        <v>32</v>
      </c>
      <c r="H1737">
        <v>85000</v>
      </c>
      <c r="I1737">
        <v>1</v>
      </c>
      <c r="J1737" t="s">
        <v>58</v>
      </c>
      <c r="K1737">
        <f t="shared" si="27"/>
        <v>68000</v>
      </c>
    </row>
    <row r="1738" spans="1:11">
      <c r="A1738" t="s">
        <v>95</v>
      </c>
      <c r="B1738" t="s">
        <v>49</v>
      </c>
      <c r="C1738" t="s">
        <v>28</v>
      </c>
      <c r="D1738" t="s">
        <v>41</v>
      </c>
      <c r="E1738" t="s">
        <v>37</v>
      </c>
      <c r="F1738" t="s">
        <v>38</v>
      </c>
      <c r="G1738" t="s">
        <v>39</v>
      </c>
      <c r="H1738">
        <v>30000</v>
      </c>
      <c r="I1738">
        <v>9</v>
      </c>
      <c r="J1738" t="s">
        <v>33</v>
      </c>
      <c r="K1738">
        <f t="shared" si="27"/>
        <v>24000</v>
      </c>
    </row>
    <row r="1739" spans="1:11">
      <c r="A1739" t="s">
        <v>108</v>
      </c>
      <c r="B1739" t="s">
        <v>44</v>
      </c>
      <c r="C1739" t="s">
        <v>53</v>
      </c>
      <c r="D1739" t="s">
        <v>41</v>
      </c>
      <c r="E1739" t="s">
        <v>37</v>
      </c>
      <c r="F1739" t="s">
        <v>38</v>
      </c>
      <c r="G1739" t="s">
        <v>39</v>
      </c>
      <c r="H1739">
        <v>30000</v>
      </c>
      <c r="I1739">
        <v>3</v>
      </c>
      <c r="J1739" t="s">
        <v>33</v>
      </c>
      <c r="K1739">
        <f t="shared" si="27"/>
        <v>24000</v>
      </c>
    </row>
    <row r="1740" spans="1:11">
      <c r="A1740" t="s">
        <v>127</v>
      </c>
      <c r="B1740" t="s">
        <v>44</v>
      </c>
      <c r="C1740" t="s">
        <v>28</v>
      </c>
      <c r="D1740" t="s">
        <v>41</v>
      </c>
      <c r="E1740" t="s">
        <v>37</v>
      </c>
      <c r="F1740" t="s">
        <v>62</v>
      </c>
      <c r="G1740" t="s">
        <v>51</v>
      </c>
      <c r="H1740">
        <v>150000</v>
      </c>
      <c r="I1740">
        <v>8</v>
      </c>
      <c r="J1740" t="s">
        <v>47</v>
      </c>
      <c r="K1740">
        <f t="shared" si="27"/>
        <v>120000</v>
      </c>
    </row>
    <row r="1741" spans="1:11">
      <c r="A1741" t="s">
        <v>111</v>
      </c>
      <c r="B1741" t="s">
        <v>49</v>
      </c>
      <c r="C1741" t="s">
        <v>45</v>
      </c>
      <c r="D1741" t="s">
        <v>29</v>
      </c>
      <c r="E1741" t="s">
        <v>37</v>
      </c>
      <c r="F1741" t="s">
        <v>31</v>
      </c>
      <c r="G1741" t="s">
        <v>32</v>
      </c>
      <c r="H1741">
        <v>85000</v>
      </c>
      <c r="I1741">
        <v>4</v>
      </c>
      <c r="J1741" t="s">
        <v>42</v>
      </c>
      <c r="K1741">
        <f t="shared" si="27"/>
        <v>68000</v>
      </c>
    </row>
    <row r="1742" spans="1:11">
      <c r="A1742" t="s">
        <v>68</v>
      </c>
      <c r="B1742" t="s">
        <v>27</v>
      </c>
      <c r="C1742" t="s">
        <v>45</v>
      </c>
      <c r="D1742" t="s">
        <v>41</v>
      </c>
      <c r="E1742" t="s">
        <v>37</v>
      </c>
      <c r="F1742" t="s">
        <v>56</v>
      </c>
      <c r="G1742" t="s">
        <v>32</v>
      </c>
      <c r="H1742">
        <v>320000</v>
      </c>
      <c r="I1742">
        <v>3</v>
      </c>
      <c r="J1742" t="s">
        <v>47</v>
      </c>
      <c r="K1742">
        <f t="shared" si="27"/>
        <v>256000</v>
      </c>
    </row>
    <row r="1743" spans="1:11">
      <c r="A1743" t="s">
        <v>173</v>
      </c>
      <c r="B1743" t="s">
        <v>35</v>
      </c>
      <c r="C1743" t="s">
        <v>53</v>
      </c>
      <c r="D1743" t="s">
        <v>29</v>
      </c>
      <c r="E1743" t="s">
        <v>30</v>
      </c>
      <c r="F1743" t="s">
        <v>46</v>
      </c>
      <c r="G1743" t="s">
        <v>39</v>
      </c>
      <c r="H1743">
        <v>60000</v>
      </c>
      <c r="I1743">
        <v>7</v>
      </c>
      <c r="J1743" t="s">
        <v>42</v>
      </c>
      <c r="K1743">
        <f t="shared" si="27"/>
        <v>48000</v>
      </c>
    </row>
    <row r="1744" spans="1:11">
      <c r="A1744" t="s">
        <v>131</v>
      </c>
      <c r="B1744" t="s">
        <v>35</v>
      </c>
      <c r="C1744" t="s">
        <v>53</v>
      </c>
      <c r="D1744" t="s">
        <v>41</v>
      </c>
      <c r="E1744" t="s">
        <v>37</v>
      </c>
      <c r="F1744" t="s">
        <v>50</v>
      </c>
      <c r="G1744" t="s">
        <v>51</v>
      </c>
      <c r="H1744">
        <v>300000</v>
      </c>
      <c r="I1744">
        <v>6</v>
      </c>
      <c r="J1744" t="s">
        <v>42</v>
      </c>
      <c r="K1744">
        <f t="shared" si="27"/>
        <v>240000</v>
      </c>
    </row>
    <row r="1745" spans="1:11">
      <c r="A1745" t="s">
        <v>75</v>
      </c>
      <c r="B1745" t="s">
        <v>44</v>
      </c>
      <c r="C1745" t="s">
        <v>53</v>
      </c>
      <c r="D1745" t="s">
        <v>29</v>
      </c>
      <c r="E1745" t="s">
        <v>30</v>
      </c>
      <c r="F1745" t="s">
        <v>62</v>
      </c>
      <c r="G1745" t="s">
        <v>51</v>
      </c>
      <c r="H1745">
        <v>150000</v>
      </c>
      <c r="I1745">
        <v>6</v>
      </c>
      <c r="J1745" t="s">
        <v>58</v>
      </c>
      <c r="K1745">
        <f t="shared" si="27"/>
        <v>120000</v>
      </c>
    </row>
    <row r="1746" spans="1:11">
      <c r="A1746" t="s">
        <v>130</v>
      </c>
      <c r="B1746" t="s">
        <v>44</v>
      </c>
      <c r="C1746" t="s">
        <v>28</v>
      </c>
      <c r="D1746" t="s">
        <v>41</v>
      </c>
      <c r="E1746" t="s">
        <v>30</v>
      </c>
      <c r="F1746" t="s">
        <v>50</v>
      </c>
      <c r="G1746" t="s">
        <v>51</v>
      </c>
      <c r="H1746">
        <v>300000</v>
      </c>
      <c r="I1746">
        <v>10</v>
      </c>
      <c r="J1746" t="s">
        <v>47</v>
      </c>
      <c r="K1746">
        <f t="shared" si="27"/>
        <v>240000</v>
      </c>
    </row>
    <row r="1747" spans="1:11">
      <c r="A1747" t="s">
        <v>111</v>
      </c>
      <c r="B1747" t="s">
        <v>35</v>
      </c>
      <c r="C1747" t="s">
        <v>36</v>
      </c>
      <c r="D1747" t="s">
        <v>29</v>
      </c>
      <c r="E1747" t="s">
        <v>30</v>
      </c>
      <c r="F1747" t="s">
        <v>67</v>
      </c>
      <c r="G1747" t="s">
        <v>51</v>
      </c>
      <c r="H1747">
        <v>420000</v>
      </c>
      <c r="I1747">
        <v>1</v>
      </c>
      <c r="J1747" t="s">
        <v>33</v>
      </c>
      <c r="K1747">
        <f t="shared" si="27"/>
        <v>336000</v>
      </c>
    </row>
    <row r="1748" spans="1:11">
      <c r="A1748" t="s">
        <v>131</v>
      </c>
      <c r="B1748" t="s">
        <v>27</v>
      </c>
      <c r="C1748" t="s">
        <v>28</v>
      </c>
      <c r="D1748" t="s">
        <v>29</v>
      </c>
      <c r="E1748" t="s">
        <v>37</v>
      </c>
      <c r="F1748" t="s">
        <v>46</v>
      </c>
      <c r="G1748" t="s">
        <v>39</v>
      </c>
      <c r="H1748">
        <v>60000</v>
      </c>
      <c r="I1748">
        <v>1</v>
      </c>
      <c r="J1748" t="s">
        <v>42</v>
      </c>
      <c r="K1748">
        <f t="shared" si="27"/>
        <v>48000</v>
      </c>
    </row>
    <row r="1749" spans="1:11">
      <c r="A1749" t="s">
        <v>148</v>
      </c>
      <c r="B1749" t="s">
        <v>49</v>
      </c>
      <c r="C1749" t="s">
        <v>36</v>
      </c>
      <c r="D1749" t="s">
        <v>29</v>
      </c>
      <c r="E1749" t="s">
        <v>30</v>
      </c>
      <c r="F1749" t="s">
        <v>62</v>
      </c>
      <c r="G1749" t="s">
        <v>51</v>
      </c>
      <c r="H1749">
        <v>150000</v>
      </c>
      <c r="I1749">
        <v>10</v>
      </c>
      <c r="J1749" t="s">
        <v>69</v>
      </c>
      <c r="K1749">
        <f t="shared" si="27"/>
        <v>120000</v>
      </c>
    </row>
    <row r="1750" spans="1:11">
      <c r="A1750" t="s">
        <v>100</v>
      </c>
      <c r="B1750" t="s">
        <v>27</v>
      </c>
      <c r="C1750" t="s">
        <v>53</v>
      </c>
      <c r="D1750" t="s">
        <v>29</v>
      </c>
      <c r="E1750" t="s">
        <v>30</v>
      </c>
      <c r="F1750" t="s">
        <v>54</v>
      </c>
      <c r="G1750" t="s">
        <v>39</v>
      </c>
      <c r="H1750">
        <v>180000</v>
      </c>
      <c r="I1750">
        <v>10</v>
      </c>
      <c r="J1750" t="s">
        <v>47</v>
      </c>
      <c r="K1750">
        <f t="shared" si="27"/>
        <v>144000</v>
      </c>
    </row>
    <row r="1751" spans="1:11">
      <c r="A1751" t="s">
        <v>109</v>
      </c>
      <c r="B1751" t="s">
        <v>44</v>
      </c>
      <c r="C1751" t="s">
        <v>28</v>
      </c>
      <c r="D1751" t="s">
        <v>41</v>
      </c>
      <c r="E1751" t="s">
        <v>30</v>
      </c>
      <c r="F1751" t="s">
        <v>62</v>
      </c>
      <c r="G1751" t="s">
        <v>51</v>
      </c>
      <c r="H1751">
        <v>150000</v>
      </c>
      <c r="I1751">
        <v>10</v>
      </c>
      <c r="J1751" t="s">
        <v>42</v>
      </c>
      <c r="K1751">
        <f t="shared" si="27"/>
        <v>120000</v>
      </c>
    </row>
    <row r="1752" spans="1:11">
      <c r="A1752" t="s">
        <v>175</v>
      </c>
      <c r="B1752" t="s">
        <v>35</v>
      </c>
      <c r="C1752" t="s">
        <v>28</v>
      </c>
      <c r="D1752" t="s">
        <v>41</v>
      </c>
      <c r="E1752" t="s">
        <v>37</v>
      </c>
      <c r="F1752" t="s">
        <v>46</v>
      </c>
      <c r="G1752" t="s">
        <v>39</v>
      </c>
      <c r="H1752">
        <v>60000</v>
      </c>
      <c r="I1752">
        <v>8</v>
      </c>
      <c r="J1752" t="s">
        <v>69</v>
      </c>
      <c r="K1752">
        <f t="shared" si="27"/>
        <v>48000</v>
      </c>
    </row>
    <row r="1753" spans="1:11">
      <c r="A1753" t="s">
        <v>110</v>
      </c>
      <c r="B1753" t="s">
        <v>49</v>
      </c>
      <c r="C1753" t="s">
        <v>28</v>
      </c>
      <c r="D1753" t="s">
        <v>29</v>
      </c>
      <c r="E1753" t="s">
        <v>30</v>
      </c>
      <c r="F1753" t="s">
        <v>73</v>
      </c>
      <c r="G1753" t="s">
        <v>39</v>
      </c>
      <c r="H1753">
        <v>220000</v>
      </c>
      <c r="I1753">
        <v>7</v>
      </c>
      <c r="J1753" t="s">
        <v>65</v>
      </c>
      <c r="K1753">
        <f t="shared" si="27"/>
        <v>176000</v>
      </c>
    </row>
    <row r="1754" spans="1:11">
      <c r="A1754" t="s">
        <v>153</v>
      </c>
      <c r="B1754" t="s">
        <v>35</v>
      </c>
      <c r="C1754" t="s">
        <v>53</v>
      </c>
      <c r="D1754" t="s">
        <v>29</v>
      </c>
      <c r="E1754" t="s">
        <v>30</v>
      </c>
      <c r="F1754" t="s">
        <v>38</v>
      </c>
      <c r="G1754" t="s">
        <v>39</v>
      </c>
      <c r="H1754">
        <v>30000</v>
      </c>
      <c r="I1754">
        <v>1</v>
      </c>
      <c r="J1754" t="s">
        <v>58</v>
      </c>
      <c r="K1754">
        <f t="shared" si="27"/>
        <v>24000</v>
      </c>
    </row>
    <row r="1755" spans="1:11">
      <c r="A1755" t="s">
        <v>82</v>
      </c>
      <c r="B1755" t="s">
        <v>35</v>
      </c>
      <c r="C1755" t="s">
        <v>36</v>
      </c>
      <c r="D1755" t="s">
        <v>41</v>
      </c>
      <c r="E1755" t="s">
        <v>37</v>
      </c>
      <c r="F1755" t="s">
        <v>62</v>
      </c>
      <c r="G1755" t="s">
        <v>51</v>
      </c>
      <c r="H1755">
        <v>150000</v>
      </c>
      <c r="I1755">
        <v>6</v>
      </c>
      <c r="J1755" t="s">
        <v>33</v>
      </c>
      <c r="K1755">
        <f t="shared" si="27"/>
        <v>120000</v>
      </c>
    </row>
    <row r="1756" spans="1:11">
      <c r="A1756" t="s">
        <v>86</v>
      </c>
      <c r="B1756" t="s">
        <v>44</v>
      </c>
      <c r="C1756" t="s">
        <v>53</v>
      </c>
      <c r="D1756" t="s">
        <v>29</v>
      </c>
      <c r="E1756" t="s">
        <v>37</v>
      </c>
      <c r="F1756" t="s">
        <v>38</v>
      </c>
      <c r="G1756" t="s">
        <v>39</v>
      </c>
      <c r="H1756">
        <v>30000</v>
      </c>
      <c r="I1756">
        <v>4</v>
      </c>
      <c r="J1756" t="s">
        <v>33</v>
      </c>
      <c r="K1756">
        <f t="shared" si="27"/>
        <v>24000</v>
      </c>
    </row>
    <row r="1757" spans="1:11">
      <c r="A1757" t="s">
        <v>125</v>
      </c>
      <c r="B1757" t="s">
        <v>44</v>
      </c>
      <c r="C1757" t="s">
        <v>45</v>
      </c>
      <c r="D1757" t="s">
        <v>41</v>
      </c>
      <c r="E1757" t="s">
        <v>30</v>
      </c>
      <c r="F1757" t="s">
        <v>73</v>
      </c>
      <c r="G1757" t="s">
        <v>39</v>
      </c>
      <c r="H1757">
        <v>220000</v>
      </c>
      <c r="I1757">
        <v>1</v>
      </c>
      <c r="J1757" t="s">
        <v>47</v>
      </c>
      <c r="K1757">
        <f t="shared" si="27"/>
        <v>176000</v>
      </c>
    </row>
    <row r="1758" spans="1:11">
      <c r="A1758" t="s">
        <v>161</v>
      </c>
      <c r="B1758" t="s">
        <v>44</v>
      </c>
      <c r="C1758" t="s">
        <v>36</v>
      </c>
      <c r="D1758" t="s">
        <v>29</v>
      </c>
      <c r="E1758" t="s">
        <v>30</v>
      </c>
      <c r="F1758" t="s">
        <v>46</v>
      </c>
      <c r="G1758" t="s">
        <v>39</v>
      </c>
      <c r="H1758">
        <v>60000</v>
      </c>
      <c r="I1758">
        <v>6</v>
      </c>
      <c r="J1758" t="s">
        <v>42</v>
      </c>
      <c r="K1758">
        <f t="shared" si="27"/>
        <v>48000</v>
      </c>
    </row>
    <row r="1759" spans="1:11">
      <c r="A1759" t="s">
        <v>173</v>
      </c>
      <c r="B1759" t="s">
        <v>44</v>
      </c>
      <c r="C1759" t="s">
        <v>28</v>
      </c>
      <c r="D1759" t="s">
        <v>41</v>
      </c>
      <c r="E1759" t="s">
        <v>37</v>
      </c>
      <c r="F1759" t="s">
        <v>71</v>
      </c>
      <c r="G1759" t="s">
        <v>51</v>
      </c>
      <c r="H1759">
        <v>250000</v>
      </c>
      <c r="I1759">
        <v>7</v>
      </c>
      <c r="J1759" t="s">
        <v>69</v>
      </c>
      <c r="K1759">
        <f t="shared" si="27"/>
        <v>200000</v>
      </c>
    </row>
    <row r="1760" spans="1:11">
      <c r="A1760" t="s">
        <v>149</v>
      </c>
      <c r="B1760" t="s">
        <v>35</v>
      </c>
      <c r="C1760" t="s">
        <v>45</v>
      </c>
      <c r="D1760" t="s">
        <v>41</v>
      </c>
      <c r="E1760" t="s">
        <v>30</v>
      </c>
      <c r="F1760" t="s">
        <v>73</v>
      </c>
      <c r="G1760" t="s">
        <v>39</v>
      </c>
      <c r="H1760">
        <v>220000</v>
      </c>
      <c r="I1760">
        <v>9</v>
      </c>
      <c r="J1760" t="s">
        <v>58</v>
      </c>
      <c r="K1760">
        <f t="shared" si="27"/>
        <v>176000</v>
      </c>
    </row>
    <row r="1761" spans="1:11">
      <c r="A1761" t="s">
        <v>167</v>
      </c>
      <c r="B1761" t="s">
        <v>44</v>
      </c>
      <c r="C1761" t="s">
        <v>45</v>
      </c>
      <c r="D1761" t="s">
        <v>41</v>
      </c>
      <c r="E1761" t="s">
        <v>30</v>
      </c>
      <c r="F1761" t="s">
        <v>38</v>
      </c>
      <c r="G1761" t="s">
        <v>39</v>
      </c>
      <c r="H1761">
        <v>30000</v>
      </c>
      <c r="I1761">
        <v>10</v>
      </c>
      <c r="J1761" t="s">
        <v>47</v>
      </c>
      <c r="K1761">
        <f t="shared" si="27"/>
        <v>24000</v>
      </c>
    </row>
    <row r="1762" spans="1:11">
      <c r="A1762" t="s">
        <v>114</v>
      </c>
      <c r="B1762" t="s">
        <v>35</v>
      </c>
      <c r="C1762" t="s">
        <v>45</v>
      </c>
      <c r="D1762" t="s">
        <v>29</v>
      </c>
      <c r="E1762" t="s">
        <v>30</v>
      </c>
      <c r="F1762" t="s">
        <v>62</v>
      </c>
      <c r="G1762" t="s">
        <v>51</v>
      </c>
      <c r="H1762">
        <v>150000</v>
      </c>
      <c r="I1762">
        <v>1</v>
      </c>
      <c r="J1762" t="s">
        <v>42</v>
      </c>
      <c r="K1762">
        <f t="shared" si="27"/>
        <v>120000</v>
      </c>
    </row>
    <row r="1763" spans="1:11">
      <c r="A1763" t="s">
        <v>117</v>
      </c>
      <c r="B1763" t="s">
        <v>49</v>
      </c>
      <c r="C1763" t="s">
        <v>28</v>
      </c>
      <c r="D1763" t="s">
        <v>29</v>
      </c>
      <c r="E1763" t="s">
        <v>30</v>
      </c>
      <c r="F1763" t="s">
        <v>54</v>
      </c>
      <c r="G1763" t="s">
        <v>39</v>
      </c>
      <c r="H1763">
        <v>180000</v>
      </c>
      <c r="I1763">
        <v>3</v>
      </c>
      <c r="J1763" t="s">
        <v>58</v>
      </c>
      <c r="K1763">
        <f t="shared" si="27"/>
        <v>144000</v>
      </c>
    </row>
    <row r="1764" spans="1:11">
      <c r="A1764" t="s">
        <v>161</v>
      </c>
      <c r="B1764" t="s">
        <v>44</v>
      </c>
      <c r="C1764" t="s">
        <v>28</v>
      </c>
      <c r="D1764" t="s">
        <v>41</v>
      </c>
      <c r="E1764" t="s">
        <v>30</v>
      </c>
      <c r="F1764" t="s">
        <v>67</v>
      </c>
      <c r="G1764" t="s">
        <v>51</v>
      </c>
      <c r="H1764">
        <v>420000</v>
      </c>
      <c r="I1764">
        <v>10</v>
      </c>
      <c r="J1764" t="s">
        <v>58</v>
      </c>
      <c r="K1764">
        <f t="shared" si="27"/>
        <v>336000</v>
      </c>
    </row>
    <row r="1765" spans="1:11">
      <c r="A1765" t="s">
        <v>76</v>
      </c>
      <c r="B1765" t="s">
        <v>49</v>
      </c>
      <c r="C1765" t="s">
        <v>28</v>
      </c>
      <c r="D1765" t="s">
        <v>41</v>
      </c>
      <c r="E1765" t="s">
        <v>30</v>
      </c>
      <c r="F1765" t="s">
        <v>31</v>
      </c>
      <c r="G1765" t="s">
        <v>32</v>
      </c>
      <c r="H1765">
        <v>85000</v>
      </c>
      <c r="I1765">
        <v>2</v>
      </c>
      <c r="J1765" t="s">
        <v>65</v>
      </c>
      <c r="K1765">
        <f t="shared" si="27"/>
        <v>68000</v>
      </c>
    </row>
    <row r="1766" spans="1:11">
      <c r="A1766" t="s">
        <v>131</v>
      </c>
      <c r="B1766" t="s">
        <v>27</v>
      </c>
      <c r="C1766" t="s">
        <v>45</v>
      </c>
      <c r="D1766" t="s">
        <v>41</v>
      </c>
      <c r="E1766" t="s">
        <v>30</v>
      </c>
      <c r="F1766" t="s">
        <v>46</v>
      </c>
      <c r="G1766" t="s">
        <v>39</v>
      </c>
      <c r="H1766">
        <v>60000</v>
      </c>
      <c r="I1766">
        <v>4</v>
      </c>
      <c r="J1766" t="s">
        <v>65</v>
      </c>
      <c r="K1766">
        <f t="shared" si="27"/>
        <v>48000</v>
      </c>
    </row>
    <row r="1767" spans="1:11">
      <c r="A1767" t="s">
        <v>150</v>
      </c>
      <c r="B1767" t="s">
        <v>49</v>
      </c>
      <c r="C1767" t="s">
        <v>36</v>
      </c>
      <c r="D1767" t="s">
        <v>41</v>
      </c>
      <c r="E1767" t="s">
        <v>30</v>
      </c>
      <c r="F1767" t="s">
        <v>62</v>
      </c>
      <c r="G1767" t="s">
        <v>51</v>
      </c>
      <c r="H1767">
        <v>150000</v>
      </c>
      <c r="I1767">
        <v>9</v>
      </c>
      <c r="J1767" t="s">
        <v>65</v>
      </c>
      <c r="K1767">
        <f t="shared" si="27"/>
        <v>120000</v>
      </c>
    </row>
    <row r="1768" spans="1:11">
      <c r="A1768" t="s">
        <v>83</v>
      </c>
      <c r="B1768" t="s">
        <v>44</v>
      </c>
      <c r="C1768" t="s">
        <v>53</v>
      </c>
      <c r="D1768" t="s">
        <v>29</v>
      </c>
      <c r="E1768" t="s">
        <v>37</v>
      </c>
      <c r="F1768" t="s">
        <v>67</v>
      </c>
      <c r="G1768" t="s">
        <v>51</v>
      </c>
      <c r="H1768">
        <v>420000</v>
      </c>
      <c r="I1768">
        <v>1</v>
      </c>
      <c r="J1768" t="s">
        <v>58</v>
      </c>
      <c r="K1768">
        <f t="shared" si="27"/>
        <v>336000</v>
      </c>
    </row>
    <row r="1769" spans="1:11">
      <c r="A1769" t="s">
        <v>149</v>
      </c>
      <c r="B1769" t="s">
        <v>35</v>
      </c>
      <c r="C1769" t="s">
        <v>36</v>
      </c>
      <c r="D1769" t="s">
        <v>29</v>
      </c>
      <c r="E1769" t="s">
        <v>30</v>
      </c>
      <c r="F1769" t="s">
        <v>67</v>
      </c>
      <c r="G1769" t="s">
        <v>51</v>
      </c>
      <c r="H1769">
        <v>420000</v>
      </c>
      <c r="I1769">
        <v>9</v>
      </c>
      <c r="J1769" t="s">
        <v>65</v>
      </c>
      <c r="K1769">
        <f t="shared" si="27"/>
        <v>336000</v>
      </c>
    </row>
    <row r="1770" spans="1:11">
      <c r="A1770" t="s">
        <v>63</v>
      </c>
      <c r="B1770" t="s">
        <v>27</v>
      </c>
      <c r="C1770" t="s">
        <v>53</v>
      </c>
      <c r="D1770" t="s">
        <v>41</v>
      </c>
      <c r="E1770" t="s">
        <v>37</v>
      </c>
      <c r="F1770" t="s">
        <v>67</v>
      </c>
      <c r="G1770" t="s">
        <v>51</v>
      </c>
      <c r="H1770">
        <v>420000</v>
      </c>
      <c r="I1770">
        <v>9</v>
      </c>
      <c r="J1770" t="s">
        <v>69</v>
      </c>
      <c r="K1770">
        <f t="shared" si="27"/>
        <v>336000</v>
      </c>
    </row>
    <row r="1771" spans="1:11">
      <c r="A1771" t="s">
        <v>160</v>
      </c>
      <c r="B1771" t="s">
        <v>27</v>
      </c>
      <c r="C1771" t="s">
        <v>53</v>
      </c>
      <c r="D1771" t="s">
        <v>29</v>
      </c>
      <c r="E1771" t="s">
        <v>37</v>
      </c>
      <c r="F1771" t="s">
        <v>31</v>
      </c>
      <c r="G1771" t="s">
        <v>32</v>
      </c>
      <c r="H1771">
        <v>85000</v>
      </c>
      <c r="I1771">
        <v>6</v>
      </c>
      <c r="J1771" t="s">
        <v>42</v>
      </c>
      <c r="K1771">
        <f t="shared" si="27"/>
        <v>68000</v>
      </c>
    </row>
    <row r="1772" spans="1:11">
      <c r="A1772" t="s">
        <v>68</v>
      </c>
      <c r="B1772" t="s">
        <v>49</v>
      </c>
      <c r="C1772" t="s">
        <v>53</v>
      </c>
      <c r="D1772" t="s">
        <v>41</v>
      </c>
      <c r="E1772" t="s">
        <v>30</v>
      </c>
      <c r="F1772" t="s">
        <v>56</v>
      </c>
      <c r="G1772" t="s">
        <v>32</v>
      </c>
      <c r="H1772">
        <v>320000</v>
      </c>
      <c r="I1772">
        <v>3</v>
      </c>
      <c r="J1772" t="s">
        <v>58</v>
      </c>
      <c r="K1772">
        <f t="shared" si="27"/>
        <v>256000</v>
      </c>
    </row>
    <row r="1773" spans="1:11">
      <c r="A1773" t="s">
        <v>57</v>
      </c>
      <c r="B1773" t="s">
        <v>49</v>
      </c>
      <c r="C1773" t="s">
        <v>36</v>
      </c>
      <c r="D1773" t="s">
        <v>41</v>
      </c>
      <c r="E1773" t="s">
        <v>30</v>
      </c>
      <c r="F1773" t="s">
        <v>54</v>
      </c>
      <c r="G1773" t="s">
        <v>39</v>
      </c>
      <c r="H1773">
        <v>180000</v>
      </c>
      <c r="I1773">
        <v>8</v>
      </c>
      <c r="J1773" t="s">
        <v>47</v>
      </c>
      <c r="K1773">
        <f t="shared" si="27"/>
        <v>144000</v>
      </c>
    </row>
    <row r="1774" spans="1:11">
      <c r="A1774" t="s">
        <v>158</v>
      </c>
      <c r="B1774" t="s">
        <v>27</v>
      </c>
      <c r="C1774" t="s">
        <v>28</v>
      </c>
      <c r="D1774" t="s">
        <v>29</v>
      </c>
      <c r="E1774" t="s">
        <v>30</v>
      </c>
      <c r="F1774" t="s">
        <v>31</v>
      </c>
      <c r="G1774" t="s">
        <v>32</v>
      </c>
      <c r="H1774">
        <v>85000</v>
      </c>
      <c r="I1774">
        <v>6</v>
      </c>
      <c r="J1774" t="s">
        <v>58</v>
      </c>
      <c r="K1774">
        <f t="shared" si="27"/>
        <v>68000</v>
      </c>
    </row>
    <row r="1775" spans="1:11">
      <c r="A1775" t="s">
        <v>139</v>
      </c>
      <c r="B1775" t="s">
        <v>27</v>
      </c>
      <c r="C1775" t="s">
        <v>53</v>
      </c>
      <c r="D1775" t="s">
        <v>29</v>
      </c>
      <c r="E1775" t="s">
        <v>30</v>
      </c>
      <c r="F1775" t="s">
        <v>50</v>
      </c>
      <c r="G1775" t="s">
        <v>51</v>
      </c>
      <c r="H1775">
        <v>300000</v>
      </c>
      <c r="I1775">
        <v>3</v>
      </c>
      <c r="J1775" t="s">
        <v>33</v>
      </c>
      <c r="K1775">
        <f t="shared" si="27"/>
        <v>240000</v>
      </c>
    </row>
    <row r="1776" spans="1:11">
      <c r="A1776" t="s">
        <v>128</v>
      </c>
      <c r="B1776" t="s">
        <v>49</v>
      </c>
      <c r="C1776" t="s">
        <v>28</v>
      </c>
      <c r="D1776" t="s">
        <v>41</v>
      </c>
      <c r="E1776" t="s">
        <v>37</v>
      </c>
      <c r="F1776" t="s">
        <v>54</v>
      </c>
      <c r="G1776" t="s">
        <v>39</v>
      </c>
      <c r="H1776">
        <v>180000</v>
      </c>
      <c r="I1776">
        <v>1</v>
      </c>
      <c r="J1776" t="s">
        <v>47</v>
      </c>
      <c r="K1776">
        <f t="shared" si="27"/>
        <v>144000</v>
      </c>
    </row>
    <row r="1777" spans="1:11">
      <c r="A1777" t="s">
        <v>146</v>
      </c>
      <c r="B1777" t="s">
        <v>35</v>
      </c>
      <c r="C1777" t="s">
        <v>45</v>
      </c>
      <c r="D1777" t="s">
        <v>29</v>
      </c>
      <c r="E1777" t="s">
        <v>30</v>
      </c>
      <c r="F1777" t="s">
        <v>73</v>
      </c>
      <c r="G1777" t="s">
        <v>39</v>
      </c>
      <c r="H1777">
        <v>220000</v>
      </c>
      <c r="I1777">
        <v>1</v>
      </c>
      <c r="J1777" t="s">
        <v>65</v>
      </c>
      <c r="K1777">
        <f t="shared" si="27"/>
        <v>176000</v>
      </c>
    </row>
    <row r="1778" spans="1:11">
      <c r="A1778" t="s">
        <v>61</v>
      </c>
      <c r="B1778" t="s">
        <v>44</v>
      </c>
      <c r="C1778" t="s">
        <v>53</v>
      </c>
      <c r="D1778" t="s">
        <v>29</v>
      </c>
      <c r="E1778" t="s">
        <v>37</v>
      </c>
      <c r="F1778" t="s">
        <v>38</v>
      </c>
      <c r="G1778" t="s">
        <v>39</v>
      </c>
      <c r="H1778">
        <v>30000</v>
      </c>
      <c r="I1778">
        <v>1</v>
      </c>
      <c r="J1778" t="s">
        <v>65</v>
      </c>
      <c r="K1778">
        <f t="shared" si="27"/>
        <v>24000</v>
      </c>
    </row>
    <row r="1779" spans="1:11">
      <c r="A1779" t="s">
        <v>150</v>
      </c>
      <c r="B1779" t="s">
        <v>35</v>
      </c>
      <c r="C1779" t="s">
        <v>28</v>
      </c>
      <c r="D1779" t="s">
        <v>41</v>
      </c>
      <c r="E1779" t="s">
        <v>37</v>
      </c>
      <c r="F1779" t="s">
        <v>46</v>
      </c>
      <c r="G1779" t="s">
        <v>39</v>
      </c>
      <c r="H1779">
        <v>60000</v>
      </c>
      <c r="I1779">
        <v>2</v>
      </c>
      <c r="J1779" t="s">
        <v>69</v>
      </c>
      <c r="K1779">
        <f t="shared" si="27"/>
        <v>48000</v>
      </c>
    </row>
    <row r="1780" spans="1:11">
      <c r="A1780" t="s">
        <v>75</v>
      </c>
      <c r="B1780" t="s">
        <v>27</v>
      </c>
      <c r="C1780" t="s">
        <v>36</v>
      </c>
      <c r="D1780" t="s">
        <v>29</v>
      </c>
      <c r="E1780" t="s">
        <v>37</v>
      </c>
      <c r="F1780" t="s">
        <v>71</v>
      </c>
      <c r="G1780" t="s">
        <v>51</v>
      </c>
      <c r="H1780">
        <v>250000</v>
      </c>
      <c r="I1780">
        <v>7</v>
      </c>
      <c r="J1780" t="s">
        <v>65</v>
      </c>
      <c r="K1780">
        <f t="shared" si="27"/>
        <v>200000</v>
      </c>
    </row>
    <row r="1781" spans="1:11">
      <c r="A1781" t="s">
        <v>176</v>
      </c>
      <c r="B1781" t="s">
        <v>27</v>
      </c>
      <c r="C1781" t="s">
        <v>45</v>
      </c>
      <c r="D1781" t="s">
        <v>41</v>
      </c>
      <c r="E1781" t="s">
        <v>30</v>
      </c>
      <c r="F1781" t="s">
        <v>67</v>
      </c>
      <c r="G1781" t="s">
        <v>51</v>
      </c>
      <c r="H1781">
        <v>420000</v>
      </c>
      <c r="I1781">
        <v>10</v>
      </c>
      <c r="J1781" t="s">
        <v>47</v>
      </c>
      <c r="K1781">
        <f t="shared" si="27"/>
        <v>336000</v>
      </c>
    </row>
    <row r="1782" spans="1:11">
      <c r="A1782" t="s">
        <v>60</v>
      </c>
      <c r="B1782" t="s">
        <v>27</v>
      </c>
      <c r="C1782" t="s">
        <v>28</v>
      </c>
      <c r="D1782" t="s">
        <v>41</v>
      </c>
      <c r="E1782" t="s">
        <v>30</v>
      </c>
      <c r="F1782" t="s">
        <v>56</v>
      </c>
      <c r="G1782" t="s">
        <v>32</v>
      </c>
      <c r="H1782">
        <v>320000</v>
      </c>
      <c r="I1782">
        <v>10</v>
      </c>
      <c r="J1782" t="s">
        <v>58</v>
      </c>
      <c r="K1782">
        <f t="shared" si="27"/>
        <v>256000</v>
      </c>
    </row>
    <row r="1783" spans="1:11">
      <c r="A1783" t="s">
        <v>130</v>
      </c>
      <c r="B1783" t="s">
        <v>44</v>
      </c>
      <c r="C1783" t="s">
        <v>53</v>
      </c>
      <c r="D1783" t="s">
        <v>29</v>
      </c>
      <c r="E1783" t="s">
        <v>30</v>
      </c>
      <c r="F1783" t="s">
        <v>50</v>
      </c>
      <c r="G1783" t="s">
        <v>51</v>
      </c>
      <c r="H1783">
        <v>300000</v>
      </c>
      <c r="I1783">
        <v>1</v>
      </c>
      <c r="J1783" t="s">
        <v>47</v>
      </c>
      <c r="K1783">
        <f t="shared" si="27"/>
        <v>240000</v>
      </c>
    </row>
    <row r="1784" spans="1:11">
      <c r="A1784" t="s">
        <v>171</v>
      </c>
      <c r="B1784" t="s">
        <v>44</v>
      </c>
      <c r="C1784" t="s">
        <v>45</v>
      </c>
      <c r="D1784" t="s">
        <v>41</v>
      </c>
      <c r="E1784" t="s">
        <v>37</v>
      </c>
      <c r="F1784" t="s">
        <v>62</v>
      </c>
      <c r="G1784" t="s">
        <v>51</v>
      </c>
      <c r="H1784">
        <v>150000</v>
      </c>
      <c r="I1784">
        <v>3</v>
      </c>
      <c r="J1784" t="s">
        <v>42</v>
      </c>
      <c r="K1784">
        <f t="shared" si="27"/>
        <v>120000</v>
      </c>
    </row>
    <row r="1785" spans="1:11">
      <c r="A1785" t="s">
        <v>83</v>
      </c>
      <c r="B1785" t="s">
        <v>27</v>
      </c>
      <c r="C1785" t="s">
        <v>45</v>
      </c>
      <c r="D1785" t="s">
        <v>41</v>
      </c>
      <c r="E1785" t="s">
        <v>30</v>
      </c>
      <c r="F1785" t="s">
        <v>71</v>
      </c>
      <c r="G1785" t="s">
        <v>51</v>
      </c>
      <c r="H1785">
        <v>250000</v>
      </c>
      <c r="I1785">
        <v>3</v>
      </c>
      <c r="J1785" t="s">
        <v>65</v>
      </c>
      <c r="K1785">
        <f t="shared" si="27"/>
        <v>200000</v>
      </c>
    </row>
    <row r="1786" spans="1:11">
      <c r="A1786" t="s">
        <v>63</v>
      </c>
      <c r="B1786" t="s">
        <v>49</v>
      </c>
      <c r="C1786" t="s">
        <v>36</v>
      </c>
      <c r="D1786" t="s">
        <v>29</v>
      </c>
      <c r="E1786" t="s">
        <v>37</v>
      </c>
      <c r="F1786" t="s">
        <v>67</v>
      </c>
      <c r="G1786" t="s">
        <v>51</v>
      </c>
      <c r="H1786">
        <v>420000</v>
      </c>
      <c r="I1786">
        <v>4</v>
      </c>
      <c r="J1786" t="s">
        <v>42</v>
      </c>
      <c r="K1786">
        <f t="shared" si="27"/>
        <v>336000</v>
      </c>
    </row>
    <row r="1787" spans="1:11">
      <c r="A1787" t="s">
        <v>148</v>
      </c>
      <c r="B1787" t="s">
        <v>49</v>
      </c>
      <c r="C1787" t="s">
        <v>36</v>
      </c>
      <c r="D1787" t="s">
        <v>41</v>
      </c>
      <c r="E1787" t="s">
        <v>30</v>
      </c>
      <c r="F1787" t="s">
        <v>54</v>
      </c>
      <c r="G1787" t="s">
        <v>39</v>
      </c>
      <c r="H1787">
        <v>180000</v>
      </c>
      <c r="I1787">
        <v>1</v>
      </c>
      <c r="J1787" t="s">
        <v>33</v>
      </c>
      <c r="K1787">
        <f t="shared" si="27"/>
        <v>144000</v>
      </c>
    </row>
    <row r="1788" spans="1:11">
      <c r="A1788" t="s">
        <v>52</v>
      </c>
      <c r="B1788" t="s">
        <v>49</v>
      </c>
      <c r="C1788" t="s">
        <v>28</v>
      </c>
      <c r="D1788" t="s">
        <v>41</v>
      </c>
      <c r="E1788" t="s">
        <v>37</v>
      </c>
      <c r="F1788" t="s">
        <v>62</v>
      </c>
      <c r="G1788" t="s">
        <v>51</v>
      </c>
      <c r="H1788">
        <v>150000</v>
      </c>
      <c r="I1788">
        <v>3</v>
      </c>
      <c r="J1788" t="s">
        <v>58</v>
      </c>
      <c r="K1788">
        <f t="shared" si="27"/>
        <v>120000</v>
      </c>
    </row>
    <row r="1789" spans="1:11">
      <c r="A1789" t="s">
        <v>101</v>
      </c>
      <c r="B1789" t="s">
        <v>44</v>
      </c>
      <c r="C1789" t="s">
        <v>53</v>
      </c>
      <c r="D1789" t="s">
        <v>41</v>
      </c>
      <c r="E1789" t="s">
        <v>30</v>
      </c>
      <c r="F1789" t="s">
        <v>73</v>
      </c>
      <c r="G1789" t="s">
        <v>39</v>
      </c>
      <c r="H1789">
        <v>220000</v>
      </c>
      <c r="I1789">
        <v>9</v>
      </c>
      <c r="J1789" t="s">
        <v>47</v>
      </c>
      <c r="K1789">
        <f t="shared" si="27"/>
        <v>176000</v>
      </c>
    </row>
    <row r="1790" spans="1:11">
      <c r="A1790" t="s">
        <v>89</v>
      </c>
      <c r="B1790" t="s">
        <v>49</v>
      </c>
      <c r="C1790" t="s">
        <v>45</v>
      </c>
      <c r="D1790" t="s">
        <v>41</v>
      </c>
      <c r="E1790" t="s">
        <v>30</v>
      </c>
      <c r="F1790" t="s">
        <v>67</v>
      </c>
      <c r="G1790" t="s">
        <v>51</v>
      </c>
      <c r="H1790">
        <v>420000</v>
      </c>
      <c r="I1790">
        <v>4</v>
      </c>
      <c r="J1790" t="s">
        <v>47</v>
      </c>
      <c r="K1790">
        <f t="shared" si="27"/>
        <v>336000</v>
      </c>
    </row>
    <row r="1791" spans="1:11">
      <c r="A1791" t="s">
        <v>174</v>
      </c>
      <c r="B1791" t="s">
        <v>49</v>
      </c>
      <c r="C1791" t="s">
        <v>45</v>
      </c>
      <c r="D1791" t="s">
        <v>41</v>
      </c>
      <c r="E1791" t="s">
        <v>37</v>
      </c>
      <c r="F1791" t="s">
        <v>50</v>
      </c>
      <c r="G1791" t="s">
        <v>51</v>
      </c>
      <c r="H1791">
        <v>300000</v>
      </c>
      <c r="I1791">
        <v>2</v>
      </c>
      <c r="J1791" t="s">
        <v>69</v>
      </c>
      <c r="K1791">
        <f t="shared" si="27"/>
        <v>240000</v>
      </c>
    </row>
    <row r="1792" spans="1:11">
      <c r="A1792" t="s">
        <v>167</v>
      </c>
      <c r="B1792" t="s">
        <v>35</v>
      </c>
      <c r="C1792" t="s">
        <v>36</v>
      </c>
      <c r="D1792" t="s">
        <v>41</v>
      </c>
      <c r="E1792" t="s">
        <v>37</v>
      </c>
      <c r="F1792" t="s">
        <v>31</v>
      </c>
      <c r="G1792" t="s">
        <v>32</v>
      </c>
      <c r="H1792">
        <v>85000</v>
      </c>
      <c r="I1792">
        <v>8</v>
      </c>
      <c r="J1792" t="s">
        <v>42</v>
      </c>
      <c r="K1792">
        <f t="shared" si="27"/>
        <v>68000</v>
      </c>
    </row>
    <row r="1793" spans="1:11">
      <c r="A1793" t="s">
        <v>172</v>
      </c>
      <c r="B1793" t="s">
        <v>44</v>
      </c>
      <c r="C1793" t="s">
        <v>53</v>
      </c>
      <c r="D1793" t="s">
        <v>29</v>
      </c>
      <c r="E1793" t="s">
        <v>37</v>
      </c>
      <c r="F1793" t="s">
        <v>73</v>
      </c>
      <c r="G1793" t="s">
        <v>39</v>
      </c>
      <c r="H1793">
        <v>220000</v>
      </c>
      <c r="I1793">
        <v>10</v>
      </c>
      <c r="J1793" t="s">
        <v>47</v>
      </c>
      <c r="K1793">
        <f t="shared" si="27"/>
        <v>176000</v>
      </c>
    </row>
    <row r="1794" spans="1:11">
      <c r="A1794" t="s">
        <v>175</v>
      </c>
      <c r="B1794" t="s">
        <v>27</v>
      </c>
      <c r="C1794" t="s">
        <v>28</v>
      </c>
      <c r="D1794" t="s">
        <v>29</v>
      </c>
      <c r="E1794" t="s">
        <v>37</v>
      </c>
      <c r="F1794" t="s">
        <v>73</v>
      </c>
      <c r="G1794" t="s">
        <v>39</v>
      </c>
      <c r="H1794">
        <v>220000</v>
      </c>
      <c r="I1794">
        <v>7</v>
      </c>
      <c r="J1794" t="s">
        <v>47</v>
      </c>
      <c r="K1794">
        <f t="shared" ref="K1794:K1857" si="28">H1794-H1794*0.2</f>
        <v>176000</v>
      </c>
    </row>
    <row r="1795" spans="1:11">
      <c r="A1795" t="s">
        <v>99</v>
      </c>
      <c r="B1795" t="s">
        <v>35</v>
      </c>
      <c r="C1795" t="s">
        <v>45</v>
      </c>
      <c r="D1795" t="s">
        <v>29</v>
      </c>
      <c r="E1795" t="s">
        <v>37</v>
      </c>
      <c r="F1795" t="s">
        <v>56</v>
      </c>
      <c r="G1795" t="s">
        <v>32</v>
      </c>
      <c r="H1795">
        <v>320000</v>
      </c>
      <c r="I1795">
        <v>10</v>
      </c>
      <c r="J1795" t="s">
        <v>47</v>
      </c>
      <c r="K1795">
        <f t="shared" si="28"/>
        <v>256000</v>
      </c>
    </row>
    <row r="1796" spans="1:11">
      <c r="A1796" t="s">
        <v>144</v>
      </c>
      <c r="B1796" t="s">
        <v>27</v>
      </c>
      <c r="C1796" t="s">
        <v>36</v>
      </c>
      <c r="D1796" t="s">
        <v>41</v>
      </c>
      <c r="E1796" t="s">
        <v>30</v>
      </c>
      <c r="F1796" t="s">
        <v>54</v>
      </c>
      <c r="G1796" t="s">
        <v>39</v>
      </c>
      <c r="H1796">
        <v>180000</v>
      </c>
      <c r="I1796">
        <v>9</v>
      </c>
      <c r="J1796" t="s">
        <v>65</v>
      </c>
      <c r="K1796">
        <f t="shared" si="28"/>
        <v>144000</v>
      </c>
    </row>
    <row r="1797" spans="1:11">
      <c r="A1797" t="s">
        <v>157</v>
      </c>
      <c r="B1797" t="s">
        <v>49</v>
      </c>
      <c r="C1797" t="s">
        <v>45</v>
      </c>
      <c r="D1797" t="s">
        <v>41</v>
      </c>
      <c r="E1797" t="s">
        <v>30</v>
      </c>
      <c r="F1797" t="s">
        <v>46</v>
      </c>
      <c r="G1797" t="s">
        <v>39</v>
      </c>
      <c r="H1797">
        <v>60000</v>
      </c>
      <c r="I1797">
        <v>4</v>
      </c>
      <c r="J1797" t="s">
        <v>69</v>
      </c>
      <c r="K1797">
        <f t="shared" si="28"/>
        <v>48000</v>
      </c>
    </row>
    <row r="1798" spans="1:11">
      <c r="A1798" t="s">
        <v>151</v>
      </c>
      <c r="B1798" t="s">
        <v>44</v>
      </c>
      <c r="C1798" t="s">
        <v>45</v>
      </c>
      <c r="D1798" t="s">
        <v>41</v>
      </c>
      <c r="E1798" t="s">
        <v>37</v>
      </c>
      <c r="F1798" t="s">
        <v>71</v>
      </c>
      <c r="G1798" t="s">
        <v>51</v>
      </c>
      <c r="H1798">
        <v>250000</v>
      </c>
      <c r="I1798">
        <v>10</v>
      </c>
      <c r="J1798" t="s">
        <v>69</v>
      </c>
      <c r="K1798">
        <f t="shared" si="28"/>
        <v>200000</v>
      </c>
    </row>
    <row r="1799" spans="1:11">
      <c r="A1799" t="s">
        <v>168</v>
      </c>
      <c r="B1799" t="s">
        <v>49</v>
      </c>
      <c r="C1799" t="s">
        <v>45</v>
      </c>
      <c r="D1799" t="s">
        <v>41</v>
      </c>
      <c r="E1799" t="s">
        <v>30</v>
      </c>
      <c r="F1799" t="s">
        <v>56</v>
      </c>
      <c r="G1799" t="s">
        <v>32</v>
      </c>
      <c r="H1799">
        <v>320000</v>
      </c>
      <c r="I1799">
        <v>2</v>
      </c>
      <c r="J1799" t="s">
        <v>47</v>
      </c>
      <c r="K1799">
        <f t="shared" si="28"/>
        <v>256000</v>
      </c>
    </row>
    <row r="1800" spans="1:11">
      <c r="A1800" t="s">
        <v>164</v>
      </c>
      <c r="B1800" t="s">
        <v>44</v>
      </c>
      <c r="C1800" t="s">
        <v>53</v>
      </c>
      <c r="D1800" t="s">
        <v>41</v>
      </c>
      <c r="E1800" t="s">
        <v>37</v>
      </c>
      <c r="F1800" t="s">
        <v>67</v>
      </c>
      <c r="G1800" t="s">
        <v>51</v>
      </c>
      <c r="H1800">
        <v>420000</v>
      </c>
      <c r="I1800">
        <v>7</v>
      </c>
      <c r="J1800" t="s">
        <v>58</v>
      </c>
      <c r="K1800">
        <f t="shared" si="28"/>
        <v>336000</v>
      </c>
    </row>
    <row r="1801" spans="1:11">
      <c r="A1801" t="s">
        <v>160</v>
      </c>
      <c r="B1801" t="s">
        <v>49</v>
      </c>
      <c r="C1801" t="s">
        <v>45</v>
      </c>
      <c r="D1801" t="s">
        <v>41</v>
      </c>
      <c r="E1801" t="s">
        <v>37</v>
      </c>
      <c r="F1801" t="s">
        <v>50</v>
      </c>
      <c r="G1801" t="s">
        <v>51</v>
      </c>
      <c r="H1801">
        <v>300000</v>
      </c>
      <c r="I1801">
        <v>5</v>
      </c>
      <c r="J1801" t="s">
        <v>58</v>
      </c>
      <c r="K1801">
        <f t="shared" si="28"/>
        <v>240000</v>
      </c>
    </row>
    <row r="1802" spans="1:11">
      <c r="A1802" t="s">
        <v>77</v>
      </c>
      <c r="B1802" t="s">
        <v>44</v>
      </c>
      <c r="C1802" t="s">
        <v>28</v>
      </c>
      <c r="D1802" t="s">
        <v>41</v>
      </c>
      <c r="E1802" t="s">
        <v>37</v>
      </c>
      <c r="F1802" t="s">
        <v>46</v>
      </c>
      <c r="G1802" t="s">
        <v>39</v>
      </c>
      <c r="H1802">
        <v>60000</v>
      </c>
      <c r="I1802">
        <v>5</v>
      </c>
      <c r="J1802" t="s">
        <v>65</v>
      </c>
      <c r="K1802">
        <f t="shared" si="28"/>
        <v>48000</v>
      </c>
    </row>
    <row r="1803" spans="1:11">
      <c r="A1803" t="s">
        <v>153</v>
      </c>
      <c r="B1803" t="s">
        <v>35</v>
      </c>
      <c r="C1803" t="s">
        <v>28</v>
      </c>
      <c r="D1803" t="s">
        <v>29</v>
      </c>
      <c r="E1803" t="s">
        <v>37</v>
      </c>
      <c r="F1803" t="s">
        <v>67</v>
      </c>
      <c r="G1803" t="s">
        <v>51</v>
      </c>
      <c r="H1803">
        <v>420000</v>
      </c>
      <c r="I1803">
        <v>9</v>
      </c>
      <c r="J1803" t="s">
        <v>47</v>
      </c>
      <c r="K1803">
        <f t="shared" si="28"/>
        <v>336000</v>
      </c>
    </row>
    <row r="1804" spans="1:11">
      <c r="A1804" t="s">
        <v>158</v>
      </c>
      <c r="B1804" t="s">
        <v>44</v>
      </c>
      <c r="C1804" t="s">
        <v>28</v>
      </c>
      <c r="D1804" t="s">
        <v>29</v>
      </c>
      <c r="E1804" t="s">
        <v>37</v>
      </c>
      <c r="F1804" t="s">
        <v>71</v>
      </c>
      <c r="G1804" t="s">
        <v>51</v>
      </c>
      <c r="H1804">
        <v>250000</v>
      </c>
      <c r="I1804">
        <v>9</v>
      </c>
      <c r="J1804" t="s">
        <v>69</v>
      </c>
      <c r="K1804">
        <f t="shared" si="28"/>
        <v>200000</v>
      </c>
    </row>
    <row r="1805" spans="1:11">
      <c r="A1805" t="s">
        <v>112</v>
      </c>
      <c r="B1805" t="s">
        <v>27</v>
      </c>
      <c r="C1805" t="s">
        <v>53</v>
      </c>
      <c r="D1805" t="s">
        <v>29</v>
      </c>
      <c r="E1805" t="s">
        <v>37</v>
      </c>
      <c r="F1805" t="s">
        <v>73</v>
      </c>
      <c r="G1805" t="s">
        <v>39</v>
      </c>
      <c r="H1805">
        <v>220000</v>
      </c>
      <c r="I1805">
        <v>1</v>
      </c>
      <c r="J1805" t="s">
        <v>69</v>
      </c>
      <c r="K1805">
        <f t="shared" si="28"/>
        <v>176000</v>
      </c>
    </row>
    <row r="1806" spans="1:11">
      <c r="A1806" t="s">
        <v>26</v>
      </c>
      <c r="B1806" t="s">
        <v>27</v>
      </c>
      <c r="C1806" t="s">
        <v>36</v>
      </c>
      <c r="D1806" t="s">
        <v>29</v>
      </c>
      <c r="E1806" t="s">
        <v>37</v>
      </c>
      <c r="F1806" t="s">
        <v>73</v>
      </c>
      <c r="G1806" t="s">
        <v>39</v>
      </c>
      <c r="H1806">
        <v>220000</v>
      </c>
      <c r="I1806">
        <v>3</v>
      </c>
      <c r="J1806" t="s">
        <v>69</v>
      </c>
      <c r="K1806">
        <f t="shared" si="28"/>
        <v>176000</v>
      </c>
    </row>
    <row r="1807" spans="1:11">
      <c r="A1807" t="s">
        <v>171</v>
      </c>
      <c r="B1807" t="s">
        <v>27</v>
      </c>
      <c r="C1807" t="s">
        <v>36</v>
      </c>
      <c r="D1807" t="s">
        <v>41</v>
      </c>
      <c r="E1807" t="s">
        <v>37</v>
      </c>
      <c r="F1807" t="s">
        <v>71</v>
      </c>
      <c r="G1807" t="s">
        <v>51</v>
      </c>
      <c r="H1807">
        <v>250000</v>
      </c>
      <c r="I1807">
        <v>8</v>
      </c>
      <c r="J1807" t="s">
        <v>47</v>
      </c>
      <c r="K1807">
        <f t="shared" si="28"/>
        <v>200000</v>
      </c>
    </row>
    <row r="1808" spans="1:11">
      <c r="A1808" t="s">
        <v>162</v>
      </c>
      <c r="B1808" t="s">
        <v>27</v>
      </c>
      <c r="C1808" t="s">
        <v>45</v>
      </c>
      <c r="D1808" t="s">
        <v>29</v>
      </c>
      <c r="E1808" t="s">
        <v>37</v>
      </c>
      <c r="F1808" t="s">
        <v>38</v>
      </c>
      <c r="G1808" t="s">
        <v>39</v>
      </c>
      <c r="H1808">
        <v>30000</v>
      </c>
      <c r="I1808">
        <v>1</v>
      </c>
      <c r="J1808" t="s">
        <v>58</v>
      </c>
      <c r="K1808">
        <f t="shared" si="28"/>
        <v>24000</v>
      </c>
    </row>
    <row r="1809" spans="1:11">
      <c r="A1809" t="s">
        <v>94</v>
      </c>
      <c r="B1809" t="s">
        <v>27</v>
      </c>
      <c r="C1809" t="s">
        <v>53</v>
      </c>
      <c r="D1809" t="s">
        <v>41</v>
      </c>
      <c r="E1809" t="s">
        <v>37</v>
      </c>
      <c r="F1809" t="s">
        <v>38</v>
      </c>
      <c r="G1809" t="s">
        <v>39</v>
      </c>
      <c r="H1809">
        <v>30000</v>
      </c>
      <c r="I1809">
        <v>1</v>
      </c>
      <c r="J1809" t="s">
        <v>65</v>
      </c>
      <c r="K1809">
        <f t="shared" si="28"/>
        <v>24000</v>
      </c>
    </row>
    <row r="1810" spans="1:11">
      <c r="A1810" t="s">
        <v>124</v>
      </c>
      <c r="B1810" t="s">
        <v>49</v>
      </c>
      <c r="C1810" t="s">
        <v>45</v>
      </c>
      <c r="D1810" t="s">
        <v>29</v>
      </c>
      <c r="E1810" t="s">
        <v>37</v>
      </c>
      <c r="F1810" t="s">
        <v>38</v>
      </c>
      <c r="G1810" t="s">
        <v>39</v>
      </c>
      <c r="H1810">
        <v>30000</v>
      </c>
      <c r="I1810">
        <v>8</v>
      </c>
      <c r="J1810" t="s">
        <v>33</v>
      </c>
      <c r="K1810">
        <f t="shared" si="28"/>
        <v>24000</v>
      </c>
    </row>
    <row r="1811" spans="1:11">
      <c r="A1811" t="s">
        <v>171</v>
      </c>
      <c r="B1811" t="s">
        <v>27</v>
      </c>
      <c r="C1811" t="s">
        <v>28</v>
      </c>
      <c r="D1811" t="s">
        <v>29</v>
      </c>
      <c r="E1811" t="s">
        <v>37</v>
      </c>
      <c r="F1811" t="s">
        <v>46</v>
      </c>
      <c r="G1811" t="s">
        <v>39</v>
      </c>
      <c r="H1811">
        <v>60000</v>
      </c>
      <c r="I1811">
        <v>6</v>
      </c>
      <c r="J1811" t="s">
        <v>58</v>
      </c>
      <c r="K1811">
        <f t="shared" si="28"/>
        <v>48000</v>
      </c>
    </row>
    <row r="1812" spans="1:11">
      <c r="A1812" t="s">
        <v>98</v>
      </c>
      <c r="B1812" t="s">
        <v>27</v>
      </c>
      <c r="C1812" t="s">
        <v>28</v>
      </c>
      <c r="D1812" t="s">
        <v>41</v>
      </c>
      <c r="E1812" t="s">
        <v>37</v>
      </c>
      <c r="F1812" t="s">
        <v>71</v>
      </c>
      <c r="G1812" t="s">
        <v>51</v>
      </c>
      <c r="H1812">
        <v>250000</v>
      </c>
      <c r="I1812">
        <v>5</v>
      </c>
      <c r="J1812" t="s">
        <v>42</v>
      </c>
      <c r="K1812">
        <f t="shared" si="28"/>
        <v>200000</v>
      </c>
    </row>
    <row r="1813" spans="1:11">
      <c r="A1813" t="s">
        <v>176</v>
      </c>
      <c r="B1813" t="s">
        <v>44</v>
      </c>
      <c r="C1813" t="s">
        <v>53</v>
      </c>
      <c r="D1813" t="s">
        <v>29</v>
      </c>
      <c r="E1813" t="s">
        <v>37</v>
      </c>
      <c r="F1813" t="s">
        <v>38</v>
      </c>
      <c r="G1813" t="s">
        <v>39</v>
      </c>
      <c r="H1813">
        <v>30000</v>
      </c>
      <c r="I1813">
        <v>1</v>
      </c>
      <c r="J1813" t="s">
        <v>65</v>
      </c>
      <c r="K1813">
        <f t="shared" si="28"/>
        <v>24000</v>
      </c>
    </row>
    <row r="1814" spans="1:11">
      <c r="A1814" t="s">
        <v>137</v>
      </c>
      <c r="B1814" t="s">
        <v>44</v>
      </c>
      <c r="C1814" t="s">
        <v>45</v>
      </c>
      <c r="D1814" t="s">
        <v>41</v>
      </c>
      <c r="E1814" t="s">
        <v>37</v>
      </c>
      <c r="F1814" t="s">
        <v>62</v>
      </c>
      <c r="G1814" t="s">
        <v>51</v>
      </c>
      <c r="H1814">
        <v>150000</v>
      </c>
      <c r="I1814">
        <v>9</v>
      </c>
      <c r="J1814" t="s">
        <v>65</v>
      </c>
      <c r="K1814">
        <f t="shared" si="28"/>
        <v>120000</v>
      </c>
    </row>
    <row r="1815" spans="1:11">
      <c r="A1815" t="s">
        <v>134</v>
      </c>
      <c r="B1815" t="s">
        <v>35</v>
      </c>
      <c r="C1815" t="s">
        <v>53</v>
      </c>
      <c r="D1815" t="s">
        <v>29</v>
      </c>
      <c r="E1815" t="s">
        <v>37</v>
      </c>
      <c r="F1815" t="s">
        <v>54</v>
      </c>
      <c r="G1815" t="s">
        <v>39</v>
      </c>
      <c r="H1815">
        <v>180000</v>
      </c>
      <c r="I1815">
        <v>2</v>
      </c>
      <c r="J1815" t="s">
        <v>65</v>
      </c>
      <c r="K1815">
        <f t="shared" si="28"/>
        <v>144000</v>
      </c>
    </row>
    <row r="1816" spans="1:11">
      <c r="A1816" t="s">
        <v>59</v>
      </c>
      <c r="B1816" t="s">
        <v>35</v>
      </c>
      <c r="C1816" t="s">
        <v>53</v>
      </c>
      <c r="D1816" t="s">
        <v>29</v>
      </c>
      <c r="E1816" t="s">
        <v>37</v>
      </c>
      <c r="F1816" t="s">
        <v>67</v>
      </c>
      <c r="G1816" t="s">
        <v>51</v>
      </c>
      <c r="H1816">
        <v>420000</v>
      </c>
      <c r="I1816">
        <v>10</v>
      </c>
      <c r="J1816" t="s">
        <v>47</v>
      </c>
      <c r="K1816">
        <f t="shared" si="28"/>
        <v>336000</v>
      </c>
    </row>
    <row r="1817" spans="1:11">
      <c r="A1817" t="s">
        <v>48</v>
      </c>
      <c r="B1817" t="s">
        <v>27</v>
      </c>
      <c r="C1817" t="s">
        <v>45</v>
      </c>
      <c r="D1817" t="s">
        <v>41</v>
      </c>
      <c r="E1817" t="s">
        <v>37</v>
      </c>
      <c r="F1817" t="s">
        <v>50</v>
      </c>
      <c r="G1817" t="s">
        <v>51</v>
      </c>
      <c r="H1817">
        <v>300000</v>
      </c>
      <c r="I1817">
        <v>4</v>
      </c>
      <c r="J1817" t="s">
        <v>69</v>
      </c>
      <c r="K1817">
        <f t="shared" si="28"/>
        <v>240000</v>
      </c>
    </row>
    <row r="1818" spans="1:11">
      <c r="A1818" t="s">
        <v>169</v>
      </c>
      <c r="B1818" t="s">
        <v>27</v>
      </c>
      <c r="C1818" t="s">
        <v>28</v>
      </c>
      <c r="D1818" t="s">
        <v>29</v>
      </c>
      <c r="E1818" t="s">
        <v>37</v>
      </c>
      <c r="F1818" t="s">
        <v>54</v>
      </c>
      <c r="G1818" t="s">
        <v>39</v>
      </c>
      <c r="H1818">
        <v>180000</v>
      </c>
      <c r="I1818">
        <v>8</v>
      </c>
      <c r="J1818" t="s">
        <v>65</v>
      </c>
      <c r="K1818">
        <f t="shared" si="28"/>
        <v>144000</v>
      </c>
    </row>
    <row r="1819" spans="1:11">
      <c r="A1819" t="s">
        <v>125</v>
      </c>
      <c r="B1819" t="s">
        <v>35</v>
      </c>
      <c r="C1819" t="s">
        <v>53</v>
      </c>
      <c r="D1819" t="s">
        <v>29</v>
      </c>
      <c r="E1819" t="s">
        <v>37</v>
      </c>
      <c r="F1819" t="s">
        <v>67</v>
      </c>
      <c r="G1819" t="s">
        <v>51</v>
      </c>
      <c r="H1819">
        <v>420000</v>
      </c>
      <c r="I1819">
        <v>5</v>
      </c>
      <c r="J1819" t="s">
        <v>65</v>
      </c>
      <c r="K1819">
        <f t="shared" si="28"/>
        <v>336000</v>
      </c>
    </row>
    <row r="1820" spans="1:11">
      <c r="A1820" t="s">
        <v>174</v>
      </c>
      <c r="B1820" t="s">
        <v>44</v>
      </c>
      <c r="C1820" t="s">
        <v>36</v>
      </c>
      <c r="D1820" t="s">
        <v>41</v>
      </c>
      <c r="E1820" t="s">
        <v>37</v>
      </c>
      <c r="F1820" t="s">
        <v>54</v>
      </c>
      <c r="G1820" t="s">
        <v>39</v>
      </c>
      <c r="H1820">
        <v>180000</v>
      </c>
      <c r="I1820">
        <v>5</v>
      </c>
      <c r="J1820" t="s">
        <v>33</v>
      </c>
      <c r="K1820">
        <f t="shared" si="28"/>
        <v>144000</v>
      </c>
    </row>
    <row r="1821" spans="1:11">
      <c r="A1821" t="s">
        <v>55</v>
      </c>
      <c r="B1821" t="s">
        <v>27</v>
      </c>
      <c r="C1821" t="s">
        <v>28</v>
      </c>
      <c r="D1821" t="s">
        <v>41</v>
      </c>
      <c r="E1821" t="s">
        <v>37</v>
      </c>
      <c r="F1821" t="s">
        <v>50</v>
      </c>
      <c r="G1821" t="s">
        <v>51</v>
      </c>
      <c r="H1821">
        <v>300000</v>
      </c>
      <c r="I1821">
        <v>1</v>
      </c>
      <c r="J1821" t="s">
        <v>65</v>
      </c>
      <c r="K1821">
        <f t="shared" si="28"/>
        <v>240000</v>
      </c>
    </row>
    <row r="1822" spans="1:11">
      <c r="A1822" t="s">
        <v>175</v>
      </c>
      <c r="B1822" t="s">
        <v>44</v>
      </c>
      <c r="C1822" t="s">
        <v>28</v>
      </c>
      <c r="D1822" t="s">
        <v>29</v>
      </c>
      <c r="E1822" t="s">
        <v>37</v>
      </c>
      <c r="F1822" t="s">
        <v>54</v>
      </c>
      <c r="G1822" t="s">
        <v>39</v>
      </c>
      <c r="H1822">
        <v>180000</v>
      </c>
      <c r="I1822">
        <v>7</v>
      </c>
      <c r="J1822" t="s">
        <v>65</v>
      </c>
      <c r="K1822">
        <f t="shared" si="28"/>
        <v>144000</v>
      </c>
    </row>
    <row r="1823" spans="1:11">
      <c r="A1823" t="s">
        <v>160</v>
      </c>
      <c r="B1823" t="s">
        <v>35</v>
      </c>
      <c r="C1823" t="s">
        <v>45</v>
      </c>
      <c r="D1823" t="s">
        <v>41</v>
      </c>
      <c r="E1823" t="s">
        <v>37</v>
      </c>
      <c r="F1823" t="s">
        <v>38</v>
      </c>
      <c r="G1823" t="s">
        <v>39</v>
      </c>
      <c r="H1823">
        <v>30000</v>
      </c>
      <c r="I1823">
        <v>8</v>
      </c>
      <c r="J1823" t="s">
        <v>65</v>
      </c>
      <c r="K1823">
        <f t="shared" si="28"/>
        <v>24000</v>
      </c>
    </row>
    <row r="1824" spans="1:11">
      <c r="A1824" t="s">
        <v>92</v>
      </c>
      <c r="B1824" t="s">
        <v>49</v>
      </c>
      <c r="C1824" t="s">
        <v>28</v>
      </c>
      <c r="D1824" t="s">
        <v>29</v>
      </c>
      <c r="E1824" t="s">
        <v>37</v>
      </c>
      <c r="F1824" t="s">
        <v>31</v>
      </c>
      <c r="G1824" t="s">
        <v>32</v>
      </c>
      <c r="H1824">
        <v>85000</v>
      </c>
      <c r="I1824">
        <v>10</v>
      </c>
      <c r="J1824" t="s">
        <v>47</v>
      </c>
      <c r="K1824">
        <f t="shared" si="28"/>
        <v>68000</v>
      </c>
    </row>
    <row r="1825" spans="1:11">
      <c r="A1825" t="s">
        <v>26</v>
      </c>
      <c r="B1825" t="s">
        <v>35</v>
      </c>
      <c r="C1825" t="s">
        <v>45</v>
      </c>
      <c r="D1825" t="s">
        <v>29</v>
      </c>
      <c r="E1825" t="s">
        <v>37</v>
      </c>
      <c r="F1825" t="s">
        <v>31</v>
      </c>
      <c r="G1825" t="s">
        <v>32</v>
      </c>
      <c r="H1825">
        <v>85000</v>
      </c>
      <c r="I1825">
        <v>1</v>
      </c>
      <c r="J1825" t="s">
        <v>33</v>
      </c>
      <c r="K1825">
        <f t="shared" si="28"/>
        <v>68000</v>
      </c>
    </row>
    <row r="1826" spans="1:11">
      <c r="A1826" t="s">
        <v>72</v>
      </c>
      <c r="B1826" t="s">
        <v>49</v>
      </c>
      <c r="C1826" t="s">
        <v>36</v>
      </c>
      <c r="D1826" t="s">
        <v>41</v>
      </c>
      <c r="E1826" t="s">
        <v>37</v>
      </c>
      <c r="F1826" t="s">
        <v>62</v>
      </c>
      <c r="G1826" t="s">
        <v>51</v>
      </c>
      <c r="H1826">
        <v>150000</v>
      </c>
      <c r="I1826">
        <v>8</v>
      </c>
      <c r="J1826" t="s">
        <v>65</v>
      </c>
      <c r="K1826">
        <f t="shared" si="28"/>
        <v>120000</v>
      </c>
    </row>
    <row r="1827" spans="1:11">
      <c r="A1827" t="s">
        <v>128</v>
      </c>
      <c r="B1827" t="s">
        <v>27</v>
      </c>
      <c r="C1827" t="s">
        <v>36</v>
      </c>
      <c r="D1827" t="s">
        <v>41</v>
      </c>
      <c r="E1827" t="s">
        <v>37</v>
      </c>
      <c r="F1827" t="s">
        <v>67</v>
      </c>
      <c r="G1827" t="s">
        <v>51</v>
      </c>
      <c r="H1827">
        <v>420000</v>
      </c>
      <c r="I1827">
        <v>6</v>
      </c>
      <c r="J1827" t="s">
        <v>58</v>
      </c>
      <c r="K1827">
        <f t="shared" si="28"/>
        <v>336000</v>
      </c>
    </row>
    <row r="1828" spans="1:11">
      <c r="A1828" t="s">
        <v>172</v>
      </c>
      <c r="B1828" t="s">
        <v>44</v>
      </c>
      <c r="C1828" t="s">
        <v>53</v>
      </c>
      <c r="D1828" t="s">
        <v>29</v>
      </c>
      <c r="E1828" t="s">
        <v>37</v>
      </c>
      <c r="F1828" t="s">
        <v>46</v>
      </c>
      <c r="G1828" t="s">
        <v>39</v>
      </c>
      <c r="H1828">
        <v>60000</v>
      </c>
      <c r="I1828">
        <v>8</v>
      </c>
      <c r="J1828" t="s">
        <v>58</v>
      </c>
      <c r="K1828">
        <f t="shared" si="28"/>
        <v>48000</v>
      </c>
    </row>
    <row r="1829" spans="1:11">
      <c r="A1829" t="s">
        <v>34</v>
      </c>
      <c r="B1829" t="s">
        <v>44</v>
      </c>
      <c r="C1829" t="s">
        <v>28</v>
      </c>
      <c r="D1829" t="s">
        <v>29</v>
      </c>
      <c r="E1829" t="s">
        <v>37</v>
      </c>
      <c r="F1829" t="s">
        <v>50</v>
      </c>
      <c r="G1829" t="s">
        <v>51</v>
      </c>
      <c r="H1829">
        <v>300000</v>
      </c>
      <c r="I1829">
        <v>7</v>
      </c>
      <c r="J1829" t="s">
        <v>47</v>
      </c>
      <c r="K1829">
        <f t="shared" si="28"/>
        <v>240000</v>
      </c>
    </row>
    <row r="1830" spans="1:11">
      <c r="A1830" t="s">
        <v>74</v>
      </c>
      <c r="B1830" t="s">
        <v>35</v>
      </c>
      <c r="C1830" t="s">
        <v>36</v>
      </c>
      <c r="D1830" t="s">
        <v>41</v>
      </c>
      <c r="E1830" t="s">
        <v>37</v>
      </c>
      <c r="F1830" t="s">
        <v>62</v>
      </c>
      <c r="G1830" t="s">
        <v>51</v>
      </c>
      <c r="H1830">
        <v>150000</v>
      </c>
      <c r="I1830">
        <v>8</v>
      </c>
      <c r="J1830" t="s">
        <v>65</v>
      </c>
      <c r="K1830">
        <f t="shared" si="28"/>
        <v>120000</v>
      </c>
    </row>
    <row r="1831" spans="1:11">
      <c r="A1831" t="s">
        <v>114</v>
      </c>
      <c r="B1831" t="s">
        <v>35</v>
      </c>
      <c r="C1831" t="s">
        <v>28</v>
      </c>
      <c r="D1831" t="s">
        <v>41</v>
      </c>
      <c r="E1831" t="s">
        <v>37</v>
      </c>
      <c r="F1831" t="s">
        <v>46</v>
      </c>
      <c r="G1831" t="s">
        <v>39</v>
      </c>
      <c r="H1831">
        <v>60000</v>
      </c>
      <c r="I1831">
        <v>10</v>
      </c>
      <c r="J1831" t="s">
        <v>33</v>
      </c>
      <c r="K1831">
        <f t="shared" si="28"/>
        <v>48000</v>
      </c>
    </row>
    <row r="1832" spans="1:11">
      <c r="A1832" t="s">
        <v>52</v>
      </c>
      <c r="B1832" t="s">
        <v>49</v>
      </c>
      <c r="C1832" t="s">
        <v>45</v>
      </c>
      <c r="D1832" t="s">
        <v>29</v>
      </c>
      <c r="E1832" t="s">
        <v>37</v>
      </c>
      <c r="F1832" t="s">
        <v>56</v>
      </c>
      <c r="G1832" t="s">
        <v>32</v>
      </c>
      <c r="H1832">
        <v>320000</v>
      </c>
      <c r="I1832">
        <v>9</v>
      </c>
      <c r="J1832" t="s">
        <v>58</v>
      </c>
      <c r="K1832">
        <f t="shared" si="28"/>
        <v>256000</v>
      </c>
    </row>
    <row r="1833" spans="1:11">
      <c r="A1833" t="s">
        <v>161</v>
      </c>
      <c r="B1833" t="s">
        <v>27</v>
      </c>
      <c r="C1833" t="s">
        <v>28</v>
      </c>
      <c r="D1833" t="s">
        <v>29</v>
      </c>
      <c r="E1833" t="s">
        <v>37</v>
      </c>
      <c r="F1833" t="s">
        <v>71</v>
      </c>
      <c r="G1833" t="s">
        <v>51</v>
      </c>
      <c r="H1833">
        <v>250000</v>
      </c>
      <c r="I1833">
        <v>9</v>
      </c>
      <c r="J1833" t="s">
        <v>47</v>
      </c>
      <c r="K1833">
        <f t="shared" si="28"/>
        <v>200000</v>
      </c>
    </row>
    <row r="1834" spans="1:11">
      <c r="A1834" t="s">
        <v>145</v>
      </c>
      <c r="B1834" t="s">
        <v>44</v>
      </c>
      <c r="C1834" t="s">
        <v>45</v>
      </c>
      <c r="D1834" t="s">
        <v>29</v>
      </c>
      <c r="E1834" t="s">
        <v>37</v>
      </c>
      <c r="F1834" t="s">
        <v>73</v>
      </c>
      <c r="G1834" t="s">
        <v>39</v>
      </c>
      <c r="H1834">
        <v>220000</v>
      </c>
      <c r="I1834">
        <v>7</v>
      </c>
      <c r="J1834" t="s">
        <v>58</v>
      </c>
      <c r="K1834">
        <f t="shared" si="28"/>
        <v>176000</v>
      </c>
    </row>
    <row r="1835" spans="1:11">
      <c r="A1835" t="s">
        <v>171</v>
      </c>
      <c r="B1835" t="s">
        <v>44</v>
      </c>
      <c r="C1835" t="s">
        <v>36</v>
      </c>
      <c r="D1835" t="s">
        <v>29</v>
      </c>
      <c r="E1835" t="s">
        <v>37</v>
      </c>
      <c r="F1835" t="s">
        <v>56</v>
      </c>
      <c r="G1835" t="s">
        <v>32</v>
      </c>
      <c r="H1835">
        <v>320000</v>
      </c>
      <c r="I1835">
        <v>4</v>
      </c>
      <c r="J1835" t="s">
        <v>42</v>
      </c>
      <c r="K1835">
        <f t="shared" si="28"/>
        <v>256000</v>
      </c>
    </row>
    <row r="1836" spans="1:11">
      <c r="A1836" t="s">
        <v>106</v>
      </c>
      <c r="B1836" t="s">
        <v>44</v>
      </c>
      <c r="C1836" t="s">
        <v>36</v>
      </c>
      <c r="D1836" t="s">
        <v>41</v>
      </c>
      <c r="E1836" t="s">
        <v>37</v>
      </c>
      <c r="F1836" t="s">
        <v>73</v>
      </c>
      <c r="G1836" t="s">
        <v>39</v>
      </c>
      <c r="H1836">
        <v>220000</v>
      </c>
      <c r="I1836">
        <v>1</v>
      </c>
      <c r="J1836" t="s">
        <v>65</v>
      </c>
      <c r="K1836">
        <f t="shared" si="28"/>
        <v>176000</v>
      </c>
    </row>
    <row r="1837" spans="1:11">
      <c r="A1837" t="s">
        <v>174</v>
      </c>
      <c r="B1837" t="s">
        <v>27</v>
      </c>
      <c r="C1837" t="s">
        <v>36</v>
      </c>
      <c r="D1837" t="s">
        <v>29</v>
      </c>
      <c r="E1837" t="s">
        <v>37</v>
      </c>
      <c r="F1837" t="s">
        <v>38</v>
      </c>
      <c r="G1837" t="s">
        <v>39</v>
      </c>
      <c r="H1837">
        <v>30000</v>
      </c>
      <c r="I1837">
        <v>9</v>
      </c>
      <c r="J1837" t="s">
        <v>65</v>
      </c>
      <c r="K1837">
        <f t="shared" si="28"/>
        <v>24000</v>
      </c>
    </row>
    <row r="1838" spans="1:11">
      <c r="A1838" t="s">
        <v>123</v>
      </c>
      <c r="B1838" t="s">
        <v>49</v>
      </c>
      <c r="C1838" t="s">
        <v>36</v>
      </c>
      <c r="D1838" t="s">
        <v>41</v>
      </c>
      <c r="E1838" t="s">
        <v>37</v>
      </c>
      <c r="F1838" t="s">
        <v>38</v>
      </c>
      <c r="G1838" t="s">
        <v>39</v>
      </c>
      <c r="H1838">
        <v>30000</v>
      </c>
      <c r="I1838">
        <v>8</v>
      </c>
      <c r="J1838" t="s">
        <v>65</v>
      </c>
      <c r="K1838">
        <f t="shared" si="28"/>
        <v>24000</v>
      </c>
    </row>
    <row r="1839" spans="1:11">
      <c r="A1839" t="s">
        <v>147</v>
      </c>
      <c r="B1839" t="s">
        <v>44</v>
      </c>
      <c r="C1839" t="s">
        <v>36</v>
      </c>
      <c r="D1839" t="s">
        <v>41</v>
      </c>
      <c r="E1839" t="s">
        <v>37</v>
      </c>
      <c r="F1839" t="s">
        <v>46</v>
      </c>
      <c r="G1839" t="s">
        <v>39</v>
      </c>
      <c r="H1839">
        <v>60000</v>
      </c>
      <c r="I1839">
        <v>7</v>
      </c>
      <c r="J1839" t="s">
        <v>42</v>
      </c>
      <c r="K1839">
        <f t="shared" si="28"/>
        <v>48000</v>
      </c>
    </row>
    <row r="1840" spans="1:11">
      <c r="A1840" t="s">
        <v>153</v>
      </c>
      <c r="B1840" t="s">
        <v>27</v>
      </c>
      <c r="C1840" t="s">
        <v>45</v>
      </c>
      <c r="D1840" t="s">
        <v>29</v>
      </c>
      <c r="E1840" t="s">
        <v>37</v>
      </c>
      <c r="F1840" t="s">
        <v>38</v>
      </c>
      <c r="G1840" t="s">
        <v>39</v>
      </c>
      <c r="H1840">
        <v>30000</v>
      </c>
      <c r="I1840">
        <v>7</v>
      </c>
      <c r="J1840" t="s">
        <v>69</v>
      </c>
      <c r="K1840">
        <f t="shared" si="28"/>
        <v>24000</v>
      </c>
    </row>
    <row r="1841" spans="1:11">
      <c r="A1841" t="s">
        <v>84</v>
      </c>
      <c r="B1841" t="s">
        <v>27</v>
      </c>
      <c r="C1841" t="s">
        <v>28</v>
      </c>
      <c r="D1841" t="s">
        <v>29</v>
      </c>
      <c r="E1841" t="s">
        <v>37</v>
      </c>
      <c r="F1841" t="s">
        <v>50</v>
      </c>
      <c r="G1841" t="s">
        <v>51</v>
      </c>
      <c r="H1841">
        <v>300000</v>
      </c>
      <c r="I1841">
        <v>6</v>
      </c>
      <c r="J1841" t="s">
        <v>65</v>
      </c>
      <c r="K1841">
        <f t="shared" si="28"/>
        <v>240000</v>
      </c>
    </row>
    <row r="1842" spans="1:11">
      <c r="A1842" t="s">
        <v>79</v>
      </c>
      <c r="B1842" t="s">
        <v>49</v>
      </c>
      <c r="C1842" t="s">
        <v>53</v>
      </c>
      <c r="D1842" t="s">
        <v>41</v>
      </c>
      <c r="E1842" t="s">
        <v>37</v>
      </c>
      <c r="F1842" t="s">
        <v>50</v>
      </c>
      <c r="G1842" t="s">
        <v>51</v>
      </c>
      <c r="H1842">
        <v>300000</v>
      </c>
      <c r="I1842">
        <v>4</v>
      </c>
      <c r="J1842" t="s">
        <v>69</v>
      </c>
      <c r="K1842">
        <f t="shared" si="28"/>
        <v>240000</v>
      </c>
    </row>
    <row r="1843" spans="1:11">
      <c r="A1843" t="s">
        <v>156</v>
      </c>
      <c r="B1843" t="s">
        <v>44</v>
      </c>
      <c r="C1843" t="s">
        <v>45</v>
      </c>
      <c r="D1843" t="s">
        <v>29</v>
      </c>
      <c r="E1843" t="s">
        <v>37</v>
      </c>
      <c r="F1843" t="s">
        <v>31</v>
      </c>
      <c r="G1843" t="s">
        <v>32</v>
      </c>
      <c r="H1843">
        <v>85000</v>
      </c>
      <c r="I1843">
        <v>2</v>
      </c>
      <c r="J1843" t="s">
        <v>33</v>
      </c>
      <c r="K1843">
        <f t="shared" si="28"/>
        <v>68000</v>
      </c>
    </row>
    <row r="1844" spans="1:11">
      <c r="A1844" t="s">
        <v>76</v>
      </c>
      <c r="B1844" t="s">
        <v>49</v>
      </c>
      <c r="C1844" t="s">
        <v>45</v>
      </c>
      <c r="D1844" t="s">
        <v>41</v>
      </c>
      <c r="E1844" t="s">
        <v>37</v>
      </c>
      <c r="F1844" t="s">
        <v>62</v>
      </c>
      <c r="G1844" t="s">
        <v>51</v>
      </c>
      <c r="H1844">
        <v>150000</v>
      </c>
      <c r="I1844">
        <v>3</v>
      </c>
      <c r="J1844" t="s">
        <v>42</v>
      </c>
      <c r="K1844">
        <f t="shared" si="28"/>
        <v>120000</v>
      </c>
    </row>
    <row r="1845" spans="1:11">
      <c r="A1845" t="s">
        <v>173</v>
      </c>
      <c r="B1845" t="s">
        <v>27</v>
      </c>
      <c r="C1845" t="s">
        <v>53</v>
      </c>
      <c r="D1845" t="s">
        <v>41</v>
      </c>
      <c r="E1845" t="s">
        <v>37</v>
      </c>
      <c r="F1845" t="s">
        <v>71</v>
      </c>
      <c r="G1845" t="s">
        <v>51</v>
      </c>
      <c r="H1845">
        <v>250000</v>
      </c>
      <c r="I1845">
        <v>4</v>
      </c>
      <c r="J1845" t="s">
        <v>47</v>
      </c>
      <c r="K1845">
        <f t="shared" si="28"/>
        <v>200000</v>
      </c>
    </row>
    <row r="1846" spans="1:11">
      <c r="A1846" t="s">
        <v>63</v>
      </c>
      <c r="B1846" t="s">
        <v>49</v>
      </c>
      <c r="C1846" t="s">
        <v>28</v>
      </c>
      <c r="D1846" t="s">
        <v>29</v>
      </c>
      <c r="E1846" t="s">
        <v>37</v>
      </c>
      <c r="F1846" t="s">
        <v>71</v>
      </c>
      <c r="G1846" t="s">
        <v>51</v>
      </c>
      <c r="H1846">
        <v>250000</v>
      </c>
      <c r="I1846">
        <v>7</v>
      </c>
      <c r="J1846" t="s">
        <v>33</v>
      </c>
      <c r="K1846">
        <f t="shared" si="28"/>
        <v>200000</v>
      </c>
    </row>
    <row r="1847" spans="1:11">
      <c r="A1847" t="s">
        <v>170</v>
      </c>
      <c r="B1847" t="s">
        <v>27</v>
      </c>
      <c r="C1847" t="s">
        <v>36</v>
      </c>
      <c r="D1847" t="s">
        <v>29</v>
      </c>
      <c r="E1847" t="s">
        <v>37</v>
      </c>
      <c r="F1847" t="s">
        <v>71</v>
      </c>
      <c r="G1847" t="s">
        <v>51</v>
      </c>
      <c r="H1847">
        <v>250000</v>
      </c>
      <c r="I1847">
        <v>3</v>
      </c>
      <c r="J1847" t="s">
        <v>42</v>
      </c>
      <c r="K1847">
        <f t="shared" si="28"/>
        <v>200000</v>
      </c>
    </row>
    <row r="1848" spans="1:11">
      <c r="A1848" t="s">
        <v>128</v>
      </c>
      <c r="B1848" t="s">
        <v>35</v>
      </c>
      <c r="C1848" t="s">
        <v>45</v>
      </c>
      <c r="D1848" t="s">
        <v>29</v>
      </c>
      <c r="E1848" t="s">
        <v>37</v>
      </c>
      <c r="F1848" t="s">
        <v>62</v>
      </c>
      <c r="G1848" t="s">
        <v>51</v>
      </c>
      <c r="H1848">
        <v>150000</v>
      </c>
      <c r="I1848">
        <v>8</v>
      </c>
      <c r="J1848" t="s">
        <v>33</v>
      </c>
      <c r="K1848">
        <f t="shared" si="28"/>
        <v>120000</v>
      </c>
    </row>
    <row r="1849" spans="1:11">
      <c r="A1849" t="s">
        <v>156</v>
      </c>
      <c r="B1849" t="s">
        <v>35</v>
      </c>
      <c r="C1849" t="s">
        <v>45</v>
      </c>
      <c r="D1849" t="s">
        <v>41</v>
      </c>
      <c r="E1849" t="s">
        <v>37</v>
      </c>
      <c r="F1849" t="s">
        <v>31</v>
      </c>
      <c r="G1849" t="s">
        <v>32</v>
      </c>
      <c r="H1849">
        <v>85000</v>
      </c>
      <c r="I1849">
        <v>1</v>
      </c>
      <c r="J1849" t="s">
        <v>65</v>
      </c>
      <c r="K1849">
        <f t="shared" si="28"/>
        <v>68000</v>
      </c>
    </row>
    <row r="1850" spans="1:11">
      <c r="A1850" t="s">
        <v>100</v>
      </c>
      <c r="B1850" t="s">
        <v>35</v>
      </c>
      <c r="C1850" t="s">
        <v>53</v>
      </c>
      <c r="D1850" t="s">
        <v>29</v>
      </c>
      <c r="E1850" t="s">
        <v>37</v>
      </c>
      <c r="F1850" t="s">
        <v>73</v>
      </c>
      <c r="G1850" t="s">
        <v>39</v>
      </c>
      <c r="H1850">
        <v>220000</v>
      </c>
      <c r="I1850">
        <v>6</v>
      </c>
      <c r="J1850" t="s">
        <v>33</v>
      </c>
      <c r="K1850">
        <f t="shared" si="28"/>
        <v>176000</v>
      </c>
    </row>
    <row r="1851" spans="1:11">
      <c r="A1851" t="s">
        <v>156</v>
      </c>
      <c r="B1851" t="s">
        <v>35</v>
      </c>
      <c r="C1851" t="s">
        <v>28</v>
      </c>
      <c r="D1851" t="s">
        <v>41</v>
      </c>
      <c r="E1851" t="s">
        <v>37</v>
      </c>
      <c r="F1851" t="s">
        <v>38</v>
      </c>
      <c r="G1851" t="s">
        <v>39</v>
      </c>
      <c r="H1851">
        <v>30000</v>
      </c>
      <c r="I1851">
        <v>3</v>
      </c>
      <c r="J1851" t="s">
        <v>33</v>
      </c>
      <c r="K1851">
        <f t="shared" si="28"/>
        <v>24000</v>
      </c>
    </row>
    <row r="1852" spans="1:11">
      <c r="A1852" t="s">
        <v>40</v>
      </c>
      <c r="B1852" t="s">
        <v>49</v>
      </c>
      <c r="C1852" t="s">
        <v>53</v>
      </c>
      <c r="D1852" t="s">
        <v>41</v>
      </c>
      <c r="E1852" t="s">
        <v>37</v>
      </c>
      <c r="F1852" t="s">
        <v>50</v>
      </c>
      <c r="G1852" t="s">
        <v>51</v>
      </c>
      <c r="H1852">
        <v>300000</v>
      </c>
      <c r="I1852">
        <v>3</v>
      </c>
      <c r="J1852" t="s">
        <v>42</v>
      </c>
      <c r="K1852">
        <f t="shared" si="28"/>
        <v>240000</v>
      </c>
    </row>
    <row r="1853" spans="1:11">
      <c r="A1853" t="s">
        <v>64</v>
      </c>
      <c r="B1853" t="s">
        <v>35</v>
      </c>
      <c r="C1853" t="s">
        <v>45</v>
      </c>
      <c r="D1853" t="s">
        <v>29</v>
      </c>
      <c r="E1853" t="s">
        <v>37</v>
      </c>
      <c r="F1853" t="s">
        <v>71</v>
      </c>
      <c r="G1853" t="s">
        <v>51</v>
      </c>
      <c r="H1853">
        <v>250000</v>
      </c>
      <c r="I1853">
        <v>10</v>
      </c>
      <c r="J1853" t="s">
        <v>65</v>
      </c>
      <c r="K1853">
        <f t="shared" si="28"/>
        <v>200000</v>
      </c>
    </row>
    <row r="1854" spans="1:11">
      <c r="A1854" t="s">
        <v>177</v>
      </c>
      <c r="B1854" t="s">
        <v>35</v>
      </c>
      <c r="C1854" t="s">
        <v>36</v>
      </c>
      <c r="D1854" t="s">
        <v>29</v>
      </c>
      <c r="E1854" t="s">
        <v>37</v>
      </c>
      <c r="F1854" t="s">
        <v>50</v>
      </c>
      <c r="G1854" t="s">
        <v>51</v>
      </c>
      <c r="H1854">
        <v>300000</v>
      </c>
      <c r="I1854">
        <v>4</v>
      </c>
      <c r="J1854" t="s">
        <v>58</v>
      </c>
      <c r="K1854">
        <f t="shared" si="28"/>
        <v>240000</v>
      </c>
    </row>
    <row r="1855" spans="1:11">
      <c r="A1855" t="s">
        <v>163</v>
      </c>
      <c r="B1855" t="s">
        <v>44</v>
      </c>
      <c r="C1855" t="s">
        <v>45</v>
      </c>
      <c r="D1855" t="s">
        <v>29</v>
      </c>
      <c r="E1855" t="s">
        <v>37</v>
      </c>
      <c r="F1855" t="s">
        <v>56</v>
      </c>
      <c r="G1855" t="s">
        <v>32</v>
      </c>
      <c r="H1855">
        <v>320000</v>
      </c>
      <c r="I1855">
        <v>5</v>
      </c>
      <c r="J1855" t="s">
        <v>69</v>
      </c>
      <c r="K1855">
        <f t="shared" si="28"/>
        <v>256000</v>
      </c>
    </row>
    <row r="1856" spans="1:11">
      <c r="A1856" t="s">
        <v>167</v>
      </c>
      <c r="B1856" t="s">
        <v>44</v>
      </c>
      <c r="C1856" t="s">
        <v>36</v>
      </c>
      <c r="D1856" t="s">
        <v>29</v>
      </c>
      <c r="E1856" t="s">
        <v>37</v>
      </c>
      <c r="F1856" t="s">
        <v>56</v>
      </c>
      <c r="G1856" t="s">
        <v>32</v>
      </c>
      <c r="H1856">
        <v>320000</v>
      </c>
      <c r="I1856">
        <v>1</v>
      </c>
      <c r="J1856" t="s">
        <v>42</v>
      </c>
      <c r="K1856">
        <f t="shared" si="28"/>
        <v>256000</v>
      </c>
    </row>
    <row r="1857" spans="1:11">
      <c r="A1857" t="s">
        <v>63</v>
      </c>
      <c r="B1857" t="s">
        <v>49</v>
      </c>
      <c r="C1857" t="s">
        <v>28</v>
      </c>
      <c r="D1857" t="s">
        <v>29</v>
      </c>
      <c r="E1857" t="s">
        <v>37</v>
      </c>
      <c r="F1857" t="s">
        <v>67</v>
      </c>
      <c r="G1857" t="s">
        <v>51</v>
      </c>
      <c r="H1857">
        <v>420000</v>
      </c>
      <c r="I1857">
        <v>4</v>
      </c>
      <c r="J1857" t="s">
        <v>65</v>
      </c>
      <c r="K1857">
        <f t="shared" si="28"/>
        <v>336000</v>
      </c>
    </row>
    <row r="1858" spans="1:11">
      <c r="A1858" t="s">
        <v>132</v>
      </c>
      <c r="B1858" t="s">
        <v>44</v>
      </c>
      <c r="C1858" t="s">
        <v>45</v>
      </c>
      <c r="D1858" t="s">
        <v>41</v>
      </c>
      <c r="E1858" t="s">
        <v>37</v>
      </c>
      <c r="F1858" t="s">
        <v>31</v>
      </c>
      <c r="G1858" t="s">
        <v>32</v>
      </c>
      <c r="H1858">
        <v>85000</v>
      </c>
      <c r="I1858">
        <v>5</v>
      </c>
      <c r="J1858" t="s">
        <v>47</v>
      </c>
      <c r="K1858">
        <f t="shared" ref="K1858:K1921" si="29">H1858-H1858*0.2</f>
        <v>68000</v>
      </c>
    </row>
    <row r="1859" spans="1:11">
      <c r="A1859" t="s">
        <v>87</v>
      </c>
      <c r="B1859" t="s">
        <v>35</v>
      </c>
      <c r="C1859" t="s">
        <v>36</v>
      </c>
      <c r="D1859" t="s">
        <v>41</v>
      </c>
      <c r="E1859" t="s">
        <v>37</v>
      </c>
      <c r="F1859" t="s">
        <v>46</v>
      </c>
      <c r="G1859" t="s">
        <v>39</v>
      </c>
      <c r="H1859">
        <v>60000</v>
      </c>
      <c r="I1859">
        <v>3</v>
      </c>
      <c r="J1859" t="s">
        <v>33</v>
      </c>
      <c r="K1859">
        <f t="shared" si="29"/>
        <v>48000</v>
      </c>
    </row>
    <row r="1860" spans="1:11">
      <c r="A1860" t="s">
        <v>117</v>
      </c>
      <c r="B1860" t="s">
        <v>27</v>
      </c>
      <c r="C1860" t="s">
        <v>53</v>
      </c>
      <c r="D1860" t="s">
        <v>29</v>
      </c>
      <c r="E1860" t="s">
        <v>37</v>
      </c>
      <c r="F1860" t="s">
        <v>71</v>
      </c>
      <c r="G1860" t="s">
        <v>51</v>
      </c>
      <c r="H1860">
        <v>250000</v>
      </c>
      <c r="I1860">
        <v>4</v>
      </c>
      <c r="J1860" t="s">
        <v>65</v>
      </c>
      <c r="K1860">
        <f t="shared" si="29"/>
        <v>200000</v>
      </c>
    </row>
    <row r="1861" spans="1:11">
      <c r="A1861" t="s">
        <v>109</v>
      </c>
      <c r="B1861" t="s">
        <v>35</v>
      </c>
      <c r="C1861" t="s">
        <v>28</v>
      </c>
      <c r="D1861" t="s">
        <v>29</v>
      </c>
      <c r="E1861" t="s">
        <v>37</v>
      </c>
      <c r="F1861" t="s">
        <v>67</v>
      </c>
      <c r="G1861" t="s">
        <v>51</v>
      </c>
      <c r="H1861">
        <v>420000</v>
      </c>
      <c r="I1861">
        <v>5</v>
      </c>
      <c r="J1861" t="s">
        <v>33</v>
      </c>
      <c r="K1861">
        <f t="shared" si="29"/>
        <v>336000</v>
      </c>
    </row>
    <row r="1862" spans="1:11">
      <c r="A1862" t="s">
        <v>60</v>
      </c>
      <c r="B1862" t="s">
        <v>27</v>
      </c>
      <c r="C1862" t="s">
        <v>45</v>
      </c>
      <c r="D1862" t="s">
        <v>29</v>
      </c>
      <c r="E1862" t="s">
        <v>37</v>
      </c>
      <c r="F1862" t="s">
        <v>62</v>
      </c>
      <c r="G1862" t="s">
        <v>51</v>
      </c>
      <c r="H1862">
        <v>150000</v>
      </c>
      <c r="I1862">
        <v>5</v>
      </c>
      <c r="J1862" t="s">
        <v>47</v>
      </c>
      <c r="K1862">
        <f t="shared" si="29"/>
        <v>120000</v>
      </c>
    </row>
    <row r="1863" spans="1:11">
      <c r="A1863" t="s">
        <v>152</v>
      </c>
      <c r="B1863" t="s">
        <v>49</v>
      </c>
      <c r="C1863" t="s">
        <v>36</v>
      </c>
      <c r="D1863" t="s">
        <v>41</v>
      </c>
      <c r="E1863" t="s">
        <v>37</v>
      </c>
      <c r="F1863" t="s">
        <v>54</v>
      </c>
      <c r="G1863" t="s">
        <v>39</v>
      </c>
      <c r="H1863">
        <v>180000</v>
      </c>
      <c r="I1863">
        <v>1</v>
      </c>
      <c r="J1863" t="s">
        <v>58</v>
      </c>
      <c r="K1863">
        <f t="shared" si="29"/>
        <v>144000</v>
      </c>
    </row>
    <row r="1864" spans="1:11">
      <c r="A1864" t="s">
        <v>165</v>
      </c>
      <c r="B1864" t="s">
        <v>44</v>
      </c>
      <c r="C1864" t="s">
        <v>53</v>
      </c>
      <c r="D1864" t="s">
        <v>41</v>
      </c>
      <c r="E1864" t="s">
        <v>37</v>
      </c>
      <c r="F1864" t="s">
        <v>54</v>
      </c>
      <c r="G1864" t="s">
        <v>39</v>
      </c>
      <c r="H1864">
        <v>180000</v>
      </c>
      <c r="I1864">
        <v>1</v>
      </c>
      <c r="J1864" t="s">
        <v>47</v>
      </c>
      <c r="K1864">
        <f t="shared" si="29"/>
        <v>144000</v>
      </c>
    </row>
    <row r="1865" spans="1:11">
      <c r="A1865" t="s">
        <v>114</v>
      </c>
      <c r="B1865" t="s">
        <v>27</v>
      </c>
      <c r="C1865" t="s">
        <v>36</v>
      </c>
      <c r="D1865" t="s">
        <v>29</v>
      </c>
      <c r="E1865" t="s">
        <v>37</v>
      </c>
      <c r="F1865" t="s">
        <v>71</v>
      </c>
      <c r="G1865" t="s">
        <v>51</v>
      </c>
      <c r="H1865">
        <v>250000</v>
      </c>
      <c r="I1865">
        <v>9</v>
      </c>
      <c r="J1865" t="s">
        <v>33</v>
      </c>
      <c r="K1865">
        <f t="shared" si="29"/>
        <v>200000</v>
      </c>
    </row>
    <row r="1866" spans="1:11">
      <c r="A1866" t="s">
        <v>147</v>
      </c>
      <c r="B1866" t="s">
        <v>49</v>
      </c>
      <c r="C1866" t="s">
        <v>28</v>
      </c>
      <c r="D1866" t="s">
        <v>29</v>
      </c>
      <c r="E1866" t="s">
        <v>37</v>
      </c>
      <c r="F1866" t="s">
        <v>31</v>
      </c>
      <c r="G1866" t="s">
        <v>32</v>
      </c>
      <c r="H1866">
        <v>85000</v>
      </c>
      <c r="I1866">
        <v>4</v>
      </c>
      <c r="J1866" t="s">
        <v>58</v>
      </c>
      <c r="K1866">
        <f t="shared" si="29"/>
        <v>68000</v>
      </c>
    </row>
    <row r="1867" spans="1:11">
      <c r="A1867" t="s">
        <v>72</v>
      </c>
      <c r="B1867" t="s">
        <v>27</v>
      </c>
      <c r="C1867" t="s">
        <v>53</v>
      </c>
      <c r="D1867" t="s">
        <v>41</v>
      </c>
      <c r="E1867" t="s">
        <v>37</v>
      </c>
      <c r="F1867" t="s">
        <v>67</v>
      </c>
      <c r="G1867" t="s">
        <v>51</v>
      </c>
      <c r="H1867">
        <v>420000</v>
      </c>
      <c r="I1867">
        <v>8</v>
      </c>
      <c r="J1867" t="s">
        <v>42</v>
      </c>
      <c r="K1867">
        <f t="shared" si="29"/>
        <v>336000</v>
      </c>
    </row>
    <row r="1868" spans="1:11">
      <c r="A1868" t="s">
        <v>52</v>
      </c>
      <c r="B1868" t="s">
        <v>44</v>
      </c>
      <c r="C1868" t="s">
        <v>53</v>
      </c>
      <c r="D1868" t="s">
        <v>41</v>
      </c>
      <c r="E1868" t="s">
        <v>37</v>
      </c>
      <c r="F1868" t="s">
        <v>56</v>
      </c>
      <c r="G1868" t="s">
        <v>32</v>
      </c>
      <c r="H1868">
        <v>320000</v>
      </c>
      <c r="I1868">
        <v>6</v>
      </c>
      <c r="J1868" t="s">
        <v>42</v>
      </c>
      <c r="K1868">
        <f t="shared" si="29"/>
        <v>256000</v>
      </c>
    </row>
    <row r="1869" spans="1:11">
      <c r="A1869" t="s">
        <v>122</v>
      </c>
      <c r="B1869" t="s">
        <v>49</v>
      </c>
      <c r="C1869" t="s">
        <v>36</v>
      </c>
      <c r="D1869" t="s">
        <v>29</v>
      </c>
      <c r="E1869" t="s">
        <v>37</v>
      </c>
      <c r="F1869" t="s">
        <v>62</v>
      </c>
      <c r="G1869" t="s">
        <v>51</v>
      </c>
      <c r="H1869">
        <v>150000</v>
      </c>
      <c r="I1869">
        <v>3</v>
      </c>
      <c r="J1869" t="s">
        <v>65</v>
      </c>
      <c r="K1869">
        <f t="shared" si="29"/>
        <v>120000</v>
      </c>
    </row>
    <row r="1870" spans="1:11">
      <c r="A1870" t="s">
        <v>63</v>
      </c>
      <c r="B1870" t="s">
        <v>27</v>
      </c>
      <c r="C1870" t="s">
        <v>53</v>
      </c>
      <c r="D1870" t="s">
        <v>29</v>
      </c>
      <c r="E1870" t="s">
        <v>37</v>
      </c>
      <c r="F1870" t="s">
        <v>31</v>
      </c>
      <c r="G1870" t="s">
        <v>32</v>
      </c>
      <c r="H1870">
        <v>85000</v>
      </c>
      <c r="I1870">
        <v>3</v>
      </c>
      <c r="J1870" t="s">
        <v>47</v>
      </c>
      <c r="K1870">
        <f t="shared" si="29"/>
        <v>68000</v>
      </c>
    </row>
    <row r="1871" spans="1:11">
      <c r="A1871" t="s">
        <v>96</v>
      </c>
      <c r="B1871" t="s">
        <v>49</v>
      </c>
      <c r="C1871" t="s">
        <v>36</v>
      </c>
      <c r="D1871" t="s">
        <v>29</v>
      </c>
      <c r="E1871" t="s">
        <v>37</v>
      </c>
      <c r="F1871" t="s">
        <v>50</v>
      </c>
      <c r="G1871" t="s">
        <v>51</v>
      </c>
      <c r="H1871">
        <v>300000</v>
      </c>
      <c r="I1871">
        <v>1</v>
      </c>
      <c r="J1871" t="s">
        <v>47</v>
      </c>
      <c r="K1871">
        <f t="shared" si="29"/>
        <v>240000</v>
      </c>
    </row>
    <row r="1872" spans="1:11">
      <c r="A1872" t="s">
        <v>173</v>
      </c>
      <c r="B1872" t="s">
        <v>44</v>
      </c>
      <c r="C1872" t="s">
        <v>36</v>
      </c>
      <c r="D1872" t="s">
        <v>41</v>
      </c>
      <c r="E1872" t="s">
        <v>30</v>
      </c>
      <c r="F1872" t="s">
        <v>54</v>
      </c>
      <c r="G1872" t="s">
        <v>39</v>
      </c>
      <c r="H1872">
        <v>180000</v>
      </c>
      <c r="I1872">
        <v>4</v>
      </c>
      <c r="J1872" t="s">
        <v>65</v>
      </c>
      <c r="K1872">
        <f t="shared" si="29"/>
        <v>144000</v>
      </c>
    </row>
    <row r="1873" spans="1:11">
      <c r="A1873" t="s">
        <v>177</v>
      </c>
      <c r="B1873" t="s">
        <v>27</v>
      </c>
      <c r="C1873" t="s">
        <v>36</v>
      </c>
      <c r="D1873" t="s">
        <v>29</v>
      </c>
      <c r="E1873" t="s">
        <v>30</v>
      </c>
      <c r="F1873" t="s">
        <v>67</v>
      </c>
      <c r="G1873" t="s">
        <v>51</v>
      </c>
      <c r="H1873">
        <v>420000</v>
      </c>
      <c r="I1873">
        <v>10</v>
      </c>
      <c r="J1873" t="s">
        <v>58</v>
      </c>
      <c r="K1873">
        <f t="shared" si="29"/>
        <v>336000</v>
      </c>
    </row>
    <row r="1874" spans="1:11">
      <c r="A1874" t="s">
        <v>143</v>
      </c>
      <c r="B1874" t="s">
        <v>49</v>
      </c>
      <c r="C1874" t="s">
        <v>53</v>
      </c>
      <c r="D1874" t="s">
        <v>41</v>
      </c>
      <c r="E1874" t="s">
        <v>30</v>
      </c>
      <c r="F1874" t="s">
        <v>62</v>
      </c>
      <c r="G1874" t="s">
        <v>51</v>
      </c>
      <c r="H1874">
        <v>150000</v>
      </c>
      <c r="I1874">
        <v>4</v>
      </c>
      <c r="J1874" t="s">
        <v>69</v>
      </c>
      <c r="K1874">
        <f t="shared" si="29"/>
        <v>120000</v>
      </c>
    </row>
    <row r="1875" spans="1:11">
      <c r="A1875" t="s">
        <v>167</v>
      </c>
      <c r="B1875" t="s">
        <v>35</v>
      </c>
      <c r="C1875" t="s">
        <v>45</v>
      </c>
      <c r="D1875" t="s">
        <v>29</v>
      </c>
      <c r="E1875" t="s">
        <v>30</v>
      </c>
      <c r="F1875" t="s">
        <v>31</v>
      </c>
      <c r="G1875" t="s">
        <v>32</v>
      </c>
      <c r="H1875">
        <v>85000</v>
      </c>
      <c r="I1875">
        <v>6</v>
      </c>
      <c r="J1875" t="s">
        <v>69</v>
      </c>
      <c r="K1875">
        <f t="shared" si="29"/>
        <v>68000</v>
      </c>
    </row>
    <row r="1876" spans="1:11">
      <c r="A1876" t="s">
        <v>134</v>
      </c>
      <c r="B1876" t="s">
        <v>44</v>
      </c>
      <c r="C1876" t="s">
        <v>28</v>
      </c>
      <c r="D1876" t="s">
        <v>41</v>
      </c>
      <c r="E1876" t="s">
        <v>37</v>
      </c>
      <c r="F1876" t="s">
        <v>50</v>
      </c>
      <c r="G1876" t="s">
        <v>51</v>
      </c>
      <c r="H1876">
        <v>300000</v>
      </c>
      <c r="I1876">
        <v>10</v>
      </c>
      <c r="J1876" t="s">
        <v>33</v>
      </c>
      <c r="K1876">
        <f t="shared" si="29"/>
        <v>240000</v>
      </c>
    </row>
    <row r="1877" spans="1:11">
      <c r="A1877" t="s">
        <v>76</v>
      </c>
      <c r="B1877" t="s">
        <v>35</v>
      </c>
      <c r="C1877" t="s">
        <v>36</v>
      </c>
      <c r="D1877" t="s">
        <v>41</v>
      </c>
      <c r="E1877" t="s">
        <v>37</v>
      </c>
      <c r="F1877" t="s">
        <v>62</v>
      </c>
      <c r="G1877" t="s">
        <v>51</v>
      </c>
      <c r="H1877">
        <v>150000</v>
      </c>
      <c r="I1877">
        <v>6</v>
      </c>
      <c r="J1877" t="s">
        <v>69</v>
      </c>
      <c r="K1877">
        <f t="shared" si="29"/>
        <v>120000</v>
      </c>
    </row>
    <row r="1878" spans="1:11">
      <c r="A1878" t="s">
        <v>142</v>
      </c>
      <c r="B1878" t="s">
        <v>44</v>
      </c>
      <c r="C1878" t="s">
        <v>28</v>
      </c>
      <c r="D1878" t="s">
        <v>41</v>
      </c>
      <c r="E1878" t="s">
        <v>37</v>
      </c>
      <c r="F1878" t="s">
        <v>62</v>
      </c>
      <c r="G1878" t="s">
        <v>51</v>
      </c>
      <c r="H1878">
        <v>150000</v>
      </c>
      <c r="I1878">
        <v>1</v>
      </c>
      <c r="J1878" t="s">
        <v>69</v>
      </c>
      <c r="K1878">
        <f t="shared" si="29"/>
        <v>120000</v>
      </c>
    </row>
    <row r="1879" spans="1:11">
      <c r="A1879" t="s">
        <v>97</v>
      </c>
      <c r="B1879" t="s">
        <v>49</v>
      </c>
      <c r="C1879" t="s">
        <v>28</v>
      </c>
      <c r="D1879" t="s">
        <v>29</v>
      </c>
      <c r="E1879" t="s">
        <v>37</v>
      </c>
      <c r="F1879" t="s">
        <v>50</v>
      </c>
      <c r="G1879" t="s">
        <v>51</v>
      </c>
      <c r="H1879">
        <v>300000</v>
      </c>
      <c r="I1879">
        <v>3</v>
      </c>
      <c r="J1879" t="s">
        <v>47</v>
      </c>
      <c r="K1879">
        <f t="shared" si="29"/>
        <v>240000</v>
      </c>
    </row>
    <row r="1880" spans="1:11">
      <c r="A1880" t="s">
        <v>97</v>
      </c>
      <c r="B1880" t="s">
        <v>49</v>
      </c>
      <c r="C1880" t="s">
        <v>28</v>
      </c>
      <c r="D1880" t="s">
        <v>29</v>
      </c>
      <c r="E1880" t="s">
        <v>30</v>
      </c>
      <c r="F1880" t="s">
        <v>50</v>
      </c>
      <c r="G1880" t="s">
        <v>51</v>
      </c>
      <c r="H1880">
        <v>300000</v>
      </c>
      <c r="I1880">
        <v>8</v>
      </c>
      <c r="J1880" t="s">
        <v>65</v>
      </c>
      <c r="K1880">
        <f t="shared" si="29"/>
        <v>240000</v>
      </c>
    </row>
    <row r="1881" spans="1:11">
      <c r="A1881" t="s">
        <v>101</v>
      </c>
      <c r="B1881" t="s">
        <v>35</v>
      </c>
      <c r="C1881" t="s">
        <v>28</v>
      </c>
      <c r="D1881" t="s">
        <v>41</v>
      </c>
      <c r="E1881" t="s">
        <v>30</v>
      </c>
      <c r="F1881" t="s">
        <v>50</v>
      </c>
      <c r="G1881" t="s">
        <v>51</v>
      </c>
      <c r="H1881">
        <v>300000</v>
      </c>
      <c r="I1881">
        <v>9</v>
      </c>
      <c r="J1881" t="s">
        <v>33</v>
      </c>
      <c r="K1881">
        <f t="shared" si="29"/>
        <v>240000</v>
      </c>
    </row>
    <row r="1882" spans="1:11">
      <c r="A1882" t="s">
        <v>158</v>
      </c>
      <c r="B1882" t="s">
        <v>49</v>
      </c>
      <c r="C1882" t="s">
        <v>36</v>
      </c>
      <c r="D1882" t="s">
        <v>29</v>
      </c>
      <c r="E1882" t="s">
        <v>30</v>
      </c>
      <c r="F1882" t="s">
        <v>50</v>
      </c>
      <c r="G1882" t="s">
        <v>51</v>
      </c>
      <c r="H1882">
        <v>300000</v>
      </c>
      <c r="I1882">
        <v>2</v>
      </c>
      <c r="J1882" t="s">
        <v>58</v>
      </c>
      <c r="K1882">
        <f t="shared" si="29"/>
        <v>240000</v>
      </c>
    </row>
    <row r="1883" spans="1:11">
      <c r="A1883" t="s">
        <v>171</v>
      </c>
      <c r="B1883" t="s">
        <v>49</v>
      </c>
      <c r="C1883" t="s">
        <v>28</v>
      </c>
      <c r="D1883" t="s">
        <v>41</v>
      </c>
      <c r="E1883" t="s">
        <v>37</v>
      </c>
      <c r="F1883" t="s">
        <v>50</v>
      </c>
      <c r="G1883" t="s">
        <v>51</v>
      </c>
      <c r="H1883">
        <v>300000</v>
      </c>
      <c r="I1883">
        <v>10</v>
      </c>
      <c r="J1883" t="s">
        <v>47</v>
      </c>
      <c r="K1883">
        <f t="shared" si="29"/>
        <v>240000</v>
      </c>
    </row>
    <row r="1884" spans="1:11">
      <c r="A1884" t="s">
        <v>100</v>
      </c>
      <c r="B1884" t="s">
        <v>27</v>
      </c>
      <c r="C1884" t="s">
        <v>45</v>
      </c>
      <c r="D1884" t="s">
        <v>41</v>
      </c>
      <c r="E1884" t="s">
        <v>37</v>
      </c>
      <c r="F1884" t="s">
        <v>73</v>
      </c>
      <c r="G1884" t="s">
        <v>39</v>
      </c>
      <c r="H1884">
        <v>220000</v>
      </c>
      <c r="I1884">
        <v>4</v>
      </c>
      <c r="J1884" t="s">
        <v>65</v>
      </c>
      <c r="K1884">
        <f t="shared" si="29"/>
        <v>176000</v>
      </c>
    </row>
    <row r="1885" spans="1:11">
      <c r="A1885" t="s">
        <v>43</v>
      </c>
      <c r="B1885" t="s">
        <v>49</v>
      </c>
      <c r="C1885" t="s">
        <v>36</v>
      </c>
      <c r="D1885" t="s">
        <v>41</v>
      </c>
      <c r="E1885" t="s">
        <v>30</v>
      </c>
      <c r="F1885" t="s">
        <v>31</v>
      </c>
      <c r="G1885" t="s">
        <v>32</v>
      </c>
      <c r="H1885">
        <v>85000</v>
      </c>
      <c r="I1885">
        <v>6</v>
      </c>
      <c r="J1885" t="s">
        <v>65</v>
      </c>
      <c r="K1885">
        <f t="shared" si="29"/>
        <v>68000</v>
      </c>
    </row>
    <row r="1886" spans="1:11">
      <c r="A1886" t="s">
        <v>172</v>
      </c>
      <c r="B1886" t="s">
        <v>27</v>
      </c>
      <c r="C1886" t="s">
        <v>45</v>
      </c>
      <c r="D1886" t="s">
        <v>41</v>
      </c>
      <c r="E1886" t="s">
        <v>37</v>
      </c>
      <c r="F1886" t="s">
        <v>46</v>
      </c>
      <c r="G1886" t="s">
        <v>39</v>
      </c>
      <c r="H1886">
        <v>60000</v>
      </c>
      <c r="I1886">
        <v>4</v>
      </c>
      <c r="J1886" t="s">
        <v>47</v>
      </c>
      <c r="K1886">
        <f t="shared" si="29"/>
        <v>48000</v>
      </c>
    </row>
    <row r="1887" spans="1:11">
      <c r="A1887" t="s">
        <v>163</v>
      </c>
      <c r="B1887" t="s">
        <v>35</v>
      </c>
      <c r="C1887" t="s">
        <v>28</v>
      </c>
      <c r="D1887" t="s">
        <v>29</v>
      </c>
      <c r="E1887" t="s">
        <v>37</v>
      </c>
      <c r="F1887" t="s">
        <v>73</v>
      </c>
      <c r="G1887" t="s">
        <v>39</v>
      </c>
      <c r="H1887">
        <v>220000</v>
      </c>
      <c r="I1887">
        <v>2</v>
      </c>
      <c r="J1887" t="s">
        <v>42</v>
      </c>
      <c r="K1887">
        <f t="shared" si="29"/>
        <v>176000</v>
      </c>
    </row>
    <row r="1888" spans="1:11">
      <c r="A1888" t="s">
        <v>68</v>
      </c>
      <c r="B1888" t="s">
        <v>35</v>
      </c>
      <c r="C1888" t="s">
        <v>53</v>
      </c>
      <c r="D1888" t="s">
        <v>41</v>
      </c>
      <c r="E1888" t="s">
        <v>30</v>
      </c>
      <c r="F1888" t="s">
        <v>50</v>
      </c>
      <c r="G1888" t="s">
        <v>51</v>
      </c>
      <c r="H1888">
        <v>300000</v>
      </c>
      <c r="I1888">
        <v>3</v>
      </c>
      <c r="J1888" t="s">
        <v>33</v>
      </c>
      <c r="K1888">
        <f t="shared" si="29"/>
        <v>240000</v>
      </c>
    </row>
    <row r="1889" spans="1:11">
      <c r="A1889" t="s">
        <v>149</v>
      </c>
      <c r="B1889" t="s">
        <v>44</v>
      </c>
      <c r="C1889" t="s">
        <v>28</v>
      </c>
      <c r="D1889" t="s">
        <v>41</v>
      </c>
      <c r="E1889" t="s">
        <v>30</v>
      </c>
      <c r="F1889" t="s">
        <v>73</v>
      </c>
      <c r="G1889" t="s">
        <v>39</v>
      </c>
      <c r="H1889">
        <v>220000</v>
      </c>
      <c r="I1889">
        <v>8</v>
      </c>
      <c r="J1889" t="s">
        <v>69</v>
      </c>
      <c r="K1889">
        <f t="shared" si="29"/>
        <v>176000</v>
      </c>
    </row>
    <row r="1890" spans="1:11">
      <c r="A1890" t="s">
        <v>132</v>
      </c>
      <c r="B1890" t="s">
        <v>27</v>
      </c>
      <c r="C1890" t="s">
        <v>28</v>
      </c>
      <c r="D1890" t="s">
        <v>29</v>
      </c>
      <c r="E1890" t="s">
        <v>30</v>
      </c>
      <c r="F1890" t="s">
        <v>71</v>
      </c>
      <c r="G1890" t="s">
        <v>51</v>
      </c>
      <c r="H1890">
        <v>250000</v>
      </c>
      <c r="I1890">
        <v>8</v>
      </c>
      <c r="J1890" t="s">
        <v>65</v>
      </c>
      <c r="K1890">
        <f t="shared" si="29"/>
        <v>200000</v>
      </c>
    </row>
    <row r="1891" spans="1:11">
      <c r="A1891" t="s">
        <v>172</v>
      </c>
      <c r="B1891" t="s">
        <v>44</v>
      </c>
      <c r="C1891" t="s">
        <v>28</v>
      </c>
      <c r="D1891" t="s">
        <v>29</v>
      </c>
      <c r="E1891" t="s">
        <v>30</v>
      </c>
      <c r="F1891" t="s">
        <v>31</v>
      </c>
      <c r="G1891" t="s">
        <v>32</v>
      </c>
      <c r="H1891">
        <v>85000</v>
      </c>
      <c r="I1891">
        <v>2</v>
      </c>
      <c r="J1891" t="s">
        <v>33</v>
      </c>
      <c r="K1891">
        <f t="shared" si="29"/>
        <v>68000</v>
      </c>
    </row>
    <row r="1892" spans="1:11">
      <c r="A1892" t="s">
        <v>121</v>
      </c>
      <c r="B1892" t="s">
        <v>49</v>
      </c>
      <c r="C1892" t="s">
        <v>45</v>
      </c>
      <c r="D1892" t="s">
        <v>41</v>
      </c>
      <c r="E1892" t="s">
        <v>37</v>
      </c>
      <c r="F1892" t="s">
        <v>62</v>
      </c>
      <c r="G1892" t="s">
        <v>51</v>
      </c>
      <c r="H1892">
        <v>150000</v>
      </c>
      <c r="I1892">
        <v>7</v>
      </c>
      <c r="J1892" t="s">
        <v>65</v>
      </c>
      <c r="K1892">
        <f t="shared" si="29"/>
        <v>120000</v>
      </c>
    </row>
    <row r="1893" spans="1:11">
      <c r="A1893" t="s">
        <v>128</v>
      </c>
      <c r="B1893" t="s">
        <v>44</v>
      </c>
      <c r="C1893" t="s">
        <v>45</v>
      </c>
      <c r="D1893" t="s">
        <v>29</v>
      </c>
      <c r="E1893" t="s">
        <v>30</v>
      </c>
      <c r="F1893" t="s">
        <v>38</v>
      </c>
      <c r="G1893" t="s">
        <v>39</v>
      </c>
      <c r="H1893">
        <v>30000</v>
      </c>
      <c r="I1893">
        <v>8</v>
      </c>
      <c r="J1893" t="s">
        <v>47</v>
      </c>
      <c r="K1893">
        <f t="shared" si="29"/>
        <v>24000</v>
      </c>
    </row>
    <row r="1894" spans="1:11">
      <c r="A1894" t="s">
        <v>139</v>
      </c>
      <c r="B1894" t="s">
        <v>27</v>
      </c>
      <c r="C1894" t="s">
        <v>28</v>
      </c>
      <c r="D1894" t="s">
        <v>41</v>
      </c>
      <c r="E1894" t="s">
        <v>30</v>
      </c>
      <c r="F1894" t="s">
        <v>31</v>
      </c>
      <c r="G1894" t="s">
        <v>32</v>
      </c>
      <c r="H1894">
        <v>85000</v>
      </c>
      <c r="I1894">
        <v>2</v>
      </c>
      <c r="J1894" t="s">
        <v>65</v>
      </c>
      <c r="K1894">
        <f t="shared" si="29"/>
        <v>68000</v>
      </c>
    </row>
    <row r="1895" spans="1:11">
      <c r="A1895" t="s">
        <v>105</v>
      </c>
      <c r="B1895" t="s">
        <v>27</v>
      </c>
      <c r="C1895" t="s">
        <v>53</v>
      </c>
      <c r="D1895" t="s">
        <v>29</v>
      </c>
      <c r="E1895" t="s">
        <v>30</v>
      </c>
      <c r="F1895" t="s">
        <v>54</v>
      </c>
      <c r="G1895" t="s">
        <v>39</v>
      </c>
      <c r="H1895">
        <v>180000</v>
      </c>
      <c r="I1895">
        <v>5</v>
      </c>
      <c r="J1895" t="s">
        <v>42</v>
      </c>
      <c r="K1895">
        <f t="shared" si="29"/>
        <v>144000</v>
      </c>
    </row>
    <row r="1896" spans="1:11">
      <c r="A1896" t="s">
        <v>171</v>
      </c>
      <c r="B1896" t="s">
        <v>27</v>
      </c>
      <c r="C1896" t="s">
        <v>45</v>
      </c>
      <c r="D1896" t="s">
        <v>29</v>
      </c>
      <c r="E1896" t="s">
        <v>30</v>
      </c>
      <c r="F1896" t="s">
        <v>31</v>
      </c>
      <c r="G1896" t="s">
        <v>32</v>
      </c>
      <c r="H1896">
        <v>85000</v>
      </c>
      <c r="I1896">
        <v>9</v>
      </c>
      <c r="J1896" t="s">
        <v>65</v>
      </c>
      <c r="K1896">
        <f t="shared" si="29"/>
        <v>68000</v>
      </c>
    </row>
    <row r="1897" spans="1:11">
      <c r="A1897" t="s">
        <v>146</v>
      </c>
      <c r="B1897" t="s">
        <v>27</v>
      </c>
      <c r="C1897" t="s">
        <v>53</v>
      </c>
      <c r="D1897" t="s">
        <v>41</v>
      </c>
      <c r="E1897" t="s">
        <v>30</v>
      </c>
      <c r="F1897" t="s">
        <v>67</v>
      </c>
      <c r="G1897" t="s">
        <v>51</v>
      </c>
      <c r="H1897">
        <v>420000</v>
      </c>
      <c r="I1897">
        <v>9</v>
      </c>
      <c r="J1897" t="s">
        <v>42</v>
      </c>
      <c r="K1897">
        <f t="shared" si="29"/>
        <v>336000</v>
      </c>
    </row>
    <row r="1898" spans="1:11">
      <c r="A1898" t="s">
        <v>177</v>
      </c>
      <c r="B1898" t="s">
        <v>49</v>
      </c>
      <c r="C1898" t="s">
        <v>53</v>
      </c>
      <c r="D1898" t="s">
        <v>29</v>
      </c>
      <c r="E1898" t="s">
        <v>30</v>
      </c>
      <c r="F1898" t="s">
        <v>56</v>
      </c>
      <c r="G1898" t="s">
        <v>32</v>
      </c>
      <c r="H1898">
        <v>320000</v>
      </c>
      <c r="I1898">
        <v>5</v>
      </c>
      <c r="J1898" t="s">
        <v>33</v>
      </c>
      <c r="K1898">
        <f t="shared" si="29"/>
        <v>256000</v>
      </c>
    </row>
    <row r="1899" spans="1:11">
      <c r="A1899" t="s">
        <v>163</v>
      </c>
      <c r="B1899" t="s">
        <v>27</v>
      </c>
      <c r="C1899" t="s">
        <v>36</v>
      </c>
      <c r="D1899" t="s">
        <v>29</v>
      </c>
      <c r="E1899" t="s">
        <v>30</v>
      </c>
      <c r="F1899" t="s">
        <v>56</v>
      </c>
      <c r="G1899" t="s">
        <v>32</v>
      </c>
      <c r="H1899">
        <v>320000</v>
      </c>
      <c r="I1899">
        <v>1</v>
      </c>
      <c r="J1899" t="s">
        <v>65</v>
      </c>
      <c r="K1899">
        <f t="shared" si="29"/>
        <v>256000</v>
      </c>
    </row>
    <row r="1900" spans="1:11">
      <c r="A1900" t="s">
        <v>68</v>
      </c>
      <c r="B1900" t="s">
        <v>49</v>
      </c>
      <c r="C1900" t="s">
        <v>45</v>
      </c>
      <c r="D1900" t="s">
        <v>29</v>
      </c>
      <c r="E1900" t="s">
        <v>30</v>
      </c>
      <c r="F1900" t="s">
        <v>38</v>
      </c>
      <c r="G1900" t="s">
        <v>39</v>
      </c>
      <c r="H1900">
        <v>30000</v>
      </c>
      <c r="I1900">
        <v>10</v>
      </c>
      <c r="J1900" t="s">
        <v>58</v>
      </c>
      <c r="K1900">
        <f t="shared" si="29"/>
        <v>24000</v>
      </c>
    </row>
    <row r="1901" spans="1:11">
      <c r="A1901" t="s">
        <v>156</v>
      </c>
      <c r="B1901" t="s">
        <v>35</v>
      </c>
      <c r="C1901" t="s">
        <v>28</v>
      </c>
      <c r="D1901" t="s">
        <v>29</v>
      </c>
      <c r="E1901" t="s">
        <v>37</v>
      </c>
      <c r="F1901" t="s">
        <v>54</v>
      </c>
      <c r="G1901" t="s">
        <v>39</v>
      </c>
      <c r="H1901">
        <v>180000</v>
      </c>
      <c r="I1901">
        <v>10</v>
      </c>
      <c r="J1901" t="s">
        <v>69</v>
      </c>
      <c r="K1901">
        <f t="shared" si="29"/>
        <v>144000</v>
      </c>
    </row>
    <row r="1902" spans="1:11">
      <c r="A1902" t="s">
        <v>96</v>
      </c>
      <c r="B1902" t="s">
        <v>27</v>
      </c>
      <c r="C1902" t="s">
        <v>45</v>
      </c>
      <c r="D1902" t="s">
        <v>41</v>
      </c>
      <c r="E1902" t="s">
        <v>30</v>
      </c>
      <c r="F1902" t="s">
        <v>56</v>
      </c>
      <c r="G1902" t="s">
        <v>32</v>
      </c>
      <c r="H1902">
        <v>320000</v>
      </c>
      <c r="I1902">
        <v>9</v>
      </c>
      <c r="J1902" t="s">
        <v>47</v>
      </c>
      <c r="K1902">
        <f t="shared" si="29"/>
        <v>256000</v>
      </c>
    </row>
    <row r="1903" spans="1:11">
      <c r="A1903" t="s">
        <v>101</v>
      </c>
      <c r="B1903" t="s">
        <v>27</v>
      </c>
      <c r="C1903" t="s">
        <v>53</v>
      </c>
      <c r="D1903" t="s">
        <v>41</v>
      </c>
      <c r="E1903" t="s">
        <v>30</v>
      </c>
      <c r="F1903" t="s">
        <v>67</v>
      </c>
      <c r="G1903" t="s">
        <v>51</v>
      </c>
      <c r="H1903">
        <v>420000</v>
      </c>
      <c r="I1903">
        <v>2</v>
      </c>
      <c r="J1903" t="s">
        <v>65</v>
      </c>
      <c r="K1903">
        <f t="shared" si="29"/>
        <v>336000</v>
      </c>
    </row>
    <row r="1904" spans="1:11">
      <c r="A1904" t="s">
        <v>139</v>
      </c>
      <c r="B1904" t="s">
        <v>49</v>
      </c>
      <c r="C1904" t="s">
        <v>28</v>
      </c>
      <c r="D1904" t="s">
        <v>29</v>
      </c>
      <c r="E1904" t="s">
        <v>30</v>
      </c>
      <c r="F1904" t="s">
        <v>50</v>
      </c>
      <c r="G1904" t="s">
        <v>51</v>
      </c>
      <c r="H1904">
        <v>300000</v>
      </c>
      <c r="I1904">
        <v>6</v>
      </c>
      <c r="J1904" t="s">
        <v>47</v>
      </c>
      <c r="K1904">
        <f t="shared" si="29"/>
        <v>240000</v>
      </c>
    </row>
    <row r="1905" spans="1:11">
      <c r="A1905" t="s">
        <v>139</v>
      </c>
      <c r="B1905" t="s">
        <v>49</v>
      </c>
      <c r="C1905" t="s">
        <v>45</v>
      </c>
      <c r="D1905" t="s">
        <v>41</v>
      </c>
      <c r="E1905" t="s">
        <v>37</v>
      </c>
      <c r="F1905" t="s">
        <v>38</v>
      </c>
      <c r="G1905" t="s">
        <v>39</v>
      </c>
      <c r="H1905">
        <v>30000</v>
      </c>
      <c r="I1905">
        <v>4</v>
      </c>
      <c r="J1905" t="s">
        <v>42</v>
      </c>
      <c r="K1905">
        <f t="shared" si="29"/>
        <v>24000</v>
      </c>
    </row>
    <row r="1906" spans="1:11">
      <c r="A1906" t="s">
        <v>136</v>
      </c>
      <c r="B1906" t="s">
        <v>44</v>
      </c>
      <c r="C1906" t="s">
        <v>53</v>
      </c>
      <c r="D1906" t="s">
        <v>41</v>
      </c>
      <c r="E1906" t="s">
        <v>37</v>
      </c>
      <c r="F1906" t="s">
        <v>56</v>
      </c>
      <c r="G1906" t="s">
        <v>32</v>
      </c>
      <c r="H1906">
        <v>320000</v>
      </c>
      <c r="I1906">
        <v>7</v>
      </c>
      <c r="J1906" t="s">
        <v>47</v>
      </c>
      <c r="K1906">
        <f t="shared" si="29"/>
        <v>256000</v>
      </c>
    </row>
    <row r="1907" spans="1:11">
      <c r="A1907" t="s">
        <v>158</v>
      </c>
      <c r="B1907" t="s">
        <v>49</v>
      </c>
      <c r="C1907" t="s">
        <v>45</v>
      </c>
      <c r="D1907" t="s">
        <v>41</v>
      </c>
      <c r="E1907" t="s">
        <v>37</v>
      </c>
      <c r="F1907" t="s">
        <v>56</v>
      </c>
      <c r="G1907" t="s">
        <v>32</v>
      </c>
      <c r="H1907">
        <v>320000</v>
      </c>
      <c r="I1907">
        <v>1</v>
      </c>
      <c r="J1907" t="s">
        <v>65</v>
      </c>
      <c r="K1907">
        <f t="shared" si="29"/>
        <v>256000</v>
      </c>
    </row>
    <row r="1908" spans="1:11">
      <c r="A1908" t="s">
        <v>114</v>
      </c>
      <c r="B1908" t="s">
        <v>49</v>
      </c>
      <c r="C1908" t="s">
        <v>45</v>
      </c>
      <c r="D1908" t="s">
        <v>41</v>
      </c>
      <c r="E1908" t="s">
        <v>30</v>
      </c>
      <c r="F1908" t="s">
        <v>50</v>
      </c>
      <c r="G1908" t="s">
        <v>51</v>
      </c>
      <c r="H1908">
        <v>300000</v>
      </c>
      <c r="I1908">
        <v>3</v>
      </c>
      <c r="J1908" t="s">
        <v>58</v>
      </c>
      <c r="K1908">
        <f t="shared" si="29"/>
        <v>240000</v>
      </c>
    </row>
    <row r="1909" spans="1:11">
      <c r="A1909" t="s">
        <v>89</v>
      </c>
      <c r="B1909" t="s">
        <v>49</v>
      </c>
      <c r="C1909" t="s">
        <v>36</v>
      </c>
      <c r="D1909" t="s">
        <v>41</v>
      </c>
      <c r="E1909" t="s">
        <v>30</v>
      </c>
      <c r="F1909" t="s">
        <v>38</v>
      </c>
      <c r="G1909" t="s">
        <v>39</v>
      </c>
      <c r="H1909">
        <v>30000</v>
      </c>
      <c r="I1909">
        <v>6</v>
      </c>
      <c r="J1909" t="s">
        <v>47</v>
      </c>
      <c r="K1909">
        <f t="shared" si="29"/>
        <v>24000</v>
      </c>
    </row>
    <row r="1910" spans="1:11">
      <c r="A1910" t="s">
        <v>103</v>
      </c>
      <c r="B1910" t="s">
        <v>35</v>
      </c>
      <c r="C1910" t="s">
        <v>45</v>
      </c>
      <c r="D1910" t="s">
        <v>41</v>
      </c>
      <c r="E1910" t="s">
        <v>37</v>
      </c>
      <c r="F1910" t="s">
        <v>73</v>
      </c>
      <c r="G1910" t="s">
        <v>39</v>
      </c>
      <c r="H1910">
        <v>220000</v>
      </c>
      <c r="I1910">
        <v>1</v>
      </c>
      <c r="J1910" t="s">
        <v>47</v>
      </c>
      <c r="K1910">
        <f t="shared" si="29"/>
        <v>176000</v>
      </c>
    </row>
    <row r="1911" spans="1:11">
      <c r="A1911" t="s">
        <v>175</v>
      </c>
      <c r="B1911" t="s">
        <v>49</v>
      </c>
      <c r="C1911" t="s">
        <v>53</v>
      </c>
      <c r="D1911" t="s">
        <v>29</v>
      </c>
      <c r="E1911" t="s">
        <v>30</v>
      </c>
      <c r="F1911" t="s">
        <v>38</v>
      </c>
      <c r="G1911" t="s">
        <v>39</v>
      </c>
      <c r="H1911">
        <v>30000</v>
      </c>
      <c r="I1911">
        <v>9</v>
      </c>
      <c r="J1911" t="s">
        <v>58</v>
      </c>
      <c r="K1911">
        <f t="shared" si="29"/>
        <v>24000</v>
      </c>
    </row>
    <row r="1912" spans="1:11">
      <c r="A1912" t="s">
        <v>131</v>
      </c>
      <c r="B1912" t="s">
        <v>27</v>
      </c>
      <c r="C1912" t="s">
        <v>28</v>
      </c>
      <c r="D1912" t="s">
        <v>41</v>
      </c>
      <c r="E1912" t="s">
        <v>30</v>
      </c>
      <c r="F1912" t="s">
        <v>73</v>
      </c>
      <c r="G1912" t="s">
        <v>39</v>
      </c>
      <c r="H1912">
        <v>220000</v>
      </c>
      <c r="I1912">
        <v>10</v>
      </c>
      <c r="J1912" t="s">
        <v>58</v>
      </c>
      <c r="K1912">
        <f t="shared" si="29"/>
        <v>176000</v>
      </c>
    </row>
    <row r="1913" spans="1:11">
      <c r="A1913" t="s">
        <v>142</v>
      </c>
      <c r="B1913" t="s">
        <v>35</v>
      </c>
      <c r="C1913" t="s">
        <v>45</v>
      </c>
      <c r="D1913" t="s">
        <v>29</v>
      </c>
      <c r="E1913" t="s">
        <v>30</v>
      </c>
      <c r="F1913" t="s">
        <v>73</v>
      </c>
      <c r="G1913" t="s">
        <v>39</v>
      </c>
      <c r="H1913">
        <v>220000</v>
      </c>
      <c r="I1913">
        <v>9</v>
      </c>
      <c r="J1913" t="s">
        <v>33</v>
      </c>
      <c r="K1913">
        <f t="shared" si="29"/>
        <v>176000</v>
      </c>
    </row>
    <row r="1914" spans="1:11">
      <c r="A1914" t="s">
        <v>141</v>
      </c>
      <c r="B1914" t="s">
        <v>27</v>
      </c>
      <c r="C1914" t="s">
        <v>53</v>
      </c>
      <c r="D1914" t="s">
        <v>41</v>
      </c>
      <c r="E1914" t="s">
        <v>30</v>
      </c>
      <c r="F1914" t="s">
        <v>46</v>
      </c>
      <c r="G1914" t="s">
        <v>39</v>
      </c>
      <c r="H1914">
        <v>60000</v>
      </c>
      <c r="I1914">
        <v>4</v>
      </c>
      <c r="J1914" t="s">
        <v>42</v>
      </c>
      <c r="K1914">
        <f t="shared" si="29"/>
        <v>48000</v>
      </c>
    </row>
    <row r="1915" spans="1:11">
      <c r="A1915" t="s">
        <v>114</v>
      </c>
      <c r="B1915" t="s">
        <v>44</v>
      </c>
      <c r="C1915" t="s">
        <v>45</v>
      </c>
      <c r="D1915" t="s">
        <v>41</v>
      </c>
      <c r="E1915" t="s">
        <v>37</v>
      </c>
      <c r="F1915" t="s">
        <v>73</v>
      </c>
      <c r="G1915" t="s">
        <v>39</v>
      </c>
      <c r="H1915">
        <v>220000</v>
      </c>
      <c r="I1915">
        <v>7</v>
      </c>
      <c r="J1915" t="s">
        <v>42</v>
      </c>
      <c r="K1915">
        <f t="shared" si="29"/>
        <v>176000</v>
      </c>
    </row>
    <row r="1916" spans="1:11">
      <c r="A1916" t="s">
        <v>103</v>
      </c>
      <c r="B1916" t="s">
        <v>27</v>
      </c>
      <c r="C1916" t="s">
        <v>45</v>
      </c>
      <c r="D1916" t="s">
        <v>29</v>
      </c>
      <c r="E1916" t="s">
        <v>37</v>
      </c>
      <c r="F1916" t="s">
        <v>56</v>
      </c>
      <c r="G1916" t="s">
        <v>32</v>
      </c>
      <c r="H1916">
        <v>320000</v>
      </c>
      <c r="I1916">
        <v>9</v>
      </c>
      <c r="J1916" t="s">
        <v>47</v>
      </c>
      <c r="K1916">
        <f t="shared" si="29"/>
        <v>256000</v>
      </c>
    </row>
    <row r="1917" spans="1:11">
      <c r="A1917" t="s">
        <v>155</v>
      </c>
      <c r="B1917" t="s">
        <v>27</v>
      </c>
      <c r="C1917" t="s">
        <v>36</v>
      </c>
      <c r="D1917" t="s">
        <v>41</v>
      </c>
      <c r="E1917" t="s">
        <v>37</v>
      </c>
      <c r="F1917" t="s">
        <v>31</v>
      </c>
      <c r="G1917" t="s">
        <v>32</v>
      </c>
      <c r="H1917">
        <v>85000</v>
      </c>
      <c r="I1917">
        <v>5</v>
      </c>
      <c r="J1917" t="s">
        <v>69</v>
      </c>
      <c r="K1917">
        <f t="shared" si="29"/>
        <v>68000</v>
      </c>
    </row>
    <row r="1918" spans="1:11">
      <c r="A1918" t="s">
        <v>170</v>
      </c>
      <c r="B1918" t="s">
        <v>49</v>
      </c>
      <c r="C1918" t="s">
        <v>53</v>
      </c>
      <c r="D1918" t="s">
        <v>29</v>
      </c>
      <c r="E1918" t="s">
        <v>30</v>
      </c>
      <c r="F1918" t="s">
        <v>71</v>
      </c>
      <c r="G1918" t="s">
        <v>51</v>
      </c>
      <c r="H1918">
        <v>250000</v>
      </c>
      <c r="I1918">
        <v>10</v>
      </c>
      <c r="J1918" t="s">
        <v>65</v>
      </c>
      <c r="K1918">
        <f t="shared" si="29"/>
        <v>200000</v>
      </c>
    </row>
    <row r="1919" spans="1:11">
      <c r="A1919" t="s">
        <v>113</v>
      </c>
      <c r="B1919" t="s">
        <v>35</v>
      </c>
      <c r="C1919" t="s">
        <v>53</v>
      </c>
      <c r="D1919" t="s">
        <v>29</v>
      </c>
      <c r="E1919" t="s">
        <v>37</v>
      </c>
      <c r="F1919" t="s">
        <v>56</v>
      </c>
      <c r="G1919" t="s">
        <v>32</v>
      </c>
      <c r="H1919">
        <v>320000</v>
      </c>
      <c r="I1919">
        <v>8</v>
      </c>
      <c r="J1919" t="s">
        <v>47</v>
      </c>
      <c r="K1919">
        <f t="shared" si="29"/>
        <v>256000</v>
      </c>
    </row>
    <row r="1920" spans="1:11">
      <c r="A1920" t="s">
        <v>160</v>
      </c>
      <c r="B1920" t="s">
        <v>49</v>
      </c>
      <c r="C1920" t="s">
        <v>28</v>
      </c>
      <c r="D1920" t="s">
        <v>41</v>
      </c>
      <c r="E1920" t="s">
        <v>37</v>
      </c>
      <c r="F1920" t="s">
        <v>62</v>
      </c>
      <c r="G1920" t="s">
        <v>51</v>
      </c>
      <c r="H1920">
        <v>150000</v>
      </c>
      <c r="I1920">
        <v>7</v>
      </c>
      <c r="J1920" t="s">
        <v>58</v>
      </c>
      <c r="K1920">
        <f t="shared" si="29"/>
        <v>120000</v>
      </c>
    </row>
    <row r="1921" spans="1:11">
      <c r="A1921" t="s">
        <v>170</v>
      </c>
      <c r="B1921" t="s">
        <v>49</v>
      </c>
      <c r="C1921" t="s">
        <v>45</v>
      </c>
      <c r="D1921" t="s">
        <v>29</v>
      </c>
      <c r="E1921" t="s">
        <v>37</v>
      </c>
      <c r="F1921" t="s">
        <v>54</v>
      </c>
      <c r="G1921" t="s">
        <v>39</v>
      </c>
      <c r="H1921">
        <v>180000</v>
      </c>
      <c r="I1921">
        <v>8</v>
      </c>
      <c r="J1921" t="s">
        <v>58</v>
      </c>
      <c r="K1921">
        <f t="shared" si="29"/>
        <v>144000</v>
      </c>
    </row>
    <row r="1922" spans="1:11">
      <c r="A1922" t="s">
        <v>99</v>
      </c>
      <c r="B1922" t="s">
        <v>27</v>
      </c>
      <c r="C1922" t="s">
        <v>53</v>
      </c>
      <c r="D1922" t="s">
        <v>29</v>
      </c>
      <c r="E1922" t="s">
        <v>30</v>
      </c>
      <c r="F1922" t="s">
        <v>56</v>
      </c>
      <c r="G1922" t="s">
        <v>32</v>
      </c>
      <c r="H1922">
        <v>320000</v>
      </c>
      <c r="I1922">
        <v>10</v>
      </c>
      <c r="J1922" t="s">
        <v>47</v>
      </c>
      <c r="K1922">
        <f t="shared" ref="K1922:K1985" si="30">H1922-H1922*0.2</f>
        <v>256000</v>
      </c>
    </row>
    <row r="1923" spans="1:11">
      <c r="A1923" t="s">
        <v>107</v>
      </c>
      <c r="B1923" t="s">
        <v>49</v>
      </c>
      <c r="C1923" t="s">
        <v>28</v>
      </c>
      <c r="D1923" t="s">
        <v>41</v>
      </c>
      <c r="E1923" t="s">
        <v>37</v>
      </c>
      <c r="F1923" t="s">
        <v>62</v>
      </c>
      <c r="G1923" t="s">
        <v>51</v>
      </c>
      <c r="H1923">
        <v>150000</v>
      </c>
      <c r="I1923">
        <v>7</v>
      </c>
      <c r="J1923" t="s">
        <v>69</v>
      </c>
      <c r="K1923">
        <f t="shared" si="30"/>
        <v>120000</v>
      </c>
    </row>
    <row r="1924" spans="1:11">
      <c r="A1924" t="s">
        <v>129</v>
      </c>
      <c r="B1924" t="s">
        <v>44</v>
      </c>
      <c r="C1924" t="s">
        <v>36</v>
      </c>
      <c r="D1924" t="s">
        <v>41</v>
      </c>
      <c r="E1924" t="s">
        <v>37</v>
      </c>
      <c r="F1924" t="s">
        <v>73</v>
      </c>
      <c r="G1924" t="s">
        <v>39</v>
      </c>
      <c r="H1924">
        <v>220000</v>
      </c>
      <c r="I1924">
        <v>1</v>
      </c>
      <c r="J1924" t="s">
        <v>42</v>
      </c>
      <c r="K1924">
        <f t="shared" si="30"/>
        <v>176000</v>
      </c>
    </row>
    <row r="1925" spans="1:11">
      <c r="A1925" t="s">
        <v>166</v>
      </c>
      <c r="B1925" t="s">
        <v>49</v>
      </c>
      <c r="C1925" t="s">
        <v>53</v>
      </c>
      <c r="D1925" t="s">
        <v>41</v>
      </c>
      <c r="E1925" t="s">
        <v>30</v>
      </c>
      <c r="F1925" t="s">
        <v>73</v>
      </c>
      <c r="G1925" t="s">
        <v>39</v>
      </c>
      <c r="H1925">
        <v>220000</v>
      </c>
      <c r="I1925">
        <v>7</v>
      </c>
      <c r="J1925" t="s">
        <v>42</v>
      </c>
      <c r="K1925">
        <f t="shared" si="30"/>
        <v>176000</v>
      </c>
    </row>
    <row r="1926" spans="1:11">
      <c r="A1926" t="s">
        <v>174</v>
      </c>
      <c r="B1926" t="s">
        <v>44</v>
      </c>
      <c r="C1926" t="s">
        <v>53</v>
      </c>
      <c r="D1926" t="s">
        <v>41</v>
      </c>
      <c r="E1926" t="s">
        <v>37</v>
      </c>
      <c r="F1926" t="s">
        <v>62</v>
      </c>
      <c r="G1926" t="s">
        <v>51</v>
      </c>
      <c r="H1926">
        <v>150000</v>
      </c>
      <c r="I1926">
        <v>6</v>
      </c>
      <c r="J1926" t="s">
        <v>42</v>
      </c>
      <c r="K1926">
        <f t="shared" si="30"/>
        <v>120000</v>
      </c>
    </row>
    <row r="1927" spans="1:11">
      <c r="A1927" t="s">
        <v>57</v>
      </c>
      <c r="B1927" t="s">
        <v>35</v>
      </c>
      <c r="C1927" t="s">
        <v>28</v>
      </c>
      <c r="D1927" t="s">
        <v>29</v>
      </c>
      <c r="E1927" t="s">
        <v>30</v>
      </c>
      <c r="F1927" t="s">
        <v>50</v>
      </c>
      <c r="G1927" t="s">
        <v>51</v>
      </c>
      <c r="H1927">
        <v>300000</v>
      </c>
      <c r="I1927">
        <v>8</v>
      </c>
      <c r="J1927" t="s">
        <v>47</v>
      </c>
      <c r="K1927">
        <f t="shared" si="30"/>
        <v>240000</v>
      </c>
    </row>
    <row r="1928" spans="1:11">
      <c r="A1928" t="s">
        <v>117</v>
      </c>
      <c r="B1928" t="s">
        <v>35</v>
      </c>
      <c r="C1928" t="s">
        <v>53</v>
      </c>
      <c r="D1928" t="s">
        <v>41</v>
      </c>
      <c r="E1928" t="s">
        <v>37</v>
      </c>
      <c r="F1928" t="s">
        <v>67</v>
      </c>
      <c r="G1928" t="s">
        <v>51</v>
      </c>
      <c r="H1928">
        <v>420000</v>
      </c>
      <c r="I1928">
        <v>10</v>
      </c>
      <c r="J1928" t="s">
        <v>69</v>
      </c>
      <c r="K1928">
        <f t="shared" si="30"/>
        <v>336000</v>
      </c>
    </row>
    <row r="1929" spans="1:11">
      <c r="A1929" t="s">
        <v>155</v>
      </c>
      <c r="B1929" t="s">
        <v>49</v>
      </c>
      <c r="C1929" t="s">
        <v>36</v>
      </c>
      <c r="D1929" t="s">
        <v>29</v>
      </c>
      <c r="E1929" t="s">
        <v>37</v>
      </c>
      <c r="F1929" t="s">
        <v>38</v>
      </c>
      <c r="G1929" t="s">
        <v>39</v>
      </c>
      <c r="H1929">
        <v>30000</v>
      </c>
      <c r="I1929">
        <v>1</v>
      </c>
      <c r="J1929" t="s">
        <v>42</v>
      </c>
      <c r="K1929">
        <f t="shared" si="30"/>
        <v>24000</v>
      </c>
    </row>
    <row r="1930" spans="1:11">
      <c r="A1930" t="s">
        <v>98</v>
      </c>
      <c r="B1930" t="s">
        <v>35</v>
      </c>
      <c r="C1930" t="s">
        <v>28</v>
      </c>
      <c r="D1930" t="s">
        <v>41</v>
      </c>
      <c r="E1930" t="s">
        <v>30</v>
      </c>
      <c r="F1930" t="s">
        <v>67</v>
      </c>
      <c r="G1930" t="s">
        <v>51</v>
      </c>
      <c r="H1930">
        <v>420000</v>
      </c>
      <c r="I1930">
        <v>7</v>
      </c>
      <c r="J1930" t="s">
        <v>33</v>
      </c>
      <c r="K1930">
        <f t="shared" si="30"/>
        <v>336000</v>
      </c>
    </row>
    <row r="1931" spans="1:11">
      <c r="A1931" t="s">
        <v>159</v>
      </c>
      <c r="B1931" t="s">
        <v>49</v>
      </c>
      <c r="C1931" t="s">
        <v>28</v>
      </c>
      <c r="D1931" t="s">
        <v>41</v>
      </c>
      <c r="E1931" t="s">
        <v>37</v>
      </c>
      <c r="F1931" t="s">
        <v>54</v>
      </c>
      <c r="G1931" t="s">
        <v>39</v>
      </c>
      <c r="H1931">
        <v>180000</v>
      </c>
      <c r="I1931">
        <v>6</v>
      </c>
      <c r="J1931" t="s">
        <v>58</v>
      </c>
      <c r="K1931">
        <f t="shared" si="30"/>
        <v>144000</v>
      </c>
    </row>
    <row r="1932" spans="1:11">
      <c r="A1932" t="s">
        <v>59</v>
      </c>
      <c r="B1932" t="s">
        <v>44</v>
      </c>
      <c r="C1932" t="s">
        <v>45</v>
      </c>
      <c r="D1932" t="s">
        <v>29</v>
      </c>
      <c r="E1932" t="s">
        <v>30</v>
      </c>
      <c r="F1932" t="s">
        <v>38</v>
      </c>
      <c r="G1932" t="s">
        <v>39</v>
      </c>
      <c r="H1932">
        <v>30000</v>
      </c>
      <c r="I1932">
        <v>10</v>
      </c>
      <c r="J1932" t="s">
        <v>69</v>
      </c>
      <c r="K1932">
        <f t="shared" si="30"/>
        <v>24000</v>
      </c>
    </row>
    <row r="1933" spans="1:11">
      <c r="A1933" t="s">
        <v>136</v>
      </c>
      <c r="B1933" t="s">
        <v>27</v>
      </c>
      <c r="C1933" t="s">
        <v>28</v>
      </c>
      <c r="D1933" t="s">
        <v>29</v>
      </c>
      <c r="E1933" t="s">
        <v>37</v>
      </c>
      <c r="F1933" t="s">
        <v>73</v>
      </c>
      <c r="G1933" t="s">
        <v>39</v>
      </c>
      <c r="H1933">
        <v>220000</v>
      </c>
      <c r="I1933">
        <v>1</v>
      </c>
      <c r="J1933" t="s">
        <v>69</v>
      </c>
      <c r="K1933">
        <f t="shared" si="30"/>
        <v>176000</v>
      </c>
    </row>
    <row r="1934" spans="1:11">
      <c r="A1934" t="s">
        <v>137</v>
      </c>
      <c r="B1934" t="s">
        <v>44</v>
      </c>
      <c r="C1934" t="s">
        <v>45</v>
      </c>
      <c r="D1934" t="s">
        <v>29</v>
      </c>
      <c r="E1934" t="s">
        <v>30</v>
      </c>
      <c r="F1934" t="s">
        <v>56</v>
      </c>
      <c r="G1934" t="s">
        <v>32</v>
      </c>
      <c r="H1934">
        <v>320000</v>
      </c>
      <c r="I1934">
        <v>6</v>
      </c>
      <c r="J1934" t="s">
        <v>58</v>
      </c>
      <c r="K1934">
        <f t="shared" si="30"/>
        <v>256000</v>
      </c>
    </row>
    <row r="1935" spans="1:11">
      <c r="A1935" t="s">
        <v>105</v>
      </c>
      <c r="B1935" t="s">
        <v>44</v>
      </c>
      <c r="C1935" t="s">
        <v>53</v>
      </c>
      <c r="D1935" t="s">
        <v>41</v>
      </c>
      <c r="E1935" t="s">
        <v>37</v>
      </c>
      <c r="F1935" t="s">
        <v>46</v>
      </c>
      <c r="G1935" t="s">
        <v>39</v>
      </c>
      <c r="H1935">
        <v>60000</v>
      </c>
      <c r="I1935">
        <v>10</v>
      </c>
      <c r="J1935" t="s">
        <v>42</v>
      </c>
      <c r="K1935">
        <f t="shared" si="30"/>
        <v>48000</v>
      </c>
    </row>
    <row r="1936" spans="1:11">
      <c r="A1936" t="s">
        <v>108</v>
      </c>
      <c r="B1936" t="s">
        <v>27</v>
      </c>
      <c r="C1936" t="s">
        <v>53</v>
      </c>
      <c r="D1936" t="s">
        <v>29</v>
      </c>
      <c r="E1936" t="s">
        <v>30</v>
      </c>
      <c r="F1936" t="s">
        <v>31</v>
      </c>
      <c r="G1936" t="s">
        <v>32</v>
      </c>
      <c r="H1936">
        <v>85000</v>
      </c>
      <c r="I1936">
        <v>7</v>
      </c>
      <c r="J1936" t="s">
        <v>69</v>
      </c>
      <c r="K1936">
        <f t="shared" si="30"/>
        <v>68000</v>
      </c>
    </row>
    <row r="1937" spans="1:11">
      <c r="A1937" t="s">
        <v>157</v>
      </c>
      <c r="B1937" t="s">
        <v>35</v>
      </c>
      <c r="C1937" t="s">
        <v>53</v>
      </c>
      <c r="D1937" t="s">
        <v>41</v>
      </c>
      <c r="E1937" t="s">
        <v>30</v>
      </c>
      <c r="F1937" t="s">
        <v>71</v>
      </c>
      <c r="G1937" t="s">
        <v>51</v>
      </c>
      <c r="H1937">
        <v>250000</v>
      </c>
      <c r="I1937">
        <v>1</v>
      </c>
      <c r="J1937" t="s">
        <v>69</v>
      </c>
      <c r="K1937">
        <f t="shared" si="30"/>
        <v>200000</v>
      </c>
    </row>
    <row r="1938" spans="1:11">
      <c r="A1938" t="s">
        <v>116</v>
      </c>
      <c r="B1938" t="s">
        <v>49</v>
      </c>
      <c r="C1938" t="s">
        <v>53</v>
      </c>
      <c r="D1938" t="s">
        <v>41</v>
      </c>
      <c r="E1938" t="s">
        <v>37</v>
      </c>
      <c r="F1938" t="s">
        <v>73</v>
      </c>
      <c r="G1938" t="s">
        <v>39</v>
      </c>
      <c r="H1938">
        <v>220000</v>
      </c>
      <c r="I1938">
        <v>8</v>
      </c>
      <c r="J1938" t="s">
        <v>42</v>
      </c>
      <c r="K1938">
        <f t="shared" si="30"/>
        <v>176000</v>
      </c>
    </row>
    <row r="1939" spans="1:11">
      <c r="A1939" t="s">
        <v>111</v>
      </c>
      <c r="B1939" t="s">
        <v>49</v>
      </c>
      <c r="C1939" t="s">
        <v>36</v>
      </c>
      <c r="D1939" t="s">
        <v>29</v>
      </c>
      <c r="E1939" t="s">
        <v>30</v>
      </c>
      <c r="F1939" t="s">
        <v>71</v>
      </c>
      <c r="G1939" t="s">
        <v>51</v>
      </c>
      <c r="H1939">
        <v>250000</v>
      </c>
      <c r="I1939">
        <v>6</v>
      </c>
      <c r="J1939" t="s">
        <v>58</v>
      </c>
      <c r="K1939">
        <f t="shared" si="30"/>
        <v>200000</v>
      </c>
    </row>
    <row r="1940" spans="1:11">
      <c r="A1940" t="s">
        <v>66</v>
      </c>
      <c r="B1940" t="s">
        <v>49</v>
      </c>
      <c r="C1940" t="s">
        <v>53</v>
      </c>
      <c r="D1940" t="s">
        <v>29</v>
      </c>
      <c r="E1940" t="s">
        <v>30</v>
      </c>
      <c r="F1940" t="s">
        <v>31</v>
      </c>
      <c r="G1940" t="s">
        <v>32</v>
      </c>
      <c r="H1940">
        <v>85000</v>
      </c>
      <c r="I1940">
        <v>7</v>
      </c>
      <c r="J1940" t="s">
        <v>58</v>
      </c>
      <c r="K1940">
        <f t="shared" si="30"/>
        <v>68000</v>
      </c>
    </row>
    <row r="1941" spans="1:11">
      <c r="A1941" t="s">
        <v>119</v>
      </c>
      <c r="B1941" t="s">
        <v>44</v>
      </c>
      <c r="C1941" t="s">
        <v>45</v>
      </c>
      <c r="D1941" t="s">
        <v>29</v>
      </c>
      <c r="E1941" t="s">
        <v>37</v>
      </c>
      <c r="F1941" t="s">
        <v>31</v>
      </c>
      <c r="G1941" t="s">
        <v>32</v>
      </c>
      <c r="H1941">
        <v>85000</v>
      </c>
      <c r="I1941">
        <v>4</v>
      </c>
      <c r="J1941" t="s">
        <v>47</v>
      </c>
      <c r="K1941">
        <f t="shared" si="30"/>
        <v>68000</v>
      </c>
    </row>
    <row r="1942" spans="1:11">
      <c r="A1942" t="s">
        <v>88</v>
      </c>
      <c r="B1942" t="s">
        <v>35</v>
      </c>
      <c r="C1942" t="s">
        <v>53</v>
      </c>
      <c r="D1942" t="s">
        <v>41</v>
      </c>
      <c r="E1942" t="s">
        <v>37</v>
      </c>
      <c r="F1942" t="s">
        <v>67</v>
      </c>
      <c r="G1942" t="s">
        <v>51</v>
      </c>
      <c r="H1942">
        <v>420000</v>
      </c>
      <c r="I1942">
        <v>6</v>
      </c>
      <c r="J1942" t="s">
        <v>33</v>
      </c>
      <c r="K1942">
        <f t="shared" si="30"/>
        <v>336000</v>
      </c>
    </row>
    <row r="1943" spans="1:11">
      <c r="A1943" t="s">
        <v>57</v>
      </c>
      <c r="B1943" t="s">
        <v>35</v>
      </c>
      <c r="C1943" t="s">
        <v>28</v>
      </c>
      <c r="D1943" t="s">
        <v>41</v>
      </c>
      <c r="E1943" t="s">
        <v>37</v>
      </c>
      <c r="F1943" t="s">
        <v>71</v>
      </c>
      <c r="G1943" t="s">
        <v>51</v>
      </c>
      <c r="H1943">
        <v>250000</v>
      </c>
      <c r="I1943">
        <v>4</v>
      </c>
      <c r="J1943" t="s">
        <v>47</v>
      </c>
      <c r="K1943">
        <f t="shared" si="30"/>
        <v>200000</v>
      </c>
    </row>
    <row r="1944" spans="1:11">
      <c r="A1944" t="s">
        <v>129</v>
      </c>
      <c r="B1944" t="s">
        <v>27</v>
      </c>
      <c r="C1944" t="s">
        <v>28</v>
      </c>
      <c r="D1944" t="s">
        <v>29</v>
      </c>
      <c r="E1944" t="s">
        <v>37</v>
      </c>
      <c r="F1944" t="s">
        <v>38</v>
      </c>
      <c r="G1944" t="s">
        <v>39</v>
      </c>
      <c r="H1944">
        <v>30000</v>
      </c>
      <c r="I1944">
        <v>3</v>
      </c>
      <c r="J1944" t="s">
        <v>65</v>
      </c>
      <c r="K1944">
        <f t="shared" si="30"/>
        <v>24000</v>
      </c>
    </row>
    <row r="1945" spans="1:11">
      <c r="A1945" t="s">
        <v>146</v>
      </c>
      <c r="B1945" t="s">
        <v>49</v>
      </c>
      <c r="C1945" t="s">
        <v>53</v>
      </c>
      <c r="D1945" t="s">
        <v>41</v>
      </c>
      <c r="E1945" t="s">
        <v>30</v>
      </c>
      <c r="F1945" t="s">
        <v>56</v>
      </c>
      <c r="G1945" t="s">
        <v>32</v>
      </c>
      <c r="H1945">
        <v>320000</v>
      </c>
      <c r="I1945">
        <v>9</v>
      </c>
      <c r="J1945" t="s">
        <v>58</v>
      </c>
      <c r="K1945">
        <f t="shared" si="30"/>
        <v>256000</v>
      </c>
    </row>
    <row r="1946" spans="1:11">
      <c r="A1946" t="s">
        <v>26</v>
      </c>
      <c r="B1946" t="s">
        <v>49</v>
      </c>
      <c r="C1946" t="s">
        <v>28</v>
      </c>
      <c r="D1946" t="s">
        <v>29</v>
      </c>
      <c r="E1946" t="s">
        <v>37</v>
      </c>
      <c r="F1946" t="s">
        <v>73</v>
      </c>
      <c r="G1946" t="s">
        <v>39</v>
      </c>
      <c r="H1946">
        <v>220000</v>
      </c>
      <c r="I1946">
        <v>7</v>
      </c>
      <c r="J1946" t="s">
        <v>47</v>
      </c>
      <c r="K1946">
        <f t="shared" si="30"/>
        <v>176000</v>
      </c>
    </row>
    <row r="1947" spans="1:11">
      <c r="A1947" t="s">
        <v>161</v>
      </c>
      <c r="B1947" t="s">
        <v>44</v>
      </c>
      <c r="C1947" t="s">
        <v>36</v>
      </c>
      <c r="D1947" t="s">
        <v>41</v>
      </c>
      <c r="E1947" t="s">
        <v>30</v>
      </c>
      <c r="F1947" t="s">
        <v>62</v>
      </c>
      <c r="G1947" t="s">
        <v>51</v>
      </c>
      <c r="H1947">
        <v>150000</v>
      </c>
      <c r="I1947">
        <v>5</v>
      </c>
      <c r="J1947" t="s">
        <v>33</v>
      </c>
      <c r="K1947">
        <f t="shared" si="30"/>
        <v>120000</v>
      </c>
    </row>
    <row r="1948" spans="1:11">
      <c r="A1948" t="s">
        <v>153</v>
      </c>
      <c r="B1948" t="s">
        <v>44</v>
      </c>
      <c r="C1948" t="s">
        <v>28</v>
      </c>
      <c r="D1948" t="s">
        <v>41</v>
      </c>
      <c r="E1948" t="s">
        <v>37</v>
      </c>
      <c r="F1948" t="s">
        <v>31</v>
      </c>
      <c r="G1948" t="s">
        <v>32</v>
      </c>
      <c r="H1948">
        <v>85000</v>
      </c>
      <c r="I1948">
        <v>9</v>
      </c>
      <c r="J1948" t="s">
        <v>58</v>
      </c>
      <c r="K1948">
        <f t="shared" si="30"/>
        <v>68000</v>
      </c>
    </row>
    <row r="1949" spans="1:11">
      <c r="A1949" t="s">
        <v>97</v>
      </c>
      <c r="B1949" t="s">
        <v>49</v>
      </c>
      <c r="C1949" t="s">
        <v>53</v>
      </c>
      <c r="D1949" t="s">
        <v>41</v>
      </c>
      <c r="E1949" t="s">
        <v>30</v>
      </c>
      <c r="F1949" t="s">
        <v>71</v>
      </c>
      <c r="G1949" t="s">
        <v>51</v>
      </c>
      <c r="H1949">
        <v>250000</v>
      </c>
      <c r="I1949">
        <v>10</v>
      </c>
      <c r="J1949" t="s">
        <v>33</v>
      </c>
      <c r="K1949">
        <f t="shared" si="30"/>
        <v>200000</v>
      </c>
    </row>
    <row r="1950" spans="1:11">
      <c r="A1950" t="s">
        <v>108</v>
      </c>
      <c r="B1950" t="s">
        <v>35</v>
      </c>
      <c r="C1950" t="s">
        <v>28</v>
      </c>
      <c r="D1950" t="s">
        <v>41</v>
      </c>
      <c r="E1950" t="s">
        <v>30</v>
      </c>
      <c r="F1950" t="s">
        <v>31</v>
      </c>
      <c r="G1950" t="s">
        <v>32</v>
      </c>
      <c r="H1950">
        <v>85000</v>
      </c>
      <c r="I1950">
        <v>7</v>
      </c>
      <c r="J1950" t="s">
        <v>42</v>
      </c>
      <c r="K1950">
        <f t="shared" si="30"/>
        <v>68000</v>
      </c>
    </row>
    <row r="1951" spans="1:11">
      <c r="A1951" t="s">
        <v>141</v>
      </c>
      <c r="B1951" t="s">
        <v>35</v>
      </c>
      <c r="C1951" t="s">
        <v>36</v>
      </c>
      <c r="D1951" t="s">
        <v>29</v>
      </c>
      <c r="E1951" t="s">
        <v>30</v>
      </c>
      <c r="F1951" t="s">
        <v>50</v>
      </c>
      <c r="G1951" t="s">
        <v>51</v>
      </c>
      <c r="H1951">
        <v>300000</v>
      </c>
      <c r="I1951">
        <v>6</v>
      </c>
      <c r="J1951" t="s">
        <v>65</v>
      </c>
      <c r="K1951">
        <f t="shared" si="30"/>
        <v>240000</v>
      </c>
    </row>
    <row r="1952" spans="1:11">
      <c r="A1952" t="s">
        <v>122</v>
      </c>
      <c r="B1952" t="s">
        <v>27</v>
      </c>
      <c r="C1952" t="s">
        <v>28</v>
      </c>
      <c r="D1952" t="s">
        <v>29</v>
      </c>
      <c r="E1952" t="s">
        <v>37</v>
      </c>
      <c r="F1952" t="s">
        <v>50</v>
      </c>
      <c r="G1952" t="s">
        <v>51</v>
      </c>
      <c r="H1952">
        <v>300000</v>
      </c>
      <c r="I1952">
        <v>10</v>
      </c>
      <c r="J1952" t="s">
        <v>42</v>
      </c>
      <c r="K1952">
        <f t="shared" si="30"/>
        <v>240000</v>
      </c>
    </row>
    <row r="1953" spans="1:11">
      <c r="A1953" t="s">
        <v>81</v>
      </c>
      <c r="B1953" t="s">
        <v>35</v>
      </c>
      <c r="C1953" t="s">
        <v>36</v>
      </c>
      <c r="D1953" t="s">
        <v>41</v>
      </c>
      <c r="E1953" t="s">
        <v>30</v>
      </c>
      <c r="F1953" t="s">
        <v>54</v>
      </c>
      <c r="G1953" t="s">
        <v>39</v>
      </c>
      <c r="H1953">
        <v>180000</v>
      </c>
      <c r="I1953">
        <v>1</v>
      </c>
      <c r="J1953" t="s">
        <v>47</v>
      </c>
      <c r="K1953">
        <f t="shared" si="30"/>
        <v>144000</v>
      </c>
    </row>
    <row r="1954" spans="1:11">
      <c r="A1954" t="s">
        <v>146</v>
      </c>
      <c r="B1954" t="s">
        <v>44</v>
      </c>
      <c r="C1954" t="s">
        <v>53</v>
      </c>
      <c r="D1954" t="s">
        <v>29</v>
      </c>
      <c r="E1954" t="s">
        <v>30</v>
      </c>
      <c r="F1954" t="s">
        <v>62</v>
      </c>
      <c r="G1954" t="s">
        <v>51</v>
      </c>
      <c r="H1954">
        <v>150000</v>
      </c>
      <c r="I1954">
        <v>7</v>
      </c>
      <c r="J1954" t="s">
        <v>65</v>
      </c>
      <c r="K1954">
        <f t="shared" si="30"/>
        <v>120000</v>
      </c>
    </row>
    <row r="1955" spans="1:11">
      <c r="A1955" t="s">
        <v>104</v>
      </c>
      <c r="B1955" t="s">
        <v>49</v>
      </c>
      <c r="C1955" t="s">
        <v>28</v>
      </c>
      <c r="D1955" t="s">
        <v>29</v>
      </c>
      <c r="E1955" t="s">
        <v>30</v>
      </c>
      <c r="F1955" t="s">
        <v>73</v>
      </c>
      <c r="G1955" t="s">
        <v>39</v>
      </c>
      <c r="H1955">
        <v>220000</v>
      </c>
      <c r="I1955">
        <v>5</v>
      </c>
      <c r="J1955" t="s">
        <v>42</v>
      </c>
      <c r="K1955">
        <f t="shared" si="30"/>
        <v>176000</v>
      </c>
    </row>
    <row r="1956" spans="1:11">
      <c r="A1956" t="s">
        <v>136</v>
      </c>
      <c r="B1956" t="s">
        <v>35</v>
      </c>
      <c r="C1956" t="s">
        <v>28</v>
      </c>
      <c r="D1956" t="s">
        <v>29</v>
      </c>
      <c r="E1956" t="s">
        <v>30</v>
      </c>
      <c r="F1956" t="s">
        <v>67</v>
      </c>
      <c r="G1956" t="s">
        <v>51</v>
      </c>
      <c r="H1956">
        <v>420000</v>
      </c>
      <c r="I1956">
        <v>2</v>
      </c>
      <c r="J1956" t="s">
        <v>65</v>
      </c>
      <c r="K1956">
        <f t="shared" si="30"/>
        <v>336000</v>
      </c>
    </row>
    <row r="1957" spans="1:11">
      <c r="A1957" t="s">
        <v>176</v>
      </c>
      <c r="B1957" t="s">
        <v>27</v>
      </c>
      <c r="C1957" t="s">
        <v>45</v>
      </c>
      <c r="D1957" t="s">
        <v>29</v>
      </c>
      <c r="E1957" t="s">
        <v>30</v>
      </c>
      <c r="F1957" t="s">
        <v>54</v>
      </c>
      <c r="G1957" t="s">
        <v>39</v>
      </c>
      <c r="H1957">
        <v>180000</v>
      </c>
      <c r="I1957">
        <v>9</v>
      </c>
      <c r="J1957" t="s">
        <v>58</v>
      </c>
      <c r="K1957">
        <f t="shared" si="30"/>
        <v>144000</v>
      </c>
    </row>
    <row r="1958" spans="1:11">
      <c r="A1958" t="s">
        <v>83</v>
      </c>
      <c r="B1958" t="s">
        <v>49</v>
      </c>
      <c r="C1958" t="s">
        <v>53</v>
      </c>
      <c r="D1958" t="s">
        <v>29</v>
      </c>
      <c r="E1958" t="s">
        <v>30</v>
      </c>
      <c r="F1958" t="s">
        <v>73</v>
      </c>
      <c r="G1958" t="s">
        <v>39</v>
      </c>
      <c r="H1958">
        <v>220000</v>
      </c>
      <c r="I1958">
        <v>5</v>
      </c>
      <c r="J1958" t="s">
        <v>58</v>
      </c>
      <c r="K1958">
        <f t="shared" si="30"/>
        <v>176000</v>
      </c>
    </row>
    <row r="1959" spans="1:11">
      <c r="A1959" t="s">
        <v>168</v>
      </c>
      <c r="B1959" t="s">
        <v>49</v>
      </c>
      <c r="C1959" t="s">
        <v>45</v>
      </c>
      <c r="D1959" t="s">
        <v>29</v>
      </c>
      <c r="E1959" t="s">
        <v>30</v>
      </c>
      <c r="F1959" t="s">
        <v>54</v>
      </c>
      <c r="G1959" t="s">
        <v>39</v>
      </c>
      <c r="H1959">
        <v>180000</v>
      </c>
      <c r="I1959">
        <v>1</v>
      </c>
      <c r="J1959" t="s">
        <v>69</v>
      </c>
      <c r="K1959">
        <f t="shared" si="30"/>
        <v>144000</v>
      </c>
    </row>
    <row r="1960" spans="1:11">
      <c r="A1960" t="s">
        <v>108</v>
      </c>
      <c r="B1960" t="s">
        <v>35</v>
      </c>
      <c r="C1960" t="s">
        <v>45</v>
      </c>
      <c r="D1960" t="s">
        <v>41</v>
      </c>
      <c r="E1960" t="s">
        <v>37</v>
      </c>
      <c r="F1960" t="s">
        <v>46</v>
      </c>
      <c r="G1960" t="s">
        <v>39</v>
      </c>
      <c r="H1960">
        <v>60000</v>
      </c>
      <c r="I1960">
        <v>2</v>
      </c>
      <c r="J1960" t="s">
        <v>69</v>
      </c>
      <c r="K1960">
        <f t="shared" si="30"/>
        <v>48000</v>
      </c>
    </row>
    <row r="1961" spans="1:11">
      <c r="A1961" t="s">
        <v>153</v>
      </c>
      <c r="B1961" t="s">
        <v>49</v>
      </c>
      <c r="C1961" t="s">
        <v>45</v>
      </c>
      <c r="D1961" t="s">
        <v>29</v>
      </c>
      <c r="E1961" t="s">
        <v>30</v>
      </c>
      <c r="F1961" t="s">
        <v>50</v>
      </c>
      <c r="G1961" t="s">
        <v>51</v>
      </c>
      <c r="H1961">
        <v>300000</v>
      </c>
      <c r="I1961">
        <v>5</v>
      </c>
      <c r="J1961" t="s">
        <v>42</v>
      </c>
      <c r="K1961">
        <f t="shared" si="30"/>
        <v>240000</v>
      </c>
    </row>
    <row r="1962" spans="1:11">
      <c r="A1962" t="s">
        <v>98</v>
      </c>
      <c r="B1962" t="s">
        <v>49</v>
      </c>
      <c r="C1962" t="s">
        <v>45</v>
      </c>
      <c r="D1962" t="s">
        <v>29</v>
      </c>
      <c r="E1962" t="s">
        <v>37</v>
      </c>
      <c r="F1962" t="s">
        <v>50</v>
      </c>
      <c r="G1962" t="s">
        <v>51</v>
      </c>
      <c r="H1962">
        <v>300000</v>
      </c>
      <c r="I1962">
        <v>9</v>
      </c>
      <c r="J1962" t="s">
        <v>65</v>
      </c>
      <c r="K1962">
        <f t="shared" si="30"/>
        <v>240000</v>
      </c>
    </row>
    <row r="1963" spans="1:11">
      <c r="A1963" t="s">
        <v>87</v>
      </c>
      <c r="B1963" t="s">
        <v>44</v>
      </c>
      <c r="C1963" t="s">
        <v>53</v>
      </c>
      <c r="D1963" t="s">
        <v>29</v>
      </c>
      <c r="E1963" t="s">
        <v>30</v>
      </c>
      <c r="F1963" t="s">
        <v>73</v>
      </c>
      <c r="G1963" t="s">
        <v>39</v>
      </c>
      <c r="H1963">
        <v>220000</v>
      </c>
      <c r="I1963">
        <v>1</v>
      </c>
      <c r="J1963" t="s">
        <v>65</v>
      </c>
      <c r="K1963">
        <f t="shared" si="30"/>
        <v>176000</v>
      </c>
    </row>
    <row r="1964" spans="1:11">
      <c r="A1964" t="s">
        <v>122</v>
      </c>
      <c r="B1964" t="s">
        <v>27</v>
      </c>
      <c r="C1964" t="s">
        <v>53</v>
      </c>
      <c r="D1964" t="s">
        <v>41</v>
      </c>
      <c r="E1964" t="s">
        <v>37</v>
      </c>
      <c r="F1964" t="s">
        <v>38</v>
      </c>
      <c r="G1964" t="s">
        <v>39</v>
      </c>
      <c r="H1964">
        <v>30000</v>
      </c>
      <c r="I1964">
        <v>5</v>
      </c>
      <c r="J1964" t="s">
        <v>65</v>
      </c>
      <c r="K1964">
        <f t="shared" si="30"/>
        <v>24000</v>
      </c>
    </row>
    <row r="1965" spans="1:11">
      <c r="A1965" t="s">
        <v>109</v>
      </c>
      <c r="B1965" t="s">
        <v>44</v>
      </c>
      <c r="C1965" t="s">
        <v>28</v>
      </c>
      <c r="D1965" t="s">
        <v>41</v>
      </c>
      <c r="E1965" t="s">
        <v>30</v>
      </c>
      <c r="F1965" t="s">
        <v>54</v>
      </c>
      <c r="G1965" t="s">
        <v>39</v>
      </c>
      <c r="H1965">
        <v>180000</v>
      </c>
      <c r="I1965">
        <v>1</v>
      </c>
      <c r="J1965" t="s">
        <v>33</v>
      </c>
      <c r="K1965">
        <f t="shared" si="30"/>
        <v>144000</v>
      </c>
    </row>
    <row r="1966" spans="1:11">
      <c r="A1966" t="s">
        <v>121</v>
      </c>
      <c r="B1966" t="s">
        <v>49</v>
      </c>
      <c r="C1966" t="s">
        <v>45</v>
      </c>
      <c r="D1966" t="s">
        <v>29</v>
      </c>
      <c r="E1966" t="s">
        <v>30</v>
      </c>
      <c r="F1966" t="s">
        <v>50</v>
      </c>
      <c r="G1966" t="s">
        <v>51</v>
      </c>
      <c r="H1966">
        <v>300000</v>
      </c>
      <c r="I1966">
        <v>6</v>
      </c>
      <c r="J1966" t="s">
        <v>65</v>
      </c>
      <c r="K1966">
        <f t="shared" si="30"/>
        <v>240000</v>
      </c>
    </row>
    <row r="1967" spans="1:11">
      <c r="A1967" t="s">
        <v>84</v>
      </c>
      <c r="B1967" t="s">
        <v>27</v>
      </c>
      <c r="C1967" t="s">
        <v>45</v>
      </c>
      <c r="D1967" t="s">
        <v>29</v>
      </c>
      <c r="E1967" t="s">
        <v>37</v>
      </c>
      <c r="F1967" t="s">
        <v>73</v>
      </c>
      <c r="G1967" t="s">
        <v>39</v>
      </c>
      <c r="H1967">
        <v>220000</v>
      </c>
      <c r="I1967">
        <v>3</v>
      </c>
      <c r="J1967" t="s">
        <v>69</v>
      </c>
      <c r="K1967">
        <f t="shared" si="30"/>
        <v>176000</v>
      </c>
    </row>
    <row r="1968" spans="1:11">
      <c r="A1968" t="s">
        <v>143</v>
      </c>
      <c r="B1968" t="s">
        <v>49</v>
      </c>
      <c r="C1968" t="s">
        <v>28</v>
      </c>
      <c r="D1968" t="s">
        <v>29</v>
      </c>
      <c r="E1968" t="s">
        <v>37</v>
      </c>
      <c r="F1968" t="s">
        <v>56</v>
      </c>
      <c r="G1968" t="s">
        <v>32</v>
      </c>
      <c r="H1968">
        <v>320000</v>
      </c>
      <c r="I1968">
        <v>5</v>
      </c>
      <c r="J1968" t="s">
        <v>58</v>
      </c>
      <c r="K1968">
        <f t="shared" si="30"/>
        <v>256000</v>
      </c>
    </row>
    <row r="1969" spans="1:11">
      <c r="A1969" t="s">
        <v>141</v>
      </c>
      <c r="B1969" t="s">
        <v>44</v>
      </c>
      <c r="C1969" t="s">
        <v>45</v>
      </c>
      <c r="D1969" t="s">
        <v>29</v>
      </c>
      <c r="E1969" t="s">
        <v>30</v>
      </c>
      <c r="F1969" t="s">
        <v>62</v>
      </c>
      <c r="G1969" t="s">
        <v>51</v>
      </c>
      <c r="H1969">
        <v>150000</v>
      </c>
      <c r="I1969">
        <v>2</v>
      </c>
      <c r="J1969" t="s">
        <v>58</v>
      </c>
      <c r="K1969">
        <f t="shared" si="30"/>
        <v>120000</v>
      </c>
    </row>
    <row r="1970" spans="1:11">
      <c r="A1970" t="s">
        <v>90</v>
      </c>
      <c r="B1970" t="s">
        <v>27</v>
      </c>
      <c r="C1970" t="s">
        <v>28</v>
      </c>
      <c r="D1970" t="s">
        <v>29</v>
      </c>
      <c r="E1970" t="s">
        <v>30</v>
      </c>
      <c r="F1970" t="s">
        <v>54</v>
      </c>
      <c r="G1970" t="s">
        <v>39</v>
      </c>
      <c r="H1970">
        <v>180000</v>
      </c>
      <c r="I1970">
        <v>1</v>
      </c>
      <c r="J1970" t="s">
        <v>42</v>
      </c>
      <c r="K1970">
        <f t="shared" si="30"/>
        <v>144000</v>
      </c>
    </row>
    <row r="1971" spans="1:11">
      <c r="A1971" t="s">
        <v>140</v>
      </c>
      <c r="B1971" t="s">
        <v>27</v>
      </c>
      <c r="C1971" t="s">
        <v>36</v>
      </c>
      <c r="D1971" t="s">
        <v>41</v>
      </c>
      <c r="E1971" t="s">
        <v>37</v>
      </c>
      <c r="F1971" t="s">
        <v>38</v>
      </c>
      <c r="G1971" t="s">
        <v>39</v>
      </c>
      <c r="H1971">
        <v>30000</v>
      </c>
      <c r="I1971">
        <v>10</v>
      </c>
      <c r="J1971" t="s">
        <v>65</v>
      </c>
      <c r="K1971">
        <f t="shared" si="30"/>
        <v>24000</v>
      </c>
    </row>
    <row r="1972" spans="1:11">
      <c r="A1972" t="s">
        <v>94</v>
      </c>
      <c r="B1972" t="s">
        <v>49</v>
      </c>
      <c r="C1972" t="s">
        <v>36</v>
      </c>
      <c r="D1972" t="s">
        <v>29</v>
      </c>
      <c r="E1972" t="s">
        <v>37</v>
      </c>
      <c r="F1972" t="s">
        <v>62</v>
      </c>
      <c r="G1972" t="s">
        <v>51</v>
      </c>
      <c r="H1972">
        <v>150000</v>
      </c>
      <c r="I1972">
        <v>4</v>
      </c>
      <c r="J1972" t="s">
        <v>42</v>
      </c>
      <c r="K1972">
        <f t="shared" si="30"/>
        <v>120000</v>
      </c>
    </row>
    <row r="1973" spans="1:11">
      <c r="A1973" t="s">
        <v>84</v>
      </c>
      <c r="B1973" t="s">
        <v>49</v>
      </c>
      <c r="C1973" t="s">
        <v>45</v>
      </c>
      <c r="D1973" t="s">
        <v>29</v>
      </c>
      <c r="E1973" t="s">
        <v>30</v>
      </c>
      <c r="F1973" t="s">
        <v>38</v>
      </c>
      <c r="G1973" t="s">
        <v>39</v>
      </c>
      <c r="H1973">
        <v>30000</v>
      </c>
      <c r="I1973">
        <v>1</v>
      </c>
      <c r="J1973" t="s">
        <v>42</v>
      </c>
      <c r="K1973">
        <f t="shared" si="30"/>
        <v>24000</v>
      </c>
    </row>
    <row r="1974" spans="1:11">
      <c r="A1974" t="s">
        <v>60</v>
      </c>
      <c r="B1974" t="s">
        <v>49</v>
      </c>
      <c r="C1974" t="s">
        <v>36</v>
      </c>
      <c r="D1974" t="s">
        <v>29</v>
      </c>
      <c r="E1974" t="s">
        <v>30</v>
      </c>
      <c r="F1974" t="s">
        <v>38</v>
      </c>
      <c r="G1974" t="s">
        <v>39</v>
      </c>
      <c r="H1974">
        <v>30000</v>
      </c>
      <c r="I1974">
        <v>6</v>
      </c>
      <c r="J1974" t="s">
        <v>58</v>
      </c>
      <c r="K1974">
        <f t="shared" si="30"/>
        <v>24000</v>
      </c>
    </row>
    <row r="1975" spans="1:11">
      <c r="A1975" t="s">
        <v>140</v>
      </c>
      <c r="B1975" t="s">
        <v>44</v>
      </c>
      <c r="C1975" t="s">
        <v>28</v>
      </c>
      <c r="D1975" t="s">
        <v>41</v>
      </c>
      <c r="E1975" t="s">
        <v>30</v>
      </c>
      <c r="F1975" t="s">
        <v>54</v>
      </c>
      <c r="G1975" t="s">
        <v>39</v>
      </c>
      <c r="H1975">
        <v>180000</v>
      </c>
      <c r="I1975">
        <v>7</v>
      </c>
      <c r="J1975" t="s">
        <v>33</v>
      </c>
      <c r="K1975">
        <f t="shared" si="30"/>
        <v>144000</v>
      </c>
    </row>
    <row r="1976" spans="1:11">
      <c r="A1976" t="s">
        <v>139</v>
      </c>
      <c r="B1976" t="s">
        <v>44</v>
      </c>
      <c r="C1976" t="s">
        <v>53</v>
      </c>
      <c r="D1976" t="s">
        <v>29</v>
      </c>
      <c r="E1976" t="s">
        <v>30</v>
      </c>
      <c r="F1976" t="s">
        <v>46</v>
      </c>
      <c r="G1976" t="s">
        <v>39</v>
      </c>
      <c r="H1976">
        <v>60000</v>
      </c>
      <c r="I1976">
        <v>8</v>
      </c>
      <c r="J1976" t="s">
        <v>69</v>
      </c>
      <c r="K1976">
        <f t="shared" si="30"/>
        <v>48000</v>
      </c>
    </row>
    <row r="1977" spans="1:11">
      <c r="A1977" t="s">
        <v>113</v>
      </c>
      <c r="B1977" t="s">
        <v>44</v>
      </c>
      <c r="C1977" t="s">
        <v>36</v>
      </c>
      <c r="D1977" t="s">
        <v>29</v>
      </c>
      <c r="E1977" t="s">
        <v>30</v>
      </c>
      <c r="F1977" t="s">
        <v>46</v>
      </c>
      <c r="G1977" t="s">
        <v>39</v>
      </c>
      <c r="H1977">
        <v>60000</v>
      </c>
      <c r="I1977">
        <v>2</v>
      </c>
      <c r="J1977" t="s">
        <v>65</v>
      </c>
      <c r="K1977">
        <f t="shared" si="30"/>
        <v>48000</v>
      </c>
    </row>
    <row r="1978" spans="1:11">
      <c r="A1978" t="s">
        <v>112</v>
      </c>
      <c r="B1978" t="s">
        <v>44</v>
      </c>
      <c r="C1978" t="s">
        <v>45</v>
      </c>
      <c r="D1978" t="s">
        <v>29</v>
      </c>
      <c r="E1978" t="s">
        <v>37</v>
      </c>
      <c r="F1978" t="s">
        <v>31</v>
      </c>
      <c r="G1978" t="s">
        <v>32</v>
      </c>
      <c r="H1978">
        <v>85000</v>
      </c>
      <c r="I1978">
        <v>1</v>
      </c>
      <c r="J1978" t="s">
        <v>58</v>
      </c>
      <c r="K1978">
        <f t="shared" si="30"/>
        <v>68000</v>
      </c>
    </row>
    <row r="1979" spans="1:11">
      <c r="A1979" t="s">
        <v>143</v>
      </c>
      <c r="B1979" t="s">
        <v>49</v>
      </c>
      <c r="C1979" t="s">
        <v>45</v>
      </c>
      <c r="D1979" t="s">
        <v>41</v>
      </c>
      <c r="E1979" t="s">
        <v>30</v>
      </c>
      <c r="F1979" t="s">
        <v>38</v>
      </c>
      <c r="G1979" t="s">
        <v>39</v>
      </c>
      <c r="H1979">
        <v>30000</v>
      </c>
      <c r="I1979">
        <v>8</v>
      </c>
      <c r="J1979" t="s">
        <v>65</v>
      </c>
      <c r="K1979">
        <f t="shared" si="30"/>
        <v>24000</v>
      </c>
    </row>
    <row r="1980" spans="1:11">
      <c r="A1980" t="s">
        <v>174</v>
      </c>
      <c r="B1980" t="s">
        <v>49</v>
      </c>
      <c r="C1980" t="s">
        <v>53</v>
      </c>
      <c r="D1980" t="s">
        <v>29</v>
      </c>
      <c r="E1980" t="s">
        <v>37</v>
      </c>
      <c r="F1980" t="s">
        <v>46</v>
      </c>
      <c r="G1980" t="s">
        <v>39</v>
      </c>
      <c r="H1980">
        <v>60000</v>
      </c>
      <c r="I1980">
        <v>10</v>
      </c>
      <c r="J1980" t="s">
        <v>65</v>
      </c>
      <c r="K1980">
        <f t="shared" si="30"/>
        <v>48000</v>
      </c>
    </row>
    <row r="1981" spans="1:11">
      <c r="A1981" t="s">
        <v>77</v>
      </c>
      <c r="B1981" t="s">
        <v>27</v>
      </c>
      <c r="C1981" t="s">
        <v>28</v>
      </c>
      <c r="D1981" t="s">
        <v>41</v>
      </c>
      <c r="E1981" t="s">
        <v>37</v>
      </c>
      <c r="F1981" t="s">
        <v>62</v>
      </c>
      <c r="G1981" t="s">
        <v>51</v>
      </c>
      <c r="H1981">
        <v>150000</v>
      </c>
      <c r="I1981">
        <v>1</v>
      </c>
      <c r="J1981" t="s">
        <v>33</v>
      </c>
      <c r="K1981">
        <f t="shared" si="30"/>
        <v>120000</v>
      </c>
    </row>
    <row r="1982" spans="1:11">
      <c r="A1982" t="s">
        <v>109</v>
      </c>
      <c r="B1982" t="s">
        <v>44</v>
      </c>
      <c r="C1982" t="s">
        <v>28</v>
      </c>
      <c r="D1982" t="s">
        <v>41</v>
      </c>
      <c r="E1982" t="s">
        <v>37</v>
      </c>
      <c r="F1982" t="s">
        <v>46</v>
      </c>
      <c r="G1982" t="s">
        <v>39</v>
      </c>
      <c r="H1982">
        <v>60000</v>
      </c>
      <c r="I1982">
        <v>9</v>
      </c>
      <c r="J1982" t="s">
        <v>69</v>
      </c>
      <c r="K1982">
        <f t="shared" si="30"/>
        <v>48000</v>
      </c>
    </row>
    <row r="1983" spans="1:11">
      <c r="A1983" t="s">
        <v>70</v>
      </c>
      <c r="B1983" t="s">
        <v>49</v>
      </c>
      <c r="C1983" t="s">
        <v>53</v>
      </c>
      <c r="D1983" t="s">
        <v>29</v>
      </c>
      <c r="E1983" t="s">
        <v>30</v>
      </c>
      <c r="F1983" t="s">
        <v>46</v>
      </c>
      <c r="G1983" t="s">
        <v>39</v>
      </c>
      <c r="H1983">
        <v>60000</v>
      </c>
      <c r="I1983">
        <v>5</v>
      </c>
      <c r="J1983" t="s">
        <v>69</v>
      </c>
      <c r="K1983">
        <f t="shared" si="30"/>
        <v>48000</v>
      </c>
    </row>
    <row r="1984" spans="1:11">
      <c r="A1984" t="s">
        <v>163</v>
      </c>
      <c r="B1984" t="s">
        <v>35</v>
      </c>
      <c r="C1984" t="s">
        <v>28</v>
      </c>
      <c r="D1984" t="s">
        <v>29</v>
      </c>
      <c r="E1984" t="s">
        <v>37</v>
      </c>
      <c r="F1984" t="s">
        <v>73</v>
      </c>
      <c r="G1984" t="s">
        <v>39</v>
      </c>
      <c r="H1984">
        <v>220000</v>
      </c>
      <c r="I1984">
        <v>8</v>
      </c>
      <c r="J1984" t="s">
        <v>33</v>
      </c>
      <c r="K1984">
        <f t="shared" si="30"/>
        <v>176000</v>
      </c>
    </row>
    <row r="1985" spans="1:11">
      <c r="A1985" t="s">
        <v>90</v>
      </c>
      <c r="B1985" t="s">
        <v>27</v>
      </c>
      <c r="C1985" t="s">
        <v>28</v>
      </c>
      <c r="D1985" t="s">
        <v>29</v>
      </c>
      <c r="E1985" t="s">
        <v>37</v>
      </c>
      <c r="F1985" t="s">
        <v>31</v>
      </c>
      <c r="G1985" t="s">
        <v>32</v>
      </c>
      <c r="H1985">
        <v>85000</v>
      </c>
      <c r="I1985">
        <v>2</v>
      </c>
      <c r="J1985" t="s">
        <v>65</v>
      </c>
      <c r="K1985">
        <f t="shared" si="30"/>
        <v>68000</v>
      </c>
    </row>
    <row r="1986" spans="1:11">
      <c r="A1986" t="s">
        <v>48</v>
      </c>
      <c r="B1986" t="s">
        <v>44</v>
      </c>
      <c r="C1986" t="s">
        <v>53</v>
      </c>
      <c r="D1986" t="s">
        <v>29</v>
      </c>
      <c r="E1986" t="s">
        <v>37</v>
      </c>
      <c r="F1986" t="s">
        <v>56</v>
      </c>
      <c r="G1986" t="s">
        <v>32</v>
      </c>
      <c r="H1986">
        <v>320000</v>
      </c>
      <c r="I1986">
        <v>7</v>
      </c>
      <c r="J1986" t="s">
        <v>65</v>
      </c>
      <c r="K1986">
        <f t="shared" ref="K1986:K2049" si="31">H1986-H1986*0.2</f>
        <v>256000</v>
      </c>
    </row>
    <row r="1987" spans="1:11">
      <c r="A1987" t="s">
        <v>74</v>
      </c>
      <c r="B1987" t="s">
        <v>44</v>
      </c>
      <c r="C1987" t="s">
        <v>53</v>
      </c>
      <c r="D1987" t="s">
        <v>29</v>
      </c>
      <c r="E1987" t="s">
        <v>30</v>
      </c>
      <c r="F1987" t="s">
        <v>71</v>
      </c>
      <c r="G1987" t="s">
        <v>51</v>
      </c>
      <c r="H1987">
        <v>250000</v>
      </c>
      <c r="I1987">
        <v>4</v>
      </c>
      <c r="J1987" t="s">
        <v>33</v>
      </c>
      <c r="K1987">
        <f t="shared" si="31"/>
        <v>200000</v>
      </c>
    </row>
    <row r="1988" spans="1:11">
      <c r="A1988" t="s">
        <v>64</v>
      </c>
      <c r="B1988" t="s">
        <v>35</v>
      </c>
      <c r="C1988" t="s">
        <v>28</v>
      </c>
      <c r="D1988" t="s">
        <v>41</v>
      </c>
      <c r="E1988" t="s">
        <v>37</v>
      </c>
      <c r="F1988" t="s">
        <v>62</v>
      </c>
      <c r="G1988" t="s">
        <v>51</v>
      </c>
      <c r="H1988">
        <v>150000</v>
      </c>
      <c r="I1988">
        <v>6</v>
      </c>
      <c r="J1988" t="s">
        <v>42</v>
      </c>
      <c r="K1988">
        <f t="shared" si="31"/>
        <v>120000</v>
      </c>
    </row>
    <row r="1989" spans="1:11">
      <c r="A1989" t="s">
        <v>172</v>
      </c>
      <c r="B1989" t="s">
        <v>49</v>
      </c>
      <c r="C1989" t="s">
        <v>53</v>
      </c>
      <c r="D1989" t="s">
        <v>29</v>
      </c>
      <c r="E1989" t="s">
        <v>30</v>
      </c>
      <c r="F1989" t="s">
        <v>50</v>
      </c>
      <c r="G1989" t="s">
        <v>51</v>
      </c>
      <c r="H1989">
        <v>300000</v>
      </c>
      <c r="I1989">
        <v>8</v>
      </c>
      <c r="J1989" t="s">
        <v>42</v>
      </c>
      <c r="K1989">
        <f t="shared" si="31"/>
        <v>240000</v>
      </c>
    </row>
    <row r="1990" spans="1:11">
      <c r="A1990" t="s">
        <v>52</v>
      </c>
      <c r="B1990" t="s">
        <v>27</v>
      </c>
      <c r="C1990" t="s">
        <v>36</v>
      </c>
      <c r="D1990" t="s">
        <v>29</v>
      </c>
      <c r="E1990" t="s">
        <v>37</v>
      </c>
      <c r="F1990" t="s">
        <v>50</v>
      </c>
      <c r="G1990" t="s">
        <v>51</v>
      </c>
      <c r="H1990">
        <v>300000</v>
      </c>
      <c r="I1990">
        <v>10</v>
      </c>
      <c r="J1990" t="s">
        <v>33</v>
      </c>
      <c r="K1990">
        <f t="shared" si="31"/>
        <v>240000</v>
      </c>
    </row>
    <row r="1991" spans="1:11">
      <c r="A1991" t="s">
        <v>70</v>
      </c>
      <c r="B1991" t="s">
        <v>49</v>
      </c>
      <c r="C1991" t="s">
        <v>45</v>
      </c>
      <c r="D1991" t="s">
        <v>41</v>
      </c>
      <c r="E1991" t="s">
        <v>37</v>
      </c>
      <c r="F1991" t="s">
        <v>56</v>
      </c>
      <c r="G1991" t="s">
        <v>32</v>
      </c>
      <c r="H1991">
        <v>320000</v>
      </c>
      <c r="I1991">
        <v>1</v>
      </c>
      <c r="J1991" t="s">
        <v>47</v>
      </c>
      <c r="K1991">
        <f t="shared" si="31"/>
        <v>256000</v>
      </c>
    </row>
    <row r="1992" spans="1:11">
      <c r="A1992" t="s">
        <v>140</v>
      </c>
      <c r="B1992" t="s">
        <v>44</v>
      </c>
      <c r="C1992" t="s">
        <v>36</v>
      </c>
      <c r="D1992" t="s">
        <v>41</v>
      </c>
      <c r="E1992" t="s">
        <v>37</v>
      </c>
      <c r="F1992" t="s">
        <v>56</v>
      </c>
      <c r="G1992" t="s">
        <v>32</v>
      </c>
      <c r="H1992">
        <v>320000</v>
      </c>
      <c r="I1992">
        <v>3</v>
      </c>
      <c r="J1992" t="s">
        <v>47</v>
      </c>
      <c r="K1992">
        <f t="shared" si="31"/>
        <v>256000</v>
      </c>
    </row>
    <row r="1993" spans="1:11">
      <c r="A1993" t="s">
        <v>103</v>
      </c>
      <c r="B1993" t="s">
        <v>27</v>
      </c>
      <c r="C1993" t="s">
        <v>28</v>
      </c>
      <c r="D1993" t="s">
        <v>41</v>
      </c>
      <c r="E1993" t="s">
        <v>30</v>
      </c>
      <c r="F1993" t="s">
        <v>62</v>
      </c>
      <c r="G1993" t="s">
        <v>51</v>
      </c>
      <c r="H1993">
        <v>150000</v>
      </c>
      <c r="I1993">
        <v>6</v>
      </c>
      <c r="J1993" t="s">
        <v>58</v>
      </c>
      <c r="K1993">
        <f t="shared" si="31"/>
        <v>120000</v>
      </c>
    </row>
    <row r="1994" spans="1:11">
      <c r="A1994" t="s">
        <v>133</v>
      </c>
      <c r="B1994" t="s">
        <v>35</v>
      </c>
      <c r="C1994" t="s">
        <v>36</v>
      </c>
      <c r="D1994" t="s">
        <v>29</v>
      </c>
      <c r="E1994" t="s">
        <v>30</v>
      </c>
      <c r="F1994" t="s">
        <v>54</v>
      </c>
      <c r="G1994" t="s">
        <v>39</v>
      </c>
      <c r="H1994">
        <v>180000</v>
      </c>
      <c r="I1994">
        <v>9</v>
      </c>
      <c r="J1994" t="s">
        <v>69</v>
      </c>
      <c r="K1994">
        <f t="shared" si="31"/>
        <v>144000</v>
      </c>
    </row>
    <row r="1995" spans="1:11">
      <c r="A1995" t="s">
        <v>109</v>
      </c>
      <c r="B1995" t="s">
        <v>44</v>
      </c>
      <c r="C1995" t="s">
        <v>53</v>
      </c>
      <c r="D1995" t="s">
        <v>29</v>
      </c>
      <c r="E1995" t="s">
        <v>30</v>
      </c>
      <c r="F1995" t="s">
        <v>46</v>
      </c>
      <c r="G1995" t="s">
        <v>39</v>
      </c>
      <c r="H1995">
        <v>60000</v>
      </c>
      <c r="I1995">
        <v>2</v>
      </c>
      <c r="J1995" t="s">
        <v>58</v>
      </c>
      <c r="K1995">
        <f t="shared" si="31"/>
        <v>48000</v>
      </c>
    </row>
    <row r="1996" spans="1:11">
      <c r="A1996" t="s">
        <v>125</v>
      </c>
      <c r="B1996" t="s">
        <v>35</v>
      </c>
      <c r="C1996" t="s">
        <v>45</v>
      </c>
      <c r="D1996" t="s">
        <v>29</v>
      </c>
      <c r="E1996" t="s">
        <v>37</v>
      </c>
      <c r="F1996" t="s">
        <v>62</v>
      </c>
      <c r="G1996" t="s">
        <v>51</v>
      </c>
      <c r="H1996">
        <v>150000</v>
      </c>
      <c r="I1996">
        <v>5</v>
      </c>
      <c r="J1996" t="s">
        <v>58</v>
      </c>
      <c r="K1996">
        <f t="shared" si="31"/>
        <v>120000</v>
      </c>
    </row>
    <row r="1997" spans="1:11">
      <c r="A1997" t="s">
        <v>70</v>
      </c>
      <c r="B1997" t="s">
        <v>35</v>
      </c>
      <c r="C1997" t="s">
        <v>45</v>
      </c>
      <c r="D1997" t="s">
        <v>29</v>
      </c>
      <c r="E1997" t="s">
        <v>37</v>
      </c>
      <c r="F1997" t="s">
        <v>54</v>
      </c>
      <c r="G1997" t="s">
        <v>39</v>
      </c>
      <c r="H1997">
        <v>180000</v>
      </c>
      <c r="I1997">
        <v>10</v>
      </c>
      <c r="J1997" t="s">
        <v>58</v>
      </c>
      <c r="K1997">
        <f t="shared" si="31"/>
        <v>144000</v>
      </c>
    </row>
    <row r="1998" spans="1:11">
      <c r="A1998" t="s">
        <v>107</v>
      </c>
      <c r="B1998" t="s">
        <v>27</v>
      </c>
      <c r="C1998" t="s">
        <v>28</v>
      </c>
      <c r="D1998" t="s">
        <v>29</v>
      </c>
      <c r="E1998" t="s">
        <v>30</v>
      </c>
      <c r="F1998" t="s">
        <v>31</v>
      </c>
      <c r="G1998" t="s">
        <v>32</v>
      </c>
      <c r="H1998">
        <v>85000</v>
      </c>
      <c r="I1998">
        <v>7</v>
      </c>
      <c r="J1998" t="s">
        <v>65</v>
      </c>
      <c r="K1998">
        <f t="shared" si="31"/>
        <v>68000</v>
      </c>
    </row>
    <row r="1999" spans="1:11">
      <c r="A1999" t="s">
        <v>26</v>
      </c>
      <c r="B1999" t="s">
        <v>35</v>
      </c>
      <c r="C1999" t="s">
        <v>53</v>
      </c>
      <c r="D1999" t="s">
        <v>41</v>
      </c>
      <c r="E1999" t="s">
        <v>37</v>
      </c>
      <c r="F1999" t="s">
        <v>67</v>
      </c>
      <c r="G1999" t="s">
        <v>51</v>
      </c>
      <c r="H1999">
        <v>420000</v>
      </c>
      <c r="I1999">
        <v>3</v>
      </c>
      <c r="J1999" t="s">
        <v>42</v>
      </c>
      <c r="K1999">
        <f t="shared" si="31"/>
        <v>336000</v>
      </c>
    </row>
    <row r="2000" spans="1:11">
      <c r="A2000" t="s">
        <v>141</v>
      </c>
      <c r="B2000" t="s">
        <v>35</v>
      </c>
      <c r="C2000" t="s">
        <v>53</v>
      </c>
      <c r="D2000" t="s">
        <v>41</v>
      </c>
      <c r="E2000" t="s">
        <v>30</v>
      </c>
      <c r="F2000" t="s">
        <v>50</v>
      </c>
      <c r="G2000" t="s">
        <v>51</v>
      </c>
      <c r="H2000">
        <v>300000</v>
      </c>
      <c r="I2000">
        <v>2</v>
      </c>
      <c r="J2000" t="s">
        <v>65</v>
      </c>
      <c r="K2000">
        <f t="shared" si="31"/>
        <v>240000</v>
      </c>
    </row>
    <row r="2001" spans="1:11">
      <c r="A2001" t="s">
        <v>143</v>
      </c>
      <c r="B2001" t="s">
        <v>35</v>
      </c>
      <c r="C2001" t="s">
        <v>36</v>
      </c>
      <c r="D2001" t="s">
        <v>41</v>
      </c>
      <c r="E2001" t="s">
        <v>30</v>
      </c>
      <c r="F2001" t="s">
        <v>71</v>
      </c>
      <c r="G2001" t="s">
        <v>51</v>
      </c>
      <c r="H2001">
        <v>250000</v>
      </c>
      <c r="I2001">
        <v>3</v>
      </c>
      <c r="J2001" t="s">
        <v>65</v>
      </c>
      <c r="K2001">
        <f t="shared" si="31"/>
        <v>200000</v>
      </c>
    </row>
    <row r="2002" spans="1:11">
      <c r="A2002" t="s">
        <v>156</v>
      </c>
      <c r="B2002" t="s">
        <v>35</v>
      </c>
      <c r="C2002" t="s">
        <v>28</v>
      </c>
      <c r="D2002" t="s">
        <v>29</v>
      </c>
      <c r="E2002" t="s">
        <v>37</v>
      </c>
      <c r="F2002" t="s">
        <v>62</v>
      </c>
      <c r="G2002" t="s">
        <v>51</v>
      </c>
      <c r="H2002">
        <v>150000</v>
      </c>
      <c r="I2002">
        <v>7</v>
      </c>
      <c r="J2002" t="s">
        <v>42</v>
      </c>
      <c r="K2002">
        <f t="shared" si="31"/>
        <v>120000</v>
      </c>
    </row>
    <row r="2003" spans="1:11">
      <c r="A2003" t="s">
        <v>168</v>
      </c>
      <c r="B2003" t="s">
        <v>27</v>
      </c>
      <c r="C2003" t="s">
        <v>28</v>
      </c>
      <c r="D2003" t="s">
        <v>41</v>
      </c>
      <c r="E2003" t="s">
        <v>30</v>
      </c>
      <c r="F2003" t="s">
        <v>67</v>
      </c>
      <c r="G2003" t="s">
        <v>51</v>
      </c>
      <c r="H2003">
        <v>420000</v>
      </c>
      <c r="I2003">
        <v>7</v>
      </c>
      <c r="J2003" t="s">
        <v>58</v>
      </c>
      <c r="K2003">
        <f t="shared" si="31"/>
        <v>336000</v>
      </c>
    </row>
    <row r="2004" spans="1:11">
      <c r="A2004" t="s">
        <v>72</v>
      </c>
      <c r="B2004" t="s">
        <v>44</v>
      </c>
      <c r="C2004" t="s">
        <v>36</v>
      </c>
      <c r="D2004" t="s">
        <v>29</v>
      </c>
      <c r="E2004" t="s">
        <v>37</v>
      </c>
      <c r="F2004" t="s">
        <v>54</v>
      </c>
      <c r="G2004" t="s">
        <v>39</v>
      </c>
      <c r="H2004">
        <v>180000</v>
      </c>
      <c r="I2004">
        <v>7</v>
      </c>
      <c r="J2004" t="s">
        <v>47</v>
      </c>
      <c r="K2004">
        <f t="shared" si="31"/>
        <v>144000</v>
      </c>
    </row>
    <row r="2005" spans="1:11">
      <c r="A2005" t="s">
        <v>130</v>
      </c>
      <c r="B2005" t="s">
        <v>27</v>
      </c>
      <c r="C2005" t="s">
        <v>28</v>
      </c>
      <c r="D2005" t="s">
        <v>29</v>
      </c>
      <c r="E2005" t="s">
        <v>37</v>
      </c>
      <c r="F2005" t="s">
        <v>56</v>
      </c>
      <c r="G2005" t="s">
        <v>32</v>
      </c>
      <c r="H2005">
        <v>320000</v>
      </c>
      <c r="I2005">
        <v>2</v>
      </c>
      <c r="J2005" t="s">
        <v>69</v>
      </c>
      <c r="K2005">
        <f t="shared" si="31"/>
        <v>256000</v>
      </c>
    </row>
    <row r="2006" spans="1:11">
      <c r="A2006" t="s">
        <v>122</v>
      </c>
      <c r="B2006" t="s">
        <v>49</v>
      </c>
      <c r="C2006" t="s">
        <v>28</v>
      </c>
      <c r="D2006" t="s">
        <v>41</v>
      </c>
      <c r="E2006" t="s">
        <v>37</v>
      </c>
      <c r="F2006" t="s">
        <v>56</v>
      </c>
      <c r="G2006" t="s">
        <v>32</v>
      </c>
      <c r="H2006">
        <v>320000</v>
      </c>
      <c r="I2006">
        <v>6</v>
      </c>
      <c r="J2006" t="s">
        <v>69</v>
      </c>
      <c r="K2006">
        <f t="shared" si="31"/>
        <v>256000</v>
      </c>
    </row>
    <row r="2007" spans="1:11">
      <c r="A2007" t="s">
        <v>128</v>
      </c>
      <c r="B2007" t="s">
        <v>35</v>
      </c>
      <c r="C2007" t="s">
        <v>45</v>
      </c>
      <c r="D2007" t="s">
        <v>41</v>
      </c>
      <c r="E2007" t="s">
        <v>30</v>
      </c>
      <c r="F2007" t="s">
        <v>38</v>
      </c>
      <c r="G2007" t="s">
        <v>39</v>
      </c>
      <c r="H2007">
        <v>30000</v>
      </c>
      <c r="I2007">
        <v>3</v>
      </c>
      <c r="J2007" t="s">
        <v>65</v>
      </c>
      <c r="K2007">
        <f t="shared" si="31"/>
        <v>24000</v>
      </c>
    </row>
    <row r="2008" spans="1:11">
      <c r="A2008" t="s">
        <v>127</v>
      </c>
      <c r="B2008" t="s">
        <v>49</v>
      </c>
      <c r="C2008" t="s">
        <v>28</v>
      </c>
      <c r="D2008" t="s">
        <v>29</v>
      </c>
      <c r="E2008" t="s">
        <v>30</v>
      </c>
      <c r="F2008" t="s">
        <v>67</v>
      </c>
      <c r="G2008" t="s">
        <v>51</v>
      </c>
      <c r="H2008">
        <v>420000</v>
      </c>
      <c r="I2008">
        <v>3</v>
      </c>
      <c r="J2008" t="s">
        <v>33</v>
      </c>
      <c r="K2008">
        <f t="shared" si="31"/>
        <v>336000</v>
      </c>
    </row>
    <row r="2009" spans="1:11">
      <c r="A2009" t="s">
        <v>142</v>
      </c>
      <c r="B2009" t="s">
        <v>44</v>
      </c>
      <c r="C2009" t="s">
        <v>36</v>
      </c>
      <c r="D2009" t="s">
        <v>29</v>
      </c>
      <c r="E2009" t="s">
        <v>37</v>
      </c>
      <c r="F2009" t="s">
        <v>38</v>
      </c>
      <c r="G2009" t="s">
        <v>39</v>
      </c>
      <c r="H2009">
        <v>30000</v>
      </c>
      <c r="I2009">
        <v>9</v>
      </c>
      <c r="J2009" t="s">
        <v>58</v>
      </c>
      <c r="K2009">
        <f t="shared" si="31"/>
        <v>24000</v>
      </c>
    </row>
    <row r="2010" spans="1:11">
      <c r="A2010" t="s">
        <v>93</v>
      </c>
      <c r="B2010" t="s">
        <v>35</v>
      </c>
      <c r="C2010" t="s">
        <v>28</v>
      </c>
      <c r="D2010" t="s">
        <v>41</v>
      </c>
      <c r="E2010" t="s">
        <v>37</v>
      </c>
      <c r="F2010" t="s">
        <v>56</v>
      </c>
      <c r="G2010" t="s">
        <v>32</v>
      </c>
      <c r="H2010">
        <v>320000</v>
      </c>
      <c r="I2010">
        <v>4</v>
      </c>
      <c r="J2010" t="s">
        <v>33</v>
      </c>
      <c r="K2010">
        <f t="shared" si="31"/>
        <v>256000</v>
      </c>
    </row>
    <row r="2011" spans="1:11">
      <c r="A2011" t="s">
        <v>143</v>
      </c>
      <c r="B2011" t="s">
        <v>49</v>
      </c>
      <c r="C2011" t="s">
        <v>53</v>
      </c>
      <c r="D2011" t="s">
        <v>41</v>
      </c>
      <c r="E2011" t="s">
        <v>37</v>
      </c>
      <c r="F2011" t="s">
        <v>62</v>
      </c>
      <c r="G2011" t="s">
        <v>51</v>
      </c>
      <c r="H2011">
        <v>150000</v>
      </c>
      <c r="I2011">
        <v>5</v>
      </c>
      <c r="J2011" t="s">
        <v>42</v>
      </c>
      <c r="K2011">
        <f t="shared" si="31"/>
        <v>120000</v>
      </c>
    </row>
    <row r="2012" spans="1:11">
      <c r="A2012" t="s">
        <v>156</v>
      </c>
      <c r="B2012" t="s">
        <v>44</v>
      </c>
      <c r="C2012" t="s">
        <v>28</v>
      </c>
      <c r="D2012" t="s">
        <v>41</v>
      </c>
      <c r="E2012" t="s">
        <v>37</v>
      </c>
      <c r="F2012" t="s">
        <v>31</v>
      </c>
      <c r="G2012" t="s">
        <v>32</v>
      </c>
      <c r="H2012">
        <v>85000</v>
      </c>
      <c r="I2012">
        <v>8</v>
      </c>
      <c r="J2012" t="s">
        <v>58</v>
      </c>
      <c r="K2012">
        <f t="shared" si="31"/>
        <v>68000</v>
      </c>
    </row>
    <row r="2013" spans="1:11">
      <c r="A2013" t="s">
        <v>114</v>
      </c>
      <c r="B2013" t="s">
        <v>49</v>
      </c>
      <c r="C2013" t="s">
        <v>53</v>
      </c>
      <c r="D2013" t="s">
        <v>29</v>
      </c>
      <c r="E2013" t="s">
        <v>37</v>
      </c>
      <c r="F2013" t="s">
        <v>46</v>
      </c>
      <c r="G2013" t="s">
        <v>39</v>
      </c>
      <c r="H2013">
        <v>60000</v>
      </c>
      <c r="I2013">
        <v>1</v>
      </c>
      <c r="J2013" t="s">
        <v>33</v>
      </c>
      <c r="K2013">
        <f t="shared" si="31"/>
        <v>48000</v>
      </c>
    </row>
    <row r="2014" spans="1:11">
      <c r="A2014" t="s">
        <v>109</v>
      </c>
      <c r="B2014" t="s">
        <v>44</v>
      </c>
      <c r="C2014" t="s">
        <v>36</v>
      </c>
      <c r="D2014" t="s">
        <v>29</v>
      </c>
      <c r="E2014" t="s">
        <v>30</v>
      </c>
      <c r="F2014" t="s">
        <v>73</v>
      </c>
      <c r="G2014" t="s">
        <v>39</v>
      </c>
      <c r="H2014">
        <v>220000</v>
      </c>
      <c r="I2014">
        <v>3</v>
      </c>
      <c r="J2014" t="s">
        <v>47</v>
      </c>
      <c r="K2014">
        <f t="shared" si="31"/>
        <v>176000</v>
      </c>
    </row>
    <row r="2015" spans="1:11">
      <c r="A2015" t="s">
        <v>125</v>
      </c>
      <c r="B2015" t="s">
        <v>27</v>
      </c>
      <c r="C2015" t="s">
        <v>53</v>
      </c>
      <c r="D2015" t="s">
        <v>41</v>
      </c>
      <c r="E2015" t="s">
        <v>30</v>
      </c>
      <c r="F2015" t="s">
        <v>54</v>
      </c>
      <c r="G2015" t="s">
        <v>39</v>
      </c>
      <c r="H2015">
        <v>180000</v>
      </c>
      <c r="I2015">
        <v>2</v>
      </c>
      <c r="J2015" t="s">
        <v>65</v>
      </c>
      <c r="K2015">
        <f t="shared" si="31"/>
        <v>144000</v>
      </c>
    </row>
    <row r="2016" spans="1:11">
      <c r="A2016" t="s">
        <v>68</v>
      </c>
      <c r="B2016" t="s">
        <v>44</v>
      </c>
      <c r="C2016" t="s">
        <v>28</v>
      </c>
      <c r="D2016" t="s">
        <v>41</v>
      </c>
      <c r="E2016" t="s">
        <v>30</v>
      </c>
      <c r="F2016" t="s">
        <v>71</v>
      </c>
      <c r="G2016" t="s">
        <v>51</v>
      </c>
      <c r="H2016">
        <v>250000</v>
      </c>
      <c r="I2016">
        <v>9</v>
      </c>
      <c r="J2016" t="s">
        <v>42</v>
      </c>
      <c r="K2016">
        <f t="shared" si="31"/>
        <v>200000</v>
      </c>
    </row>
    <row r="2017" spans="1:11">
      <c r="A2017" t="s">
        <v>163</v>
      </c>
      <c r="B2017" t="s">
        <v>27</v>
      </c>
      <c r="C2017" t="s">
        <v>28</v>
      </c>
      <c r="D2017" t="s">
        <v>41</v>
      </c>
      <c r="E2017" t="s">
        <v>30</v>
      </c>
      <c r="F2017" t="s">
        <v>50</v>
      </c>
      <c r="G2017" t="s">
        <v>51</v>
      </c>
      <c r="H2017">
        <v>300000</v>
      </c>
      <c r="I2017">
        <v>8</v>
      </c>
      <c r="J2017" t="s">
        <v>65</v>
      </c>
      <c r="K2017">
        <f t="shared" si="31"/>
        <v>240000</v>
      </c>
    </row>
    <row r="2018" spans="1:11">
      <c r="A2018" t="s">
        <v>123</v>
      </c>
      <c r="B2018" t="s">
        <v>27</v>
      </c>
      <c r="C2018" t="s">
        <v>36</v>
      </c>
      <c r="D2018" t="s">
        <v>29</v>
      </c>
      <c r="E2018" t="s">
        <v>30</v>
      </c>
      <c r="F2018" t="s">
        <v>62</v>
      </c>
      <c r="G2018" t="s">
        <v>51</v>
      </c>
      <c r="H2018">
        <v>150000</v>
      </c>
      <c r="I2018">
        <v>6</v>
      </c>
      <c r="J2018" t="s">
        <v>33</v>
      </c>
      <c r="K2018">
        <f t="shared" si="31"/>
        <v>120000</v>
      </c>
    </row>
    <row r="2019" spans="1:11">
      <c r="A2019" t="s">
        <v>86</v>
      </c>
      <c r="B2019" t="s">
        <v>49</v>
      </c>
      <c r="C2019" t="s">
        <v>53</v>
      </c>
      <c r="D2019" t="s">
        <v>41</v>
      </c>
      <c r="E2019" t="s">
        <v>37</v>
      </c>
      <c r="F2019" t="s">
        <v>31</v>
      </c>
      <c r="G2019" t="s">
        <v>32</v>
      </c>
      <c r="H2019">
        <v>85000</v>
      </c>
      <c r="I2019">
        <v>9</v>
      </c>
      <c r="J2019" t="s">
        <v>47</v>
      </c>
      <c r="K2019">
        <f t="shared" si="31"/>
        <v>68000</v>
      </c>
    </row>
    <row r="2020" spans="1:11">
      <c r="A2020" t="s">
        <v>86</v>
      </c>
      <c r="B2020" t="s">
        <v>49</v>
      </c>
      <c r="C2020" t="s">
        <v>45</v>
      </c>
      <c r="D2020" t="s">
        <v>41</v>
      </c>
      <c r="E2020" t="s">
        <v>30</v>
      </c>
      <c r="F2020" t="s">
        <v>46</v>
      </c>
      <c r="G2020" t="s">
        <v>39</v>
      </c>
      <c r="H2020">
        <v>60000</v>
      </c>
      <c r="I2020">
        <v>3</v>
      </c>
      <c r="J2020" t="s">
        <v>42</v>
      </c>
      <c r="K2020">
        <f t="shared" si="31"/>
        <v>48000</v>
      </c>
    </row>
    <row r="2021" spans="1:11">
      <c r="A2021" t="s">
        <v>142</v>
      </c>
      <c r="B2021" t="s">
        <v>44</v>
      </c>
      <c r="C2021" t="s">
        <v>53</v>
      </c>
      <c r="D2021" t="s">
        <v>29</v>
      </c>
      <c r="E2021" t="s">
        <v>37</v>
      </c>
      <c r="F2021" t="s">
        <v>67</v>
      </c>
      <c r="G2021" t="s">
        <v>51</v>
      </c>
      <c r="H2021">
        <v>420000</v>
      </c>
      <c r="I2021">
        <v>7</v>
      </c>
      <c r="J2021" t="s">
        <v>58</v>
      </c>
      <c r="K2021">
        <f t="shared" si="31"/>
        <v>336000</v>
      </c>
    </row>
    <row r="2022" spans="1:11">
      <c r="A2022" t="s">
        <v>143</v>
      </c>
      <c r="B2022" t="s">
        <v>44</v>
      </c>
      <c r="C2022" t="s">
        <v>28</v>
      </c>
      <c r="D2022" t="s">
        <v>41</v>
      </c>
      <c r="E2022" t="s">
        <v>30</v>
      </c>
      <c r="F2022" t="s">
        <v>31</v>
      </c>
      <c r="G2022" t="s">
        <v>32</v>
      </c>
      <c r="H2022">
        <v>85000</v>
      </c>
      <c r="I2022">
        <v>5</v>
      </c>
      <c r="J2022" t="s">
        <v>42</v>
      </c>
      <c r="K2022">
        <f t="shared" si="31"/>
        <v>68000</v>
      </c>
    </row>
    <row r="2023" spans="1:11">
      <c r="A2023" t="s">
        <v>141</v>
      </c>
      <c r="B2023" t="s">
        <v>35</v>
      </c>
      <c r="C2023" t="s">
        <v>28</v>
      </c>
      <c r="D2023" t="s">
        <v>41</v>
      </c>
      <c r="E2023" t="s">
        <v>30</v>
      </c>
      <c r="F2023" t="s">
        <v>46</v>
      </c>
      <c r="G2023" t="s">
        <v>39</v>
      </c>
      <c r="H2023">
        <v>60000</v>
      </c>
      <c r="I2023">
        <v>7</v>
      </c>
      <c r="J2023" t="s">
        <v>42</v>
      </c>
      <c r="K2023">
        <f t="shared" si="31"/>
        <v>48000</v>
      </c>
    </row>
    <row r="2024" spans="1:11">
      <c r="A2024" t="s">
        <v>166</v>
      </c>
      <c r="B2024" t="s">
        <v>35</v>
      </c>
      <c r="C2024" t="s">
        <v>53</v>
      </c>
      <c r="D2024" t="s">
        <v>29</v>
      </c>
      <c r="E2024" t="s">
        <v>30</v>
      </c>
      <c r="F2024" t="s">
        <v>54</v>
      </c>
      <c r="G2024" t="s">
        <v>39</v>
      </c>
      <c r="H2024">
        <v>180000</v>
      </c>
      <c r="I2024">
        <v>2</v>
      </c>
      <c r="J2024" t="s">
        <v>58</v>
      </c>
      <c r="K2024">
        <f t="shared" si="31"/>
        <v>144000</v>
      </c>
    </row>
    <row r="2025" spans="1:11">
      <c r="A2025" t="s">
        <v>127</v>
      </c>
      <c r="B2025" t="s">
        <v>27</v>
      </c>
      <c r="C2025" t="s">
        <v>28</v>
      </c>
      <c r="D2025" t="s">
        <v>41</v>
      </c>
      <c r="E2025" t="s">
        <v>37</v>
      </c>
      <c r="F2025" t="s">
        <v>71</v>
      </c>
      <c r="G2025" t="s">
        <v>51</v>
      </c>
      <c r="H2025">
        <v>250000</v>
      </c>
      <c r="I2025">
        <v>3</v>
      </c>
      <c r="J2025" t="s">
        <v>65</v>
      </c>
      <c r="K2025">
        <f t="shared" si="31"/>
        <v>200000</v>
      </c>
    </row>
    <row r="2026" spans="1:11">
      <c r="A2026" t="s">
        <v>126</v>
      </c>
      <c r="B2026" t="s">
        <v>35</v>
      </c>
      <c r="C2026" t="s">
        <v>45</v>
      </c>
      <c r="D2026" t="s">
        <v>41</v>
      </c>
      <c r="E2026" t="s">
        <v>30</v>
      </c>
      <c r="F2026" t="s">
        <v>54</v>
      </c>
      <c r="G2026" t="s">
        <v>39</v>
      </c>
      <c r="H2026">
        <v>180000</v>
      </c>
      <c r="I2026">
        <v>6</v>
      </c>
      <c r="J2026" t="s">
        <v>69</v>
      </c>
      <c r="K2026">
        <f t="shared" si="31"/>
        <v>144000</v>
      </c>
    </row>
    <row r="2027" spans="1:11">
      <c r="A2027" t="s">
        <v>137</v>
      </c>
      <c r="B2027" t="s">
        <v>35</v>
      </c>
      <c r="C2027" t="s">
        <v>53</v>
      </c>
      <c r="D2027" t="s">
        <v>29</v>
      </c>
      <c r="E2027" t="s">
        <v>37</v>
      </c>
      <c r="F2027" t="s">
        <v>31</v>
      </c>
      <c r="G2027" t="s">
        <v>32</v>
      </c>
      <c r="H2027">
        <v>85000</v>
      </c>
      <c r="I2027">
        <v>2</v>
      </c>
      <c r="J2027" t="s">
        <v>69</v>
      </c>
      <c r="K2027">
        <f t="shared" si="31"/>
        <v>68000</v>
      </c>
    </row>
    <row r="2028" spans="1:11">
      <c r="A2028" t="s">
        <v>156</v>
      </c>
      <c r="B2028" t="s">
        <v>49</v>
      </c>
      <c r="C2028" t="s">
        <v>53</v>
      </c>
      <c r="D2028" t="s">
        <v>41</v>
      </c>
      <c r="E2028" t="s">
        <v>37</v>
      </c>
      <c r="F2028" t="s">
        <v>71</v>
      </c>
      <c r="G2028" t="s">
        <v>51</v>
      </c>
      <c r="H2028">
        <v>250000</v>
      </c>
      <c r="I2028">
        <v>5</v>
      </c>
      <c r="J2028" t="s">
        <v>47</v>
      </c>
      <c r="K2028">
        <f t="shared" si="31"/>
        <v>200000</v>
      </c>
    </row>
    <row r="2029" spans="1:11">
      <c r="A2029" t="s">
        <v>80</v>
      </c>
      <c r="B2029" t="s">
        <v>27</v>
      </c>
      <c r="C2029" t="s">
        <v>28</v>
      </c>
      <c r="D2029" t="s">
        <v>41</v>
      </c>
      <c r="E2029" t="s">
        <v>37</v>
      </c>
      <c r="F2029" t="s">
        <v>73</v>
      </c>
      <c r="G2029" t="s">
        <v>39</v>
      </c>
      <c r="H2029">
        <v>220000</v>
      </c>
      <c r="I2029">
        <v>2</v>
      </c>
      <c r="J2029" t="s">
        <v>65</v>
      </c>
      <c r="K2029">
        <f t="shared" si="31"/>
        <v>176000</v>
      </c>
    </row>
    <row r="2030" spans="1:11">
      <c r="A2030" t="s">
        <v>138</v>
      </c>
      <c r="B2030" t="s">
        <v>44</v>
      </c>
      <c r="C2030" t="s">
        <v>53</v>
      </c>
      <c r="D2030" t="s">
        <v>29</v>
      </c>
      <c r="E2030" t="s">
        <v>30</v>
      </c>
      <c r="F2030" t="s">
        <v>38</v>
      </c>
      <c r="G2030" t="s">
        <v>39</v>
      </c>
      <c r="H2030">
        <v>30000</v>
      </c>
      <c r="I2030">
        <v>2</v>
      </c>
      <c r="J2030" t="s">
        <v>42</v>
      </c>
      <c r="K2030">
        <f t="shared" si="31"/>
        <v>24000</v>
      </c>
    </row>
    <row r="2031" spans="1:11">
      <c r="A2031" t="s">
        <v>172</v>
      </c>
      <c r="B2031" t="s">
        <v>35</v>
      </c>
      <c r="C2031" t="s">
        <v>45</v>
      </c>
      <c r="D2031" t="s">
        <v>41</v>
      </c>
      <c r="E2031" t="s">
        <v>37</v>
      </c>
      <c r="F2031" t="s">
        <v>67</v>
      </c>
      <c r="G2031" t="s">
        <v>51</v>
      </c>
      <c r="H2031">
        <v>420000</v>
      </c>
      <c r="I2031">
        <v>10</v>
      </c>
      <c r="J2031" t="s">
        <v>65</v>
      </c>
      <c r="K2031">
        <f t="shared" si="31"/>
        <v>336000</v>
      </c>
    </row>
    <row r="2032" spans="1:11">
      <c r="A2032" t="s">
        <v>74</v>
      </c>
      <c r="B2032" t="s">
        <v>49</v>
      </c>
      <c r="C2032" t="s">
        <v>53</v>
      </c>
      <c r="D2032" t="s">
        <v>41</v>
      </c>
      <c r="E2032" t="s">
        <v>30</v>
      </c>
      <c r="F2032" t="s">
        <v>73</v>
      </c>
      <c r="G2032" t="s">
        <v>39</v>
      </c>
      <c r="H2032">
        <v>220000</v>
      </c>
      <c r="I2032">
        <v>2</v>
      </c>
      <c r="J2032" t="s">
        <v>58</v>
      </c>
      <c r="K2032">
        <f t="shared" si="31"/>
        <v>176000</v>
      </c>
    </row>
    <row r="2033" spans="1:11">
      <c r="A2033" t="s">
        <v>57</v>
      </c>
      <c r="B2033" t="s">
        <v>44</v>
      </c>
      <c r="C2033" t="s">
        <v>45</v>
      </c>
      <c r="D2033" t="s">
        <v>41</v>
      </c>
      <c r="E2033" t="s">
        <v>37</v>
      </c>
      <c r="F2033" t="s">
        <v>73</v>
      </c>
      <c r="G2033" t="s">
        <v>39</v>
      </c>
      <c r="H2033">
        <v>220000</v>
      </c>
      <c r="I2033">
        <v>10</v>
      </c>
      <c r="J2033" t="s">
        <v>42</v>
      </c>
      <c r="K2033">
        <f t="shared" si="31"/>
        <v>176000</v>
      </c>
    </row>
    <row r="2034" spans="1:11">
      <c r="A2034" t="s">
        <v>40</v>
      </c>
      <c r="B2034" t="s">
        <v>27</v>
      </c>
      <c r="C2034" t="s">
        <v>36</v>
      </c>
      <c r="D2034" t="s">
        <v>41</v>
      </c>
      <c r="E2034" t="s">
        <v>37</v>
      </c>
      <c r="F2034" t="s">
        <v>56</v>
      </c>
      <c r="G2034" t="s">
        <v>32</v>
      </c>
      <c r="H2034">
        <v>320000</v>
      </c>
      <c r="I2034">
        <v>6</v>
      </c>
      <c r="J2034" t="s">
        <v>58</v>
      </c>
      <c r="K2034">
        <f t="shared" si="31"/>
        <v>256000</v>
      </c>
    </row>
    <row r="2035" spans="1:11">
      <c r="A2035" t="s">
        <v>171</v>
      </c>
      <c r="B2035" t="s">
        <v>49</v>
      </c>
      <c r="C2035" t="s">
        <v>28</v>
      </c>
      <c r="D2035" t="s">
        <v>41</v>
      </c>
      <c r="E2035" t="s">
        <v>37</v>
      </c>
      <c r="F2035" t="s">
        <v>67</v>
      </c>
      <c r="G2035" t="s">
        <v>51</v>
      </c>
      <c r="H2035">
        <v>420000</v>
      </c>
      <c r="I2035">
        <v>8</v>
      </c>
      <c r="J2035" t="s">
        <v>58</v>
      </c>
      <c r="K2035">
        <f t="shared" si="31"/>
        <v>336000</v>
      </c>
    </row>
    <row r="2036" spans="1:11">
      <c r="A2036" t="s">
        <v>114</v>
      </c>
      <c r="B2036" t="s">
        <v>35</v>
      </c>
      <c r="C2036" t="s">
        <v>53</v>
      </c>
      <c r="D2036" t="s">
        <v>29</v>
      </c>
      <c r="E2036" t="s">
        <v>37</v>
      </c>
      <c r="F2036" t="s">
        <v>73</v>
      </c>
      <c r="G2036" t="s">
        <v>39</v>
      </c>
      <c r="H2036">
        <v>220000</v>
      </c>
      <c r="I2036">
        <v>9</v>
      </c>
      <c r="J2036" t="s">
        <v>58</v>
      </c>
      <c r="K2036">
        <f t="shared" si="31"/>
        <v>176000</v>
      </c>
    </row>
    <row r="2037" spans="1:11">
      <c r="A2037" t="s">
        <v>40</v>
      </c>
      <c r="B2037" t="s">
        <v>49</v>
      </c>
      <c r="C2037" t="s">
        <v>36</v>
      </c>
      <c r="D2037" t="s">
        <v>41</v>
      </c>
      <c r="E2037" t="s">
        <v>30</v>
      </c>
      <c r="F2037" t="s">
        <v>73</v>
      </c>
      <c r="G2037" t="s">
        <v>39</v>
      </c>
      <c r="H2037">
        <v>220000</v>
      </c>
      <c r="I2037">
        <v>2</v>
      </c>
      <c r="J2037" t="s">
        <v>69</v>
      </c>
      <c r="K2037">
        <f t="shared" si="31"/>
        <v>176000</v>
      </c>
    </row>
    <row r="2038" spans="1:11">
      <c r="A2038" t="s">
        <v>120</v>
      </c>
      <c r="B2038" t="s">
        <v>44</v>
      </c>
      <c r="C2038" t="s">
        <v>53</v>
      </c>
      <c r="D2038" t="s">
        <v>29</v>
      </c>
      <c r="E2038" t="s">
        <v>30</v>
      </c>
      <c r="F2038" t="s">
        <v>62</v>
      </c>
      <c r="G2038" t="s">
        <v>51</v>
      </c>
      <c r="H2038">
        <v>150000</v>
      </c>
      <c r="I2038">
        <v>4</v>
      </c>
      <c r="J2038" t="s">
        <v>65</v>
      </c>
      <c r="K2038">
        <f t="shared" si="31"/>
        <v>120000</v>
      </c>
    </row>
    <row r="2039" spans="1:11">
      <c r="A2039" t="s">
        <v>124</v>
      </c>
      <c r="B2039" t="s">
        <v>35</v>
      </c>
      <c r="C2039" t="s">
        <v>45</v>
      </c>
      <c r="D2039" t="s">
        <v>29</v>
      </c>
      <c r="E2039" t="s">
        <v>37</v>
      </c>
      <c r="F2039" t="s">
        <v>50</v>
      </c>
      <c r="G2039" t="s">
        <v>51</v>
      </c>
      <c r="H2039">
        <v>300000</v>
      </c>
      <c r="I2039">
        <v>7</v>
      </c>
      <c r="J2039" t="s">
        <v>69</v>
      </c>
      <c r="K2039">
        <f t="shared" si="31"/>
        <v>240000</v>
      </c>
    </row>
    <row r="2040" spans="1:11">
      <c r="A2040" t="s">
        <v>145</v>
      </c>
      <c r="B2040" t="s">
        <v>44</v>
      </c>
      <c r="C2040" t="s">
        <v>36</v>
      </c>
      <c r="D2040" t="s">
        <v>41</v>
      </c>
      <c r="E2040" t="s">
        <v>30</v>
      </c>
      <c r="F2040" t="s">
        <v>67</v>
      </c>
      <c r="G2040" t="s">
        <v>51</v>
      </c>
      <c r="H2040">
        <v>420000</v>
      </c>
      <c r="I2040">
        <v>4</v>
      </c>
      <c r="J2040" t="s">
        <v>69</v>
      </c>
      <c r="K2040">
        <f t="shared" si="31"/>
        <v>336000</v>
      </c>
    </row>
    <row r="2041" spans="1:11">
      <c r="A2041" t="s">
        <v>112</v>
      </c>
      <c r="B2041" t="s">
        <v>27</v>
      </c>
      <c r="C2041" t="s">
        <v>45</v>
      </c>
      <c r="D2041" t="s">
        <v>41</v>
      </c>
      <c r="E2041" t="s">
        <v>37</v>
      </c>
      <c r="F2041" t="s">
        <v>46</v>
      </c>
      <c r="G2041" t="s">
        <v>39</v>
      </c>
      <c r="H2041">
        <v>60000</v>
      </c>
      <c r="I2041">
        <v>4</v>
      </c>
      <c r="J2041" t="s">
        <v>65</v>
      </c>
      <c r="K2041">
        <f t="shared" si="31"/>
        <v>48000</v>
      </c>
    </row>
    <row r="2042" spans="1:11">
      <c r="A2042" t="s">
        <v>107</v>
      </c>
      <c r="B2042" t="s">
        <v>49</v>
      </c>
      <c r="C2042" t="s">
        <v>45</v>
      </c>
      <c r="D2042" t="s">
        <v>29</v>
      </c>
      <c r="E2042" t="s">
        <v>30</v>
      </c>
      <c r="F2042" t="s">
        <v>54</v>
      </c>
      <c r="G2042" t="s">
        <v>39</v>
      </c>
      <c r="H2042">
        <v>180000</v>
      </c>
      <c r="I2042">
        <v>6</v>
      </c>
      <c r="J2042" t="s">
        <v>33</v>
      </c>
      <c r="K2042">
        <f t="shared" si="31"/>
        <v>144000</v>
      </c>
    </row>
    <row r="2043" spans="1:11">
      <c r="A2043" t="s">
        <v>159</v>
      </c>
      <c r="B2043" t="s">
        <v>44</v>
      </c>
      <c r="C2043" t="s">
        <v>45</v>
      </c>
      <c r="D2043" t="s">
        <v>41</v>
      </c>
      <c r="E2043" t="s">
        <v>30</v>
      </c>
      <c r="F2043" t="s">
        <v>50</v>
      </c>
      <c r="G2043" t="s">
        <v>51</v>
      </c>
      <c r="H2043">
        <v>300000</v>
      </c>
      <c r="I2043">
        <v>8</v>
      </c>
      <c r="J2043" t="s">
        <v>58</v>
      </c>
      <c r="K2043">
        <f t="shared" si="31"/>
        <v>240000</v>
      </c>
    </row>
    <row r="2044" spans="1:11">
      <c r="A2044" t="s">
        <v>124</v>
      </c>
      <c r="B2044" t="s">
        <v>27</v>
      </c>
      <c r="C2044" t="s">
        <v>28</v>
      </c>
      <c r="D2044" t="s">
        <v>29</v>
      </c>
      <c r="E2044" t="s">
        <v>37</v>
      </c>
      <c r="F2044" t="s">
        <v>56</v>
      </c>
      <c r="G2044" t="s">
        <v>32</v>
      </c>
      <c r="H2044">
        <v>320000</v>
      </c>
      <c r="I2044">
        <v>10</v>
      </c>
      <c r="J2044" t="s">
        <v>33</v>
      </c>
      <c r="K2044">
        <f t="shared" si="31"/>
        <v>256000</v>
      </c>
    </row>
    <row r="2045" spans="1:11">
      <c r="A2045" t="s">
        <v>173</v>
      </c>
      <c r="B2045" t="s">
        <v>27</v>
      </c>
      <c r="C2045" t="s">
        <v>36</v>
      </c>
      <c r="D2045" t="s">
        <v>29</v>
      </c>
      <c r="E2045" t="s">
        <v>37</v>
      </c>
      <c r="F2045" t="s">
        <v>38</v>
      </c>
      <c r="G2045" t="s">
        <v>39</v>
      </c>
      <c r="H2045">
        <v>30000</v>
      </c>
      <c r="I2045">
        <v>1</v>
      </c>
      <c r="J2045" t="s">
        <v>33</v>
      </c>
      <c r="K2045">
        <f t="shared" si="31"/>
        <v>24000</v>
      </c>
    </row>
    <row r="2046" spans="1:11">
      <c r="A2046" t="s">
        <v>146</v>
      </c>
      <c r="B2046" t="s">
        <v>35</v>
      </c>
      <c r="C2046" t="s">
        <v>36</v>
      </c>
      <c r="D2046" t="s">
        <v>41</v>
      </c>
      <c r="E2046" t="s">
        <v>37</v>
      </c>
      <c r="F2046" t="s">
        <v>31</v>
      </c>
      <c r="G2046" t="s">
        <v>32</v>
      </c>
      <c r="H2046">
        <v>85000</v>
      </c>
      <c r="I2046">
        <v>2</v>
      </c>
      <c r="J2046" t="s">
        <v>58</v>
      </c>
      <c r="K2046">
        <f t="shared" si="31"/>
        <v>68000</v>
      </c>
    </row>
    <row r="2047" spans="1:11">
      <c r="A2047" t="s">
        <v>43</v>
      </c>
      <c r="B2047" t="s">
        <v>27</v>
      </c>
      <c r="C2047" t="s">
        <v>28</v>
      </c>
      <c r="D2047" t="s">
        <v>41</v>
      </c>
      <c r="E2047" t="s">
        <v>30</v>
      </c>
      <c r="F2047" t="s">
        <v>31</v>
      </c>
      <c r="G2047" t="s">
        <v>32</v>
      </c>
      <c r="H2047">
        <v>85000</v>
      </c>
      <c r="I2047">
        <v>5</v>
      </c>
      <c r="J2047" t="s">
        <v>65</v>
      </c>
      <c r="K2047">
        <f t="shared" si="31"/>
        <v>68000</v>
      </c>
    </row>
    <row r="2048" spans="1:11">
      <c r="A2048" t="s">
        <v>136</v>
      </c>
      <c r="B2048" t="s">
        <v>44</v>
      </c>
      <c r="C2048" t="s">
        <v>28</v>
      </c>
      <c r="D2048" t="s">
        <v>29</v>
      </c>
      <c r="E2048" t="s">
        <v>37</v>
      </c>
      <c r="F2048" t="s">
        <v>71</v>
      </c>
      <c r="G2048" t="s">
        <v>51</v>
      </c>
      <c r="H2048">
        <v>250000</v>
      </c>
      <c r="I2048">
        <v>8</v>
      </c>
      <c r="J2048" t="s">
        <v>65</v>
      </c>
      <c r="K2048">
        <f t="shared" si="31"/>
        <v>200000</v>
      </c>
    </row>
    <row r="2049" spans="1:11">
      <c r="A2049" t="s">
        <v>107</v>
      </c>
      <c r="B2049" t="s">
        <v>49</v>
      </c>
      <c r="C2049" t="s">
        <v>45</v>
      </c>
      <c r="D2049" t="s">
        <v>41</v>
      </c>
      <c r="E2049" t="s">
        <v>30</v>
      </c>
      <c r="F2049" t="s">
        <v>50</v>
      </c>
      <c r="G2049" t="s">
        <v>51</v>
      </c>
      <c r="H2049">
        <v>300000</v>
      </c>
      <c r="I2049">
        <v>8</v>
      </c>
      <c r="J2049" t="s">
        <v>58</v>
      </c>
      <c r="K2049">
        <f t="shared" si="31"/>
        <v>240000</v>
      </c>
    </row>
    <row r="2050" spans="1:11">
      <c r="A2050" t="s">
        <v>116</v>
      </c>
      <c r="B2050" t="s">
        <v>27</v>
      </c>
      <c r="C2050" t="s">
        <v>36</v>
      </c>
      <c r="D2050" t="s">
        <v>41</v>
      </c>
      <c r="E2050" t="s">
        <v>37</v>
      </c>
      <c r="F2050" t="s">
        <v>54</v>
      </c>
      <c r="G2050" t="s">
        <v>39</v>
      </c>
      <c r="H2050">
        <v>180000</v>
      </c>
      <c r="I2050">
        <v>9</v>
      </c>
      <c r="J2050" t="s">
        <v>47</v>
      </c>
      <c r="K2050">
        <f t="shared" ref="K2050:K2099" si="32">H2050-H2050*0.2</f>
        <v>144000</v>
      </c>
    </row>
    <row r="2051" spans="1:11">
      <c r="A2051" t="s">
        <v>93</v>
      </c>
      <c r="B2051" t="s">
        <v>49</v>
      </c>
      <c r="C2051" t="s">
        <v>53</v>
      </c>
      <c r="D2051" t="s">
        <v>41</v>
      </c>
      <c r="E2051" t="s">
        <v>30</v>
      </c>
      <c r="F2051" t="s">
        <v>46</v>
      </c>
      <c r="G2051" t="s">
        <v>39</v>
      </c>
      <c r="H2051">
        <v>60000</v>
      </c>
      <c r="I2051">
        <v>4</v>
      </c>
      <c r="J2051" t="s">
        <v>58</v>
      </c>
      <c r="K2051">
        <f t="shared" si="32"/>
        <v>48000</v>
      </c>
    </row>
    <row r="2052" spans="1:11">
      <c r="A2052" t="s">
        <v>134</v>
      </c>
      <c r="B2052" t="s">
        <v>44</v>
      </c>
      <c r="C2052" t="s">
        <v>28</v>
      </c>
      <c r="D2052" t="s">
        <v>29</v>
      </c>
      <c r="E2052" t="s">
        <v>37</v>
      </c>
      <c r="F2052" t="s">
        <v>46</v>
      </c>
      <c r="G2052" t="s">
        <v>39</v>
      </c>
      <c r="H2052">
        <v>60000</v>
      </c>
      <c r="I2052">
        <v>3</v>
      </c>
      <c r="J2052" t="s">
        <v>58</v>
      </c>
      <c r="K2052">
        <f t="shared" si="32"/>
        <v>48000</v>
      </c>
    </row>
    <row r="2053" spans="1:11">
      <c r="A2053" t="s">
        <v>106</v>
      </c>
      <c r="B2053" t="s">
        <v>44</v>
      </c>
      <c r="C2053" t="s">
        <v>28</v>
      </c>
      <c r="D2053" t="s">
        <v>29</v>
      </c>
      <c r="E2053" t="s">
        <v>30</v>
      </c>
      <c r="F2053" t="s">
        <v>73</v>
      </c>
      <c r="G2053" t="s">
        <v>39</v>
      </c>
      <c r="H2053">
        <v>220000</v>
      </c>
      <c r="I2053">
        <v>6</v>
      </c>
      <c r="J2053" t="s">
        <v>65</v>
      </c>
      <c r="K2053">
        <f t="shared" si="32"/>
        <v>176000</v>
      </c>
    </row>
    <row r="2054" spans="1:11">
      <c r="A2054" t="s">
        <v>55</v>
      </c>
      <c r="B2054" t="s">
        <v>35</v>
      </c>
      <c r="C2054" t="s">
        <v>45</v>
      </c>
      <c r="D2054" t="s">
        <v>29</v>
      </c>
      <c r="E2054" t="s">
        <v>37</v>
      </c>
      <c r="F2054" t="s">
        <v>56</v>
      </c>
      <c r="G2054" t="s">
        <v>32</v>
      </c>
      <c r="H2054">
        <v>320000</v>
      </c>
      <c r="I2054">
        <v>9</v>
      </c>
      <c r="J2054" t="s">
        <v>58</v>
      </c>
      <c r="K2054">
        <f t="shared" si="32"/>
        <v>256000</v>
      </c>
    </row>
    <row r="2055" spans="1:11">
      <c r="A2055" t="s">
        <v>26</v>
      </c>
      <c r="B2055" t="s">
        <v>44</v>
      </c>
      <c r="C2055" t="s">
        <v>45</v>
      </c>
      <c r="D2055" t="s">
        <v>29</v>
      </c>
      <c r="E2055" t="s">
        <v>37</v>
      </c>
      <c r="F2055" t="s">
        <v>67</v>
      </c>
      <c r="G2055" t="s">
        <v>51</v>
      </c>
      <c r="H2055">
        <v>420000</v>
      </c>
      <c r="I2055">
        <v>3</v>
      </c>
      <c r="J2055" t="s">
        <v>42</v>
      </c>
      <c r="K2055">
        <f t="shared" si="32"/>
        <v>336000</v>
      </c>
    </row>
    <row r="2056" spans="1:11">
      <c r="A2056" t="s">
        <v>123</v>
      </c>
      <c r="B2056" t="s">
        <v>35</v>
      </c>
      <c r="C2056" t="s">
        <v>53</v>
      </c>
      <c r="D2056" t="s">
        <v>41</v>
      </c>
      <c r="E2056" t="s">
        <v>37</v>
      </c>
      <c r="F2056" t="s">
        <v>54</v>
      </c>
      <c r="G2056" t="s">
        <v>39</v>
      </c>
      <c r="H2056">
        <v>180000</v>
      </c>
      <c r="I2056">
        <v>9</v>
      </c>
      <c r="J2056" t="s">
        <v>33</v>
      </c>
      <c r="K2056">
        <f t="shared" si="32"/>
        <v>144000</v>
      </c>
    </row>
    <row r="2057" spans="1:11">
      <c r="A2057" t="s">
        <v>172</v>
      </c>
      <c r="B2057" t="s">
        <v>44</v>
      </c>
      <c r="C2057" t="s">
        <v>53</v>
      </c>
      <c r="D2057" t="s">
        <v>41</v>
      </c>
      <c r="E2057" t="s">
        <v>37</v>
      </c>
      <c r="F2057" t="s">
        <v>46</v>
      </c>
      <c r="G2057" t="s">
        <v>39</v>
      </c>
      <c r="H2057">
        <v>60000</v>
      </c>
      <c r="I2057">
        <v>1</v>
      </c>
      <c r="J2057" t="s">
        <v>33</v>
      </c>
      <c r="K2057">
        <f t="shared" si="32"/>
        <v>48000</v>
      </c>
    </row>
    <row r="2058" spans="1:11">
      <c r="A2058" t="s">
        <v>87</v>
      </c>
      <c r="B2058" t="s">
        <v>27</v>
      </c>
      <c r="C2058" t="s">
        <v>45</v>
      </c>
      <c r="D2058" t="s">
        <v>41</v>
      </c>
      <c r="E2058" t="s">
        <v>37</v>
      </c>
      <c r="F2058" t="s">
        <v>71</v>
      </c>
      <c r="G2058" t="s">
        <v>51</v>
      </c>
      <c r="H2058">
        <v>250000</v>
      </c>
      <c r="I2058">
        <v>5</v>
      </c>
      <c r="J2058" t="s">
        <v>58</v>
      </c>
      <c r="K2058">
        <f t="shared" si="32"/>
        <v>200000</v>
      </c>
    </row>
    <row r="2059" spans="1:11">
      <c r="A2059" t="s">
        <v>43</v>
      </c>
      <c r="B2059" t="s">
        <v>27</v>
      </c>
      <c r="C2059" t="s">
        <v>28</v>
      </c>
      <c r="D2059" t="s">
        <v>41</v>
      </c>
      <c r="E2059" t="s">
        <v>37</v>
      </c>
      <c r="F2059" t="s">
        <v>38</v>
      </c>
      <c r="G2059" t="s">
        <v>39</v>
      </c>
      <c r="H2059">
        <v>30000</v>
      </c>
      <c r="I2059">
        <v>8</v>
      </c>
      <c r="J2059" t="s">
        <v>33</v>
      </c>
      <c r="K2059">
        <f t="shared" si="32"/>
        <v>24000</v>
      </c>
    </row>
    <row r="2060" spans="1:11">
      <c r="A2060" t="s">
        <v>136</v>
      </c>
      <c r="B2060" t="s">
        <v>49</v>
      </c>
      <c r="C2060" t="s">
        <v>28</v>
      </c>
      <c r="D2060" t="s">
        <v>29</v>
      </c>
      <c r="E2060" t="s">
        <v>30</v>
      </c>
      <c r="F2060" t="s">
        <v>54</v>
      </c>
      <c r="G2060" t="s">
        <v>39</v>
      </c>
      <c r="H2060">
        <v>180000</v>
      </c>
      <c r="I2060">
        <v>6</v>
      </c>
      <c r="J2060" t="s">
        <v>33</v>
      </c>
      <c r="K2060">
        <f t="shared" si="32"/>
        <v>144000</v>
      </c>
    </row>
    <row r="2061" spans="1:11">
      <c r="A2061" t="s">
        <v>123</v>
      </c>
      <c r="B2061" t="s">
        <v>35</v>
      </c>
      <c r="C2061" t="s">
        <v>45</v>
      </c>
      <c r="D2061" t="s">
        <v>29</v>
      </c>
      <c r="E2061" t="s">
        <v>37</v>
      </c>
      <c r="F2061" t="s">
        <v>46</v>
      </c>
      <c r="G2061" t="s">
        <v>39</v>
      </c>
      <c r="H2061">
        <v>60000</v>
      </c>
      <c r="I2061">
        <v>1</v>
      </c>
      <c r="J2061" t="s">
        <v>47</v>
      </c>
      <c r="K2061">
        <f t="shared" si="32"/>
        <v>48000</v>
      </c>
    </row>
    <row r="2062" spans="1:11">
      <c r="A2062" t="s">
        <v>48</v>
      </c>
      <c r="B2062" t="s">
        <v>35</v>
      </c>
      <c r="C2062" t="s">
        <v>45</v>
      </c>
      <c r="D2062" t="s">
        <v>29</v>
      </c>
      <c r="E2062" t="s">
        <v>30</v>
      </c>
      <c r="F2062" t="s">
        <v>62</v>
      </c>
      <c r="G2062" t="s">
        <v>51</v>
      </c>
      <c r="H2062">
        <v>150000</v>
      </c>
      <c r="I2062">
        <v>5</v>
      </c>
      <c r="J2062" t="s">
        <v>69</v>
      </c>
      <c r="K2062">
        <f t="shared" si="32"/>
        <v>120000</v>
      </c>
    </row>
    <row r="2063" spans="1:11">
      <c r="A2063" t="s">
        <v>177</v>
      </c>
      <c r="B2063" t="s">
        <v>49</v>
      </c>
      <c r="C2063" t="s">
        <v>36</v>
      </c>
      <c r="D2063" t="s">
        <v>41</v>
      </c>
      <c r="E2063" t="s">
        <v>37</v>
      </c>
      <c r="F2063" t="s">
        <v>31</v>
      </c>
      <c r="G2063" t="s">
        <v>32</v>
      </c>
      <c r="H2063">
        <v>85000</v>
      </c>
      <c r="I2063">
        <v>1</v>
      </c>
      <c r="J2063" t="s">
        <v>69</v>
      </c>
      <c r="K2063">
        <f t="shared" si="32"/>
        <v>68000</v>
      </c>
    </row>
    <row r="2064" spans="1:11">
      <c r="A2064" t="s">
        <v>63</v>
      </c>
      <c r="B2064" t="s">
        <v>44</v>
      </c>
      <c r="C2064" t="s">
        <v>36</v>
      </c>
      <c r="D2064" t="s">
        <v>41</v>
      </c>
      <c r="E2064" t="s">
        <v>37</v>
      </c>
      <c r="F2064" t="s">
        <v>62</v>
      </c>
      <c r="G2064" t="s">
        <v>51</v>
      </c>
      <c r="H2064">
        <v>150000</v>
      </c>
      <c r="I2064">
        <v>7</v>
      </c>
      <c r="J2064" t="s">
        <v>58</v>
      </c>
      <c r="K2064">
        <f t="shared" si="32"/>
        <v>120000</v>
      </c>
    </row>
    <row r="2065" spans="1:11">
      <c r="A2065" t="s">
        <v>98</v>
      </c>
      <c r="B2065" t="s">
        <v>49</v>
      </c>
      <c r="C2065" t="s">
        <v>45</v>
      </c>
      <c r="D2065" t="s">
        <v>41</v>
      </c>
      <c r="E2065" t="s">
        <v>37</v>
      </c>
      <c r="F2065" t="s">
        <v>54</v>
      </c>
      <c r="G2065" t="s">
        <v>39</v>
      </c>
      <c r="H2065">
        <v>180000</v>
      </c>
      <c r="I2065">
        <v>4</v>
      </c>
      <c r="J2065" t="s">
        <v>33</v>
      </c>
      <c r="K2065">
        <f t="shared" si="32"/>
        <v>144000</v>
      </c>
    </row>
    <row r="2066" spans="1:11">
      <c r="A2066" t="s">
        <v>117</v>
      </c>
      <c r="B2066" t="s">
        <v>49</v>
      </c>
      <c r="C2066" t="s">
        <v>45</v>
      </c>
      <c r="D2066" t="s">
        <v>41</v>
      </c>
      <c r="E2066" t="s">
        <v>37</v>
      </c>
      <c r="F2066" t="s">
        <v>31</v>
      </c>
      <c r="G2066" t="s">
        <v>32</v>
      </c>
      <c r="H2066">
        <v>85000</v>
      </c>
      <c r="I2066">
        <v>8</v>
      </c>
      <c r="J2066" t="s">
        <v>33</v>
      </c>
      <c r="K2066">
        <f t="shared" si="32"/>
        <v>68000</v>
      </c>
    </row>
    <row r="2067" spans="1:11">
      <c r="A2067" t="s">
        <v>164</v>
      </c>
      <c r="B2067" t="s">
        <v>49</v>
      </c>
      <c r="C2067" t="s">
        <v>53</v>
      </c>
      <c r="D2067" t="s">
        <v>41</v>
      </c>
      <c r="E2067" t="s">
        <v>37</v>
      </c>
      <c r="F2067" t="s">
        <v>56</v>
      </c>
      <c r="G2067" t="s">
        <v>32</v>
      </c>
      <c r="H2067">
        <v>320000</v>
      </c>
      <c r="I2067">
        <v>4</v>
      </c>
      <c r="J2067" t="s">
        <v>42</v>
      </c>
      <c r="K2067">
        <f t="shared" si="32"/>
        <v>256000</v>
      </c>
    </row>
    <row r="2068" spans="1:11">
      <c r="A2068" t="s">
        <v>81</v>
      </c>
      <c r="B2068" t="s">
        <v>27</v>
      </c>
      <c r="C2068" t="s">
        <v>45</v>
      </c>
      <c r="D2068" t="s">
        <v>29</v>
      </c>
      <c r="E2068" t="s">
        <v>37</v>
      </c>
      <c r="F2068" t="s">
        <v>71</v>
      </c>
      <c r="G2068" t="s">
        <v>51</v>
      </c>
      <c r="H2068">
        <v>250000</v>
      </c>
      <c r="I2068">
        <v>6</v>
      </c>
      <c r="J2068" t="s">
        <v>58</v>
      </c>
      <c r="K2068">
        <f t="shared" si="32"/>
        <v>200000</v>
      </c>
    </row>
    <row r="2069" spans="1:11">
      <c r="A2069" t="s">
        <v>122</v>
      </c>
      <c r="B2069" t="s">
        <v>27</v>
      </c>
      <c r="C2069" t="s">
        <v>45</v>
      </c>
      <c r="D2069" t="s">
        <v>29</v>
      </c>
      <c r="E2069" t="s">
        <v>37</v>
      </c>
      <c r="F2069" t="s">
        <v>73</v>
      </c>
      <c r="G2069" t="s">
        <v>39</v>
      </c>
      <c r="H2069">
        <v>220000</v>
      </c>
      <c r="I2069">
        <v>5</v>
      </c>
      <c r="J2069" t="s">
        <v>47</v>
      </c>
      <c r="K2069">
        <f t="shared" si="32"/>
        <v>176000</v>
      </c>
    </row>
    <row r="2070" spans="1:11">
      <c r="A2070" t="s">
        <v>90</v>
      </c>
      <c r="B2070" t="s">
        <v>44</v>
      </c>
      <c r="C2070" t="s">
        <v>36</v>
      </c>
      <c r="D2070" t="s">
        <v>41</v>
      </c>
      <c r="E2070" t="s">
        <v>37</v>
      </c>
      <c r="F2070" t="s">
        <v>50</v>
      </c>
      <c r="G2070" t="s">
        <v>51</v>
      </c>
      <c r="H2070">
        <v>300000</v>
      </c>
      <c r="I2070">
        <v>8</v>
      </c>
      <c r="J2070" t="s">
        <v>65</v>
      </c>
      <c r="K2070">
        <f t="shared" si="32"/>
        <v>240000</v>
      </c>
    </row>
    <row r="2071" spans="1:11">
      <c r="A2071" t="s">
        <v>105</v>
      </c>
      <c r="B2071" t="s">
        <v>44</v>
      </c>
      <c r="C2071" t="s">
        <v>53</v>
      </c>
      <c r="D2071" t="s">
        <v>29</v>
      </c>
      <c r="E2071" t="s">
        <v>37</v>
      </c>
      <c r="F2071" t="s">
        <v>46</v>
      </c>
      <c r="G2071" t="s">
        <v>39</v>
      </c>
      <c r="H2071">
        <v>60000</v>
      </c>
      <c r="I2071">
        <v>10</v>
      </c>
      <c r="J2071" t="s">
        <v>47</v>
      </c>
      <c r="K2071">
        <f t="shared" si="32"/>
        <v>48000</v>
      </c>
    </row>
    <row r="2072" spans="1:11">
      <c r="A2072" t="s">
        <v>100</v>
      </c>
      <c r="B2072" t="s">
        <v>44</v>
      </c>
      <c r="C2072" t="s">
        <v>36</v>
      </c>
      <c r="D2072" t="s">
        <v>29</v>
      </c>
      <c r="E2072" t="s">
        <v>37</v>
      </c>
      <c r="F2072" t="s">
        <v>54</v>
      </c>
      <c r="G2072" t="s">
        <v>39</v>
      </c>
      <c r="H2072">
        <v>180000</v>
      </c>
      <c r="I2072">
        <v>6</v>
      </c>
      <c r="J2072" t="s">
        <v>69</v>
      </c>
      <c r="K2072">
        <f t="shared" si="32"/>
        <v>144000</v>
      </c>
    </row>
    <row r="2073" spans="1:11">
      <c r="A2073" t="s">
        <v>165</v>
      </c>
      <c r="B2073" t="s">
        <v>44</v>
      </c>
      <c r="C2073" t="s">
        <v>45</v>
      </c>
      <c r="D2073" t="s">
        <v>41</v>
      </c>
      <c r="E2073" t="s">
        <v>37</v>
      </c>
      <c r="F2073" t="s">
        <v>46</v>
      </c>
      <c r="G2073" t="s">
        <v>39</v>
      </c>
      <c r="H2073">
        <v>60000</v>
      </c>
      <c r="I2073">
        <v>3</v>
      </c>
      <c r="J2073" t="s">
        <v>65</v>
      </c>
      <c r="K2073">
        <f t="shared" si="32"/>
        <v>48000</v>
      </c>
    </row>
    <row r="2074" spans="1:11">
      <c r="A2074" t="s">
        <v>133</v>
      </c>
      <c r="B2074" t="s">
        <v>44</v>
      </c>
      <c r="C2074" t="s">
        <v>45</v>
      </c>
      <c r="D2074" t="s">
        <v>29</v>
      </c>
      <c r="E2074" t="s">
        <v>37</v>
      </c>
      <c r="F2074" t="s">
        <v>38</v>
      </c>
      <c r="G2074" t="s">
        <v>39</v>
      </c>
      <c r="H2074">
        <v>30000</v>
      </c>
      <c r="I2074">
        <v>4</v>
      </c>
      <c r="J2074" t="s">
        <v>42</v>
      </c>
      <c r="K2074">
        <f t="shared" si="32"/>
        <v>24000</v>
      </c>
    </row>
    <row r="2075" spans="1:11">
      <c r="A2075" t="s">
        <v>162</v>
      </c>
      <c r="B2075" t="s">
        <v>35</v>
      </c>
      <c r="C2075" t="s">
        <v>28</v>
      </c>
      <c r="D2075" t="s">
        <v>41</v>
      </c>
      <c r="E2075" t="s">
        <v>37</v>
      </c>
      <c r="F2075" t="s">
        <v>46</v>
      </c>
      <c r="G2075" t="s">
        <v>39</v>
      </c>
      <c r="H2075">
        <v>60000</v>
      </c>
      <c r="I2075">
        <v>4</v>
      </c>
      <c r="J2075" t="s">
        <v>65</v>
      </c>
      <c r="K2075">
        <f t="shared" si="32"/>
        <v>48000</v>
      </c>
    </row>
    <row r="2076" spans="1:11">
      <c r="A2076" t="s">
        <v>141</v>
      </c>
      <c r="B2076" t="s">
        <v>27</v>
      </c>
      <c r="C2076" t="s">
        <v>45</v>
      </c>
      <c r="D2076" t="s">
        <v>41</v>
      </c>
      <c r="E2076" t="s">
        <v>37</v>
      </c>
      <c r="F2076" t="s">
        <v>54</v>
      </c>
      <c r="G2076" t="s">
        <v>39</v>
      </c>
      <c r="H2076">
        <v>180000</v>
      </c>
      <c r="I2076">
        <v>5</v>
      </c>
      <c r="J2076" t="s">
        <v>47</v>
      </c>
      <c r="K2076">
        <f t="shared" si="32"/>
        <v>144000</v>
      </c>
    </row>
    <row r="2077" spans="1:11">
      <c r="A2077" t="s">
        <v>139</v>
      </c>
      <c r="B2077" t="s">
        <v>49</v>
      </c>
      <c r="C2077" t="s">
        <v>28</v>
      </c>
      <c r="D2077" t="s">
        <v>29</v>
      </c>
      <c r="E2077" t="s">
        <v>37</v>
      </c>
      <c r="F2077" t="s">
        <v>31</v>
      </c>
      <c r="G2077" t="s">
        <v>32</v>
      </c>
      <c r="H2077">
        <v>85000</v>
      </c>
      <c r="I2077">
        <v>9</v>
      </c>
      <c r="J2077" t="s">
        <v>42</v>
      </c>
      <c r="K2077">
        <f t="shared" si="32"/>
        <v>68000</v>
      </c>
    </row>
    <row r="2078" spans="1:11">
      <c r="A2078" t="s">
        <v>81</v>
      </c>
      <c r="B2078" t="s">
        <v>27</v>
      </c>
      <c r="C2078" t="s">
        <v>53</v>
      </c>
      <c r="D2078" t="s">
        <v>29</v>
      </c>
      <c r="E2078" t="s">
        <v>37</v>
      </c>
      <c r="F2078" t="s">
        <v>31</v>
      </c>
      <c r="G2078" t="s">
        <v>32</v>
      </c>
      <c r="H2078">
        <v>85000</v>
      </c>
      <c r="I2078">
        <v>9</v>
      </c>
      <c r="J2078" t="s">
        <v>65</v>
      </c>
      <c r="K2078">
        <f t="shared" si="32"/>
        <v>68000</v>
      </c>
    </row>
    <row r="2079" spans="1:11">
      <c r="A2079" t="s">
        <v>152</v>
      </c>
      <c r="B2079" t="s">
        <v>49</v>
      </c>
      <c r="C2079" t="s">
        <v>28</v>
      </c>
      <c r="D2079" t="s">
        <v>41</v>
      </c>
      <c r="E2079" t="s">
        <v>37</v>
      </c>
      <c r="F2079" t="s">
        <v>54</v>
      </c>
      <c r="G2079" t="s">
        <v>39</v>
      </c>
      <c r="H2079">
        <v>180000</v>
      </c>
      <c r="I2079">
        <v>8</v>
      </c>
      <c r="J2079" t="s">
        <v>69</v>
      </c>
      <c r="K2079">
        <f t="shared" si="32"/>
        <v>144000</v>
      </c>
    </row>
    <row r="2080" spans="1:11">
      <c r="A2080" t="s">
        <v>145</v>
      </c>
      <c r="B2080" t="s">
        <v>49</v>
      </c>
      <c r="C2080" t="s">
        <v>36</v>
      </c>
      <c r="D2080" t="s">
        <v>41</v>
      </c>
      <c r="E2080" t="s">
        <v>37</v>
      </c>
      <c r="F2080" t="s">
        <v>62</v>
      </c>
      <c r="G2080" t="s">
        <v>51</v>
      </c>
      <c r="H2080">
        <v>150000</v>
      </c>
      <c r="I2080">
        <v>2</v>
      </c>
      <c r="J2080" t="s">
        <v>69</v>
      </c>
      <c r="K2080">
        <f t="shared" si="32"/>
        <v>120000</v>
      </c>
    </row>
    <row r="2081" spans="1:11">
      <c r="A2081" t="s">
        <v>100</v>
      </c>
      <c r="B2081" t="s">
        <v>35</v>
      </c>
      <c r="C2081" t="s">
        <v>45</v>
      </c>
      <c r="D2081" t="s">
        <v>41</v>
      </c>
      <c r="E2081" t="s">
        <v>37</v>
      </c>
      <c r="F2081" t="s">
        <v>38</v>
      </c>
      <c r="G2081" t="s">
        <v>39</v>
      </c>
      <c r="H2081">
        <v>30000</v>
      </c>
      <c r="I2081">
        <v>3</v>
      </c>
      <c r="J2081" t="s">
        <v>33</v>
      </c>
      <c r="K2081">
        <f t="shared" si="32"/>
        <v>24000</v>
      </c>
    </row>
    <row r="2082" spans="1:11">
      <c r="A2082" t="s">
        <v>81</v>
      </c>
      <c r="B2082" t="s">
        <v>49</v>
      </c>
      <c r="C2082" t="s">
        <v>28</v>
      </c>
      <c r="D2082" t="s">
        <v>41</v>
      </c>
      <c r="E2082" t="s">
        <v>37</v>
      </c>
      <c r="F2082" t="s">
        <v>38</v>
      </c>
      <c r="G2082" t="s">
        <v>39</v>
      </c>
      <c r="H2082">
        <v>30000</v>
      </c>
      <c r="I2082">
        <v>5</v>
      </c>
      <c r="J2082" t="s">
        <v>42</v>
      </c>
      <c r="K2082">
        <f t="shared" si="32"/>
        <v>24000</v>
      </c>
    </row>
    <row r="2083" spans="1:11">
      <c r="A2083" t="s">
        <v>43</v>
      </c>
      <c r="B2083" t="s">
        <v>35</v>
      </c>
      <c r="C2083" t="s">
        <v>36</v>
      </c>
      <c r="D2083" t="s">
        <v>41</v>
      </c>
      <c r="E2083" t="s">
        <v>37</v>
      </c>
      <c r="F2083" t="s">
        <v>38</v>
      </c>
      <c r="G2083" t="s">
        <v>39</v>
      </c>
      <c r="H2083">
        <v>30000</v>
      </c>
      <c r="I2083">
        <v>7</v>
      </c>
      <c r="J2083" t="s">
        <v>69</v>
      </c>
      <c r="K2083">
        <f t="shared" si="32"/>
        <v>24000</v>
      </c>
    </row>
    <row r="2084" spans="1:11">
      <c r="A2084" t="s">
        <v>162</v>
      </c>
      <c r="B2084" t="s">
        <v>35</v>
      </c>
      <c r="C2084" t="s">
        <v>28</v>
      </c>
      <c r="D2084" t="s">
        <v>29</v>
      </c>
      <c r="E2084" t="s">
        <v>37</v>
      </c>
      <c r="F2084" t="s">
        <v>54</v>
      </c>
      <c r="G2084" t="s">
        <v>39</v>
      </c>
      <c r="H2084">
        <v>180000</v>
      </c>
      <c r="I2084">
        <v>4</v>
      </c>
      <c r="J2084" t="s">
        <v>33</v>
      </c>
      <c r="K2084">
        <f t="shared" si="32"/>
        <v>144000</v>
      </c>
    </row>
    <row r="2085" spans="1:11">
      <c r="A2085" t="s">
        <v>144</v>
      </c>
      <c r="B2085" t="s">
        <v>35</v>
      </c>
      <c r="C2085" t="s">
        <v>28</v>
      </c>
      <c r="D2085" t="s">
        <v>41</v>
      </c>
      <c r="E2085" t="s">
        <v>37</v>
      </c>
      <c r="F2085" t="s">
        <v>54</v>
      </c>
      <c r="G2085" t="s">
        <v>39</v>
      </c>
      <c r="H2085">
        <v>180000</v>
      </c>
      <c r="I2085">
        <v>1</v>
      </c>
      <c r="J2085" t="s">
        <v>58</v>
      </c>
      <c r="K2085">
        <f t="shared" si="32"/>
        <v>144000</v>
      </c>
    </row>
    <row r="2086" spans="1:11">
      <c r="A2086" t="s">
        <v>131</v>
      </c>
      <c r="B2086" t="s">
        <v>44</v>
      </c>
      <c r="C2086" t="s">
        <v>36</v>
      </c>
      <c r="D2086" t="s">
        <v>29</v>
      </c>
      <c r="E2086" t="s">
        <v>37</v>
      </c>
      <c r="F2086" t="s">
        <v>46</v>
      </c>
      <c r="G2086" t="s">
        <v>39</v>
      </c>
      <c r="H2086">
        <v>60000</v>
      </c>
      <c r="I2086">
        <v>10</v>
      </c>
      <c r="J2086" t="s">
        <v>65</v>
      </c>
      <c r="K2086">
        <f t="shared" si="32"/>
        <v>48000</v>
      </c>
    </row>
    <row r="2087" spans="1:11">
      <c r="A2087" t="s">
        <v>75</v>
      </c>
      <c r="B2087" t="s">
        <v>49</v>
      </c>
      <c r="C2087" t="s">
        <v>36</v>
      </c>
      <c r="D2087" t="s">
        <v>29</v>
      </c>
      <c r="E2087" t="s">
        <v>37</v>
      </c>
      <c r="F2087" t="s">
        <v>71</v>
      </c>
      <c r="G2087" t="s">
        <v>51</v>
      </c>
      <c r="H2087">
        <v>250000</v>
      </c>
      <c r="I2087">
        <v>8</v>
      </c>
      <c r="J2087" t="s">
        <v>47</v>
      </c>
      <c r="K2087">
        <f t="shared" si="32"/>
        <v>200000</v>
      </c>
    </row>
    <row r="2088" spans="1:11">
      <c r="A2088" t="s">
        <v>126</v>
      </c>
      <c r="B2088" t="s">
        <v>49</v>
      </c>
      <c r="C2088" t="s">
        <v>45</v>
      </c>
      <c r="D2088" t="s">
        <v>29</v>
      </c>
      <c r="E2088" t="s">
        <v>37</v>
      </c>
      <c r="F2088" t="s">
        <v>38</v>
      </c>
      <c r="G2088" t="s">
        <v>39</v>
      </c>
      <c r="H2088">
        <v>30000</v>
      </c>
      <c r="I2088">
        <v>8</v>
      </c>
      <c r="J2088" t="s">
        <v>65</v>
      </c>
      <c r="K2088">
        <f t="shared" si="32"/>
        <v>24000</v>
      </c>
    </row>
    <row r="2089" spans="1:11">
      <c r="A2089" t="s">
        <v>60</v>
      </c>
      <c r="B2089" t="s">
        <v>49</v>
      </c>
      <c r="C2089" t="s">
        <v>28</v>
      </c>
      <c r="D2089" t="s">
        <v>41</v>
      </c>
      <c r="E2089" t="s">
        <v>30</v>
      </c>
      <c r="F2089" t="s">
        <v>54</v>
      </c>
      <c r="G2089" t="s">
        <v>39</v>
      </c>
      <c r="H2089">
        <v>180000</v>
      </c>
      <c r="I2089">
        <v>4</v>
      </c>
      <c r="J2089" t="s">
        <v>47</v>
      </c>
      <c r="K2089">
        <f t="shared" si="32"/>
        <v>144000</v>
      </c>
    </row>
    <row r="2090" spans="1:11">
      <c r="A2090" t="s">
        <v>144</v>
      </c>
      <c r="B2090" t="s">
        <v>35</v>
      </c>
      <c r="C2090" t="s">
        <v>36</v>
      </c>
      <c r="D2090" t="s">
        <v>41</v>
      </c>
      <c r="E2090" t="s">
        <v>30</v>
      </c>
      <c r="F2090" t="s">
        <v>62</v>
      </c>
      <c r="G2090" t="s">
        <v>51</v>
      </c>
      <c r="H2090">
        <v>150000</v>
      </c>
      <c r="I2090">
        <v>1</v>
      </c>
      <c r="J2090" t="s">
        <v>47</v>
      </c>
      <c r="K2090">
        <f t="shared" si="32"/>
        <v>120000</v>
      </c>
    </row>
    <row r="2091" spans="1:11">
      <c r="A2091" t="s">
        <v>168</v>
      </c>
      <c r="B2091" t="s">
        <v>49</v>
      </c>
      <c r="C2091" t="s">
        <v>53</v>
      </c>
      <c r="D2091" t="s">
        <v>29</v>
      </c>
      <c r="E2091" t="s">
        <v>37</v>
      </c>
      <c r="F2091" t="s">
        <v>50</v>
      </c>
      <c r="G2091" t="s">
        <v>51</v>
      </c>
      <c r="H2091">
        <v>300000</v>
      </c>
      <c r="I2091">
        <v>3</v>
      </c>
      <c r="J2091" t="s">
        <v>33</v>
      </c>
      <c r="K2091">
        <f t="shared" si="32"/>
        <v>240000</v>
      </c>
    </row>
    <row r="2092" spans="1:11">
      <c r="A2092" t="s">
        <v>162</v>
      </c>
      <c r="B2092" t="s">
        <v>27</v>
      </c>
      <c r="C2092" t="s">
        <v>45</v>
      </c>
      <c r="D2092" t="s">
        <v>29</v>
      </c>
      <c r="E2092" t="s">
        <v>30</v>
      </c>
      <c r="F2092" t="s">
        <v>56</v>
      </c>
      <c r="G2092" t="s">
        <v>32</v>
      </c>
      <c r="H2092">
        <v>320000</v>
      </c>
      <c r="I2092">
        <v>5</v>
      </c>
      <c r="J2092" t="s">
        <v>33</v>
      </c>
      <c r="K2092">
        <f t="shared" si="32"/>
        <v>256000</v>
      </c>
    </row>
    <row r="2093" spans="1:11">
      <c r="A2093" t="s">
        <v>148</v>
      </c>
      <c r="B2093" t="s">
        <v>27</v>
      </c>
      <c r="C2093" t="s">
        <v>53</v>
      </c>
      <c r="D2093" t="s">
        <v>41</v>
      </c>
      <c r="E2093" t="s">
        <v>30</v>
      </c>
      <c r="F2093" t="s">
        <v>50</v>
      </c>
      <c r="G2093" t="s">
        <v>51</v>
      </c>
      <c r="H2093">
        <v>300000</v>
      </c>
      <c r="I2093">
        <v>1</v>
      </c>
      <c r="J2093" t="s">
        <v>42</v>
      </c>
      <c r="K2093">
        <f t="shared" si="32"/>
        <v>240000</v>
      </c>
    </row>
    <row r="2094" spans="1:11">
      <c r="A2094" t="s">
        <v>151</v>
      </c>
      <c r="B2094" t="s">
        <v>27</v>
      </c>
      <c r="C2094" t="s">
        <v>36</v>
      </c>
      <c r="D2094" t="s">
        <v>41</v>
      </c>
      <c r="E2094" t="s">
        <v>30</v>
      </c>
      <c r="F2094" t="s">
        <v>62</v>
      </c>
      <c r="G2094" t="s">
        <v>51</v>
      </c>
      <c r="H2094">
        <v>150000</v>
      </c>
      <c r="I2094">
        <v>4</v>
      </c>
      <c r="J2094" t="s">
        <v>47</v>
      </c>
      <c r="K2094">
        <f t="shared" si="32"/>
        <v>120000</v>
      </c>
    </row>
    <row r="2095" spans="1:11">
      <c r="A2095" t="s">
        <v>121</v>
      </c>
      <c r="B2095" t="s">
        <v>44</v>
      </c>
      <c r="C2095" t="s">
        <v>28</v>
      </c>
      <c r="D2095" t="s">
        <v>41</v>
      </c>
      <c r="E2095" t="s">
        <v>30</v>
      </c>
      <c r="F2095" t="s">
        <v>71</v>
      </c>
      <c r="G2095" t="s">
        <v>51</v>
      </c>
      <c r="H2095">
        <v>250000</v>
      </c>
      <c r="I2095">
        <v>2</v>
      </c>
      <c r="J2095" t="s">
        <v>58</v>
      </c>
      <c r="K2095">
        <f t="shared" si="32"/>
        <v>200000</v>
      </c>
    </row>
    <row r="2096" spans="1:11">
      <c r="A2096" t="s">
        <v>165</v>
      </c>
      <c r="B2096" t="s">
        <v>49</v>
      </c>
      <c r="C2096" t="s">
        <v>36</v>
      </c>
      <c r="D2096" t="s">
        <v>29</v>
      </c>
      <c r="E2096" t="s">
        <v>37</v>
      </c>
      <c r="F2096" t="s">
        <v>71</v>
      </c>
      <c r="G2096" t="s">
        <v>51</v>
      </c>
      <c r="H2096">
        <v>250000</v>
      </c>
      <c r="I2096">
        <v>10</v>
      </c>
      <c r="J2096" t="s">
        <v>65</v>
      </c>
      <c r="K2096">
        <f t="shared" si="32"/>
        <v>200000</v>
      </c>
    </row>
    <row r="2097" spans="1:11">
      <c r="A2097" t="s">
        <v>116</v>
      </c>
      <c r="B2097" t="s">
        <v>44</v>
      </c>
      <c r="C2097" t="s">
        <v>53</v>
      </c>
      <c r="D2097" t="s">
        <v>41</v>
      </c>
      <c r="E2097" t="s">
        <v>37</v>
      </c>
      <c r="F2097" t="s">
        <v>62</v>
      </c>
      <c r="G2097" t="s">
        <v>51</v>
      </c>
      <c r="H2097">
        <v>150000</v>
      </c>
      <c r="I2097">
        <v>2</v>
      </c>
      <c r="J2097" t="s">
        <v>33</v>
      </c>
      <c r="K2097">
        <f t="shared" si="32"/>
        <v>120000</v>
      </c>
    </row>
    <row r="2098" spans="1:11">
      <c r="A2098" t="s">
        <v>52</v>
      </c>
      <c r="B2098" t="s">
        <v>44</v>
      </c>
      <c r="C2098" t="s">
        <v>28</v>
      </c>
      <c r="D2098" t="s">
        <v>29</v>
      </c>
      <c r="E2098" t="s">
        <v>30</v>
      </c>
      <c r="F2098" t="s">
        <v>71</v>
      </c>
      <c r="G2098" t="s">
        <v>51</v>
      </c>
      <c r="H2098">
        <v>250000</v>
      </c>
      <c r="I2098">
        <v>9</v>
      </c>
      <c r="J2098" t="s">
        <v>58</v>
      </c>
      <c r="K2098">
        <f t="shared" si="32"/>
        <v>200000</v>
      </c>
    </row>
    <row r="2099" spans="1:11">
      <c r="A2099" t="s">
        <v>107</v>
      </c>
      <c r="B2099" t="s">
        <v>44</v>
      </c>
      <c r="C2099" t="s">
        <v>28</v>
      </c>
      <c r="D2099" t="s">
        <v>29</v>
      </c>
      <c r="E2099" t="s">
        <v>30</v>
      </c>
      <c r="F2099" t="s">
        <v>56</v>
      </c>
      <c r="G2099" t="s">
        <v>32</v>
      </c>
      <c r="H2099">
        <v>320000</v>
      </c>
      <c r="I2099">
        <v>4</v>
      </c>
      <c r="J2099" t="s">
        <v>42</v>
      </c>
      <c r="K2099">
        <f t="shared" si="32"/>
        <v>256000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099"/>
  <sheetViews>
    <sheetView workbookViewId="0">
      <selection activeCell="F2" sqref="F2"/>
    </sheetView>
  </sheetViews>
  <sheetFormatPr defaultColWidth="9" defaultRowHeight="15"/>
  <cols>
    <col min="1" max="2" width="11" style="7" customWidth="1"/>
    <col min="3" max="3" width="10.28515625" customWidth="1"/>
    <col min="4" max="4" width="12.28515625" customWidth="1"/>
    <col min="5" max="5" width="14.7109375" customWidth="1"/>
    <col min="6" max="6" width="13.28515625" customWidth="1"/>
    <col min="7" max="7" width="16.42578125" customWidth="1"/>
    <col min="8" max="8" width="16" customWidth="1"/>
    <col min="9" max="9" width="11.85546875" style="9" customWidth="1"/>
    <col min="10" max="10" width="11" customWidth="1"/>
    <col min="11" max="11" width="13.140625" customWidth="1"/>
    <col min="12" max="12" width="11.5703125" style="9" bestFit="1" customWidth="1"/>
    <col min="13" max="13" width="15.5703125" style="9" customWidth="1"/>
    <col min="14" max="14" width="14.140625" style="9" customWidth="1"/>
    <col min="15" max="15" width="11.85546875" style="9" customWidth="1"/>
    <col min="16" max="16" width="13.7109375" customWidth="1"/>
  </cols>
  <sheetData>
    <row r="1" spans="1:16">
      <c r="A1" s="7" t="s">
        <v>15</v>
      </c>
      <c r="B1" s="8" t="s">
        <v>188</v>
      </c>
      <c r="C1" s="12" t="s">
        <v>195</v>
      </c>
      <c r="D1" t="s">
        <v>17</v>
      </c>
      <c r="E1" t="s">
        <v>18</v>
      </c>
      <c r="F1" s="12" t="s">
        <v>197</v>
      </c>
      <c r="G1" t="s">
        <v>20</v>
      </c>
      <c r="H1" s="12" t="s">
        <v>194</v>
      </c>
      <c r="I1" s="9" t="s">
        <v>22</v>
      </c>
      <c r="J1" t="s">
        <v>23</v>
      </c>
      <c r="K1" s="12" t="s">
        <v>196</v>
      </c>
      <c r="L1" s="9" t="s">
        <v>25</v>
      </c>
      <c r="M1" s="10" t="s">
        <v>178</v>
      </c>
      <c r="N1" s="10" t="s">
        <v>179</v>
      </c>
      <c r="O1" s="10" t="s">
        <v>180</v>
      </c>
      <c r="P1" s="5" t="s">
        <v>181</v>
      </c>
    </row>
    <row r="2" spans="1:16">
      <c r="A2" s="7" t="s">
        <v>26</v>
      </c>
      <c r="B2" s="7" t="str">
        <f>TEXT(Table1[[#This Row],[Date]],"MMM")</f>
        <v>Jan</v>
      </c>
      <c r="C2" t="s">
        <v>27</v>
      </c>
      <c r="D2" t="s">
        <v>28</v>
      </c>
      <c r="E2" t="s">
        <v>29</v>
      </c>
      <c r="F2" t="s">
        <v>30</v>
      </c>
      <c r="G2" t="s">
        <v>31</v>
      </c>
      <c r="H2" t="s">
        <v>32</v>
      </c>
      <c r="I2" s="9">
        <v>85000</v>
      </c>
      <c r="J2">
        <v>1</v>
      </c>
      <c r="K2" t="s">
        <v>33</v>
      </c>
      <c r="L2" s="9">
        <f t="shared" ref="L2:L65" si="0">I2-I2*0.2</f>
        <v>68000</v>
      </c>
      <c r="M2" s="9">
        <f>Table1[[#This Row],[Unit Price]]*Table1[[#This Row],[Quantity]]</f>
        <v>85000</v>
      </c>
      <c r="N2" s="9">
        <f>Table1[[#This Row],[Cost Price]]*Table1[[#This Row],[Quantity]]</f>
        <v>68000</v>
      </c>
      <c r="O2" s="9">
        <f>Table1[[#This Row],[Revenue]]-Table1[[#This Row],[COGS]]</f>
        <v>17000</v>
      </c>
      <c r="P2" s="6">
        <v>1</v>
      </c>
    </row>
    <row r="3" spans="1:16">
      <c r="A3" s="7" t="s">
        <v>34</v>
      </c>
      <c r="B3" s="7" t="str">
        <f>TEXT(Table1[[#This Row],[Date]],"MMM")</f>
        <v>Apr</v>
      </c>
      <c r="C3" t="s">
        <v>35</v>
      </c>
      <c r="D3" t="s">
        <v>36</v>
      </c>
      <c r="E3" t="s">
        <v>29</v>
      </c>
      <c r="F3" t="s">
        <v>37</v>
      </c>
      <c r="G3" t="s">
        <v>38</v>
      </c>
      <c r="H3" t="s">
        <v>39</v>
      </c>
      <c r="I3" s="9">
        <v>30000</v>
      </c>
      <c r="J3">
        <v>8</v>
      </c>
      <c r="K3" t="s">
        <v>33</v>
      </c>
      <c r="L3" s="9">
        <f t="shared" si="0"/>
        <v>24000</v>
      </c>
      <c r="M3" s="9">
        <f>Table1[[#This Row],[Unit Price]]*Table1[[#This Row],[Quantity]]</f>
        <v>240000</v>
      </c>
      <c r="N3" s="9">
        <f>Table1[[#This Row],[Cost Price]]*Table1[[#This Row],[Quantity]]</f>
        <v>192000</v>
      </c>
      <c r="O3" s="9">
        <f>Table1[[#This Row],[Revenue]]-Table1[[#This Row],[COGS]]</f>
        <v>48000</v>
      </c>
      <c r="P3" s="6">
        <v>2</v>
      </c>
    </row>
    <row r="4" spans="1:16">
      <c r="A4" s="7" t="s">
        <v>40</v>
      </c>
      <c r="B4" s="7" t="str">
        <f>TEXT(Table1[[#This Row],[Date]],"MMM")</f>
        <v>Feb</v>
      </c>
      <c r="C4" t="s">
        <v>35</v>
      </c>
      <c r="D4" t="s">
        <v>28</v>
      </c>
      <c r="E4" t="s">
        <v>41</v>
      </c>
      <c r="F4" t="s">
        <v>30</v>
      </c>
      <c r="G4" t="s">
        <v>31</v>
      </c>
      <c r="H4" t="s">
        <v>32</v>
      </c>
      <c r="I4" s="9">
        <v>85000</v>
      </c>
      <c r="J4">
        <v>2</v>
      </c>
      <c r="K4" t="s">
        <v>42</v>
      </c>
      <c r="L4" s="9">
        <f t="shared" si="0"/>
        <v>68000</v>
      </c>
      <c r="M4" s="9">
        <f>Table1[[#This Row],[Unit Price]]*Table1[[#This Row],[Quantity]]</f>
        <v>170000</v>
      </c>
      <c r="N4" s="9">
        <f>Table1[[#This Row],[Cost Price]]*Table1[[#This Row],[Quantity]]</f>
        <v>136000</v>
      </c>
      <c r="O4" s="9">
        <f>Table1[[#This Row],[Revenue]]-Table1[[#This Row],[COGS]]</f>
        <v>34000</v>
      </c>
      <c r="P4" s="6">
        <v>3</v>
      </c>
    </row>
    <row r="5" spans="1:16">
      <c r="A5" s="7" t="s">
        <v>43</v>
      </c>
      <c r="B5" s="7" t="str">
        <f>TEXT(Table1[[#This Row],[Date]],"MMM")</f>
        <v>Apr</v>
      </c>
      <c r="C5" t="s">
        <v>44</v>
      </c>
      <c r="D5" t="s">
        <v>45</v>
      </c>
      <c r="E5" t="s">
        <v>29</v>
      </c>
      <c r="F5" t="s">
        <v>30</v>
      </c>
      <c r="G5" t="s">
        <v>46</v>
      </c>
      <c r="H5" t="s">
        <v>39</v>
      </c>
      <c r="I5" s="9">
        <v>60000</v>
      </c>
      <c r="J5">
        <v>2</v>
      </c>
      <c r="K5" t="s">
        <v>47</v>
      </c>
      <c r="L5" s="9">
        <f t="shared" si="0"/>
        <v>48000</v>
      </c>
      <c r="M5" s="9">
        <f>Table1[[#This Row],[Unit Price]]*Table1[[#This Row],[Quantity]]</f>
        <v>120000</v>
      </c>
      <c r="N5" s="9">
        <f>Table1[[#This Row],[Cost Price]]*Table1[[#This Row],[Quantity]]</f>
        <v>96000</v>
      </c>
      <c r="O5" s="9">
        <f>Table1[[#This Row],[Revenue]]-Table1[[#This Row],[COGS]]</f>
        <v>24000</v>
      </c>
      <c r="P5" s="6">
        <v>4</v>
      </c>
    </row>
    <row r="6" spans="1:16">
      <c r="A6" s="7" t="s">
        <v>48</v>
      </c>
      <c r="B6" s="7" t="str">
        <f>TEXT(Table1[[#This Row],[Date]],"MMM")</f>
        <v>Apr</v>
      </c>
      <c r="C6" t="s">
        <v>49</v>
      </c>
      <c r="D6" t="s">
        <v>45</v>
      </c>
      <c r="E6" t="s">
        <v>41</v>
      </c>
      <c r="F6" t="s">
        <v>30</v>
      </c>
      <c r="G6" t="s">
        <v>50</v>
      </c>
      <c r="H6" t="s">
        <v>51</v>
      </c>
      <c r="I6" s="9">
        <v>300000</v>
      </c>
      <c r="J6">
        <v>2</v>
      </c>
      <c r="K6" t="s">
        <v>33</v>
      </c>
      <c r="L6" s="9">
        <f t="shared" si="0"/>
        <v>240000</v>
      </c>
      <c r="M6" s="9">
        <f>Table1[[#This Row],[Unit Price]]*Table1[[#This Row],[Quantity]]</f>
        <v>600000</v>
      </c>
      <c r="N6" s="9">
        <f>Table1[[#This Row],[Cost Price]]*Table1[[#This Row],[Quantity]]</f>
        <v>480000</v>
      </c>
      <c r="O6" s="9">
        <f>Table1[[#This Row],[Revenue]]-Table1[[#This Row],[COGS]]</f>
        <v>120000</v>
      </c>
      <c r="P6" s="6">
        <v>5</v>
      </c>
    </row>
    <row r="7" spans="1:16">
      <c r="A7" s="7" t="s">
        <v>52</v>
      </c>
      <c r="B7" s="7" t="str">
        <f>TEXT(Table1[[#This Row],[Date]],"MMM")</f>
        <v>Mar</v>
      </c>
      <c r="C7" t="s">
        <v>44</v>
      </c>
      <c r="D7" t="s">
        <v>53</v>
      </c>
      <c r="E7" t="s">
        <v>29</v>
      </c>
      <c r="F7" t="s">
        <v>30</v>
      </c>
      <c r="G7" t="s">
        <v>54</v>
      </c>
      <c r="H7" t="s">
        <v>39</v>
      </c>
      <c r="I7" s="9">
        <v>180000</v>
      </c>
      <c r="J7">
        <v>10</v>
      </c>
      <c r="K7" t="s">
        <v>33</v>
      </c>
      <c r="L7" s="9">
        <f t="shared" si="0"/>
        <v>144000</v>
      </c>
      <c r="M7" s="9">
        <f>Table1[[#This Row],[Unit Price]]*Table1[[#This Row],[Quantity]]</f>
        <v>1800000</v>
      </c>
      <c r="N7" s="9">
        <f>Table1[[#This Row],[Cost Price]]*Table1[[#This Row],[Quantity]]</f>
        <v>1440000</v>
      </c>
      <c r="O7" s="9">
        <f>Table1[[#This Row],[Revenue]]-Table1[[#This Row],[COGS]]</f>
        <v>360000</v>
      </c>
      <c r="P7" s="6">
        <v>6</v>
      </c>
    </row>
    <row r="8" spans="1:16">
      <c r="A8" s="7" t="s">
        <v>55</v>
      </c>
      <c r="B8" s="7" t="str">
        <f>TEXT(Table1[[#This Row],[Date]],"MMM")</f>
        <v>Mar</v>
      </c>
      <c r="C8" t="s">
        <v>44</v>
      </c>
      <c r="D8" t="s">
        <v>53</v>
      </c>
      <c r="E8" t="s">
        <v>41</v>
      </c>
      <c r="F8" t="s">
        <v>30</v>
      </c>
      <c r="G8" t="s">
        <v>56</v>
      </c>
      <c r="H8" t="s">
        <v>32</v>
      </c>
      <c r="I8" s="9">
        <v>320000</v>
      </c>
      <c r="J8">
        <v>4</v>
      </c>
      <c r="K8" t="s">
        <v>47</v>
      </c>
      <c r="L8" s="9">
        <f t="shared" si="0"/>
        <v>256000</v>
      </c>
      <c r="M8" s="9">
        <f>Table1[[#This Row],[Unit Price]]*Table1[[#This Row],[Quantity]]</f>
        <v>1280000</v>
      </c>
      <c r="N8" s="9">
        <f>Table1[[#This Row],[Cost Price]]*Table1[[#This Row],[Quantity]]</f>
        <v>1024000</v>
      </c>
      <c r="O8" s="9">
        <f>Table1[[#This Row],[Revenue]]-Table1[[#This Row],[COGS]]</f>
        <v>256000</v>
      </c>
      <c r="P8" s="6">
        <v>7</v>
      </c>
    </row>
    <row r="9" spans="1:16">
      <c r="A9" s="7" t="s">
        <v>57</v>
      </c>
      <c r="B9" s="7" t="str">
        <f>TEXT(Table1[[#This Row],[Date]],"MMM")</f>
        <v>Feb</v>
      </c>
      <c r="C9" t="s">
        <v>44</v>
      </c>
      <c r="D9" t="s">
        <v>45</v>
      </c>
      <c r="E9" t="s">
        <v>29</v>
      </c>
      <c r="F9" t="s">
        <v>30</v>
      </c>
      <c r="G9" t="s">
        <v>56</v>
      </c>
      <c r="H9" t="s">
        <v>32</v>
      </c>
      <c r="I9" s="9">
        <v>320000</v>
      </c>
      <c r="J9">
        <v>1</v>
      </c>
      <c r="K9" t="s">
        <v>58</v>
      </c>
      <c r="L9" s="9">
        <f t="shared" si="0"/>
        <v>256000</v>
      </c>
      <c r="M9" s="9">
        <f>Table1[[#This Row],[Unit Price]]*Table1[[#This Row],[Quantity]]</f>
        <v>320000</v>
      </c>
      <c r="N9" s="9">
        <f>Table1[[#This Row],[Cost Price]]*Table1[[#This Row],[Quantity]]</f>
        <v>256000</v>
      </c>
      <c r="O9" s="9">
        <f>Table1[[#This Row],[Revenue]]-Table1[[#This Row],[COGS]]</f>
        <v>64000</v>
      </c>
      <c r="P9" s="6">
        <v>8</v>
      </c>
    </row>
    <row r="10" spans="1:16">
      <c r="A10" s="7" t="s">
        <v>59</v>
      </c>
      <c r="B10" s="7" t="str">
        <f>TEXT(Table1[[#This Row],[Date]],"MMM")</f>
        <v>Mar</v>
      </c>
      <c r="C10" t="s">
        <v>35</v>
      </c>
      <c r="D10" t="s">
        <v>36</v>
      </c>
      <c r="E10" t="s">
        <v>29</v>
      </c>
      <c r="F10" t="s">
        <v>37</v>
      </c>
      <c r="G10" t="s">
        <v>56</v>
      </c>
      <c r="H10" t="s">
        <v>32</v>
      </c>
      <c r="I10" s="9">
        <v>320000</v>
      </c>
      <c r="J10">
        <v>9</v>
      </c>
      <c r="K10" t="s">
        <v>47</v>
      </c>
      <c r="L10" s="9">
        <f t="shared" si="0"/>
        <v>256000</v>
      </c>
      <c r="M10" s="9">
        <f>Table1[[#This Row],[Unit Price]]*Table1[[#This Row],[Quantity]]</f>
        <v>2880000</v>
      </c>
      <c r="N10" s="9">
        <f>Table1[[#This Row],[Cost Price]]*Table1[[#This Row],[Quantity]]</f>
        <v>2304000</v>
      </c>
      <c r="O10" s="9">
        <f>Table1[[#This Row],[Revenue]]-Table1[[#This Row],[COGS]]</f>
        <v>576000</v>
      </c>
      <c r="P10" s="6">
        <v>9</v>
      </c>
    </row>
    <row r="11" spans="1:16">
      <c r="A11" s="7" t="s">
        <v>60</v>
      </c>
      <c r="B11" s="7" t="str">
        <f>TEXT(Table1[[#This Row],[Date]],"MMM")</f>
        <v>Mar</v>
      </c>
      <c r="C11" t="s">
        <v>44</v>
      </c>
      <c r="D11" t="s">
        <v>36</v>
      </c>
      <c r="E11" t="s">
        <v>29</v>
      </c>
      <c r="F11" t="s">
        <v>30</v>
      </c>
      <c r="G11" t="s">
        <v>56</v>
      </c>
      <c r="H11" t="s">
        <v>32</v>
      </c>
      <c r="I11" s="9">
        <v>320000</v>
      </c>
      <c r="J11">
        <v>3</v>
      </c>
      <c r="K11" t="s">
        <v>47</v>
      </c>
      <c r="L11" s="9">
        <f t="shared" si="0"/>
        <v>256000</v>
      </c>
      <c r="M11" s="9">
        <f>Table1[[#This Row],[Unit Price]]*Table1[[#This Row],[Quantity]]</f>
        <v>960000</v>
      </c>
      <c r="N11" s="9">
        <f>Table1[[#This Row],[Cost Price]]*Table1[[#This Row],[Quantity]]</f>
        <v>768000</v>
      </c>
      <c r="O11" s="9">
        <f>Table1[[#This Row],[Revenue]]-Table1[[#This Row],[COGS]]</f>
        <v>192000</v>
      </c>
      <c r="P11" s="6">
        <v>10</v>
      </c>
    </row>
    <row r="12" spans="1:16">
      <c r="A12" s="7" t="s">
        <v>61</v>
      </c>
      <c r="B12" s="7" t="str">
        <f>TEXT(Table1[[#This Row],[Date]],"MMM")</f>
        <v>Jan</v>
      </c>
      <c r="C12" t="s">
        <v>44</v>
      </c>
      <c r="D12" t="s">
        <v>28</v>
      </c>
      <c r="E12" t="s">
        <v>29</v>
      </c>
      <c r="F12" t="s">
        <v>30</v>
      </c>
      <c r="G12" t="s">
        <v>62</v>
      </c>
      <c r="H12" t="s">
        <v>51</v>
      </c>
      <c r="I12" s="9">
        <v>150000</v>
      </c>
      <c r="J12">
        <v>4</v>
      </c>
      <c r="K12" t="s">
        <v>58</v>
      </c>
      <c r="L12" s="9">
        <f t="shared" si="0"/>
        <v>120000</v>
      </c>
      <c r="M12" s="9">
        <f>Table1[[#This Row],[Unit Price]]*Table1[[#This Row],[Quantity]]</f>
        <v>600000</v>
      </c>
      <c r="N12" s="9">
        <f>Table1[[#This Row],[Cost Price]]*Table1[[#This Row],[Quantity]]</f>
        <v>480000</v>
      </c>
      <c r="O12" s="9">
        <f>Table1[[#This Row],[Revenue]]-Table1[[#This Row],[COGS]]</f>
        <v>120000</v>
      </c>
      <c r="P12" s="6">
        <v>11</v>
      </c>
    </row>
    <row r="13" spans="1:16">
      <c r="A13" s="7" t="s">
        <v>63</v>
      </c>
      <c r="B13" s="7" t="str">
        <f>TEXT(Table1[[#This Row],[Date]],"MMM")</f>
        <v>Jan</v>
      </c>
      <c r="C13" t="s">
        <v>27</v>
      </c>
      <c r="D13" t="s">
        <v>45</v>
      </c>
      <c r="E13" t="s">
        <v>41</v>
      </c>
      <c r="F13" t="s">
        <v>30</v>
      </c>
      <c r="G13" t="s">
        <v>56</v>
      </c>
      <c r="H13" t="s">
        <v>32</v>
      </c>
      <c r="I13" s="9">
        <v>320000</v>
      </c>
      <c r="J13">
        <v>7</v>
      </c>
      <c r="K13" t="s">
        <v>58</v>
      </c>
      <c r="L13" s="9">
        <f t="shared" si="0"/>
        <v>256000</v>
      </c>
      <c r="M13" s="9">
        <f>Table1[[#This Row],[Unit Price]]*Table1[[#This Row],[Quantity]]</f>
        <v>2240000</v>
      </c>
      <c r="N13" s="9">
        <f>Table1[[#This Row],[Cost Price]]*Table1[[#This Row],[Quantity]]</f>
        <v>1792000</v>
      </c>
      <c r="O13" s="9">
        <f>Table1[[#This Row],[Revenue]]-Table1[[#This Row],[COGS]]</f>
        <v>448000</v>
      </c>
      <c r="P13" s="6">
        <v>12</v>
      </c>
    </row>
    <row r="14" spans="1:16">
      <c r="A14" s="7" t="s">
        <v>64</v>
      </c>
      <c r="B14" s="7" t="str">
        <f>TEXT(Table1[[#This Row],[Date]],"MMM")</f>
        <v>Apr</v>
      </c>
      <c r="C14" t="s">
        <v>44</v>
      </c>
      <c r="D14" t="s">
        <v>28</v>
      </c>
      <c r="E14" t="s">
        <v>29</v>
      </c>
      <c r="F14" t="s">
        <v>37</v>
      </c>
      <c r="G14" t="s">
        <v>62</v>
      </c>
      <c r="H14" t="s">
        <v>51</v>
      </c>
      <c r="I14" s="9">
        <v>150000</v>
      </c>
      <c r="J14">
        <v>2</v>
      </c>
      <c r="K14" t="s">
        <v>65</v>
      </c>
      <c r="L14" s="9">
        <f t="shared" si="0"/>
        <v>120000</v>
      </c>
      <c r="M14" s="9">
        <f>Table1[[#This Row],[Unit Price]]*Table1[[#This Row],[Quantity]]</f>
        <v>300000</v>
      </c>
      <c r="N14" s="9">
        <f>Table1[[#This Row],[Cost Price]]*Table1[[#This Row],[Quantity]]</f>
        <v>240000</v>
      </c>
      <c r="O14" s="9">
        <f>Table1[[#This Row],[Revenue]]-Table1[[#This Row],[COGS]]</f>
        <v>60000</v>
      </c>
      <c r="P14" s="6">
        <v>13</v>
      </c>
    </row>
    <row r="15" spans="1:16">
      <c r="A15" s="7" t="s">
        <v>66</v>
      </c>
      <c r="B15" s="7" t="str">
        <f>TEXT(Table1[[#This Row],[Date]],"MMM")</f>
        <v>Mar</v>
      </c>
      <c r="C15" t="s">
        <v>27</v>
      </c>
      <c r="D15" t="s">
        <v>36</v>
      </c>
      <c r="E15" t="s">
        <v>29</v>
      </c>
      <c r="F15" t="s">
        <v>30</v>
      </c>
      <c r="G15" t="s">
        <v>67</v>
      </c>
      <c r="H15" t="s">
        <v>51</v>
      </c>
      <c r="I15" s="9">
        <v>420000</v>
      </c>
      <c r="J15">
        <v>9</v>
      </c>
      <c r="K15" t="s">
        <v>47</v>
      </c>
      <c r="L15" s="9">
        <f t="shared" si="0"/>
        <v>336000</v>
      </c>
      <c r="M15" s="9">
        <f>Table1[[#This Row],[Unit Price]]*Table1[[#This Row],[Quantity]]</f>
        <v>3780000</v>
      </c>
      <c r="N15" s="9">
        <f>Table1[[#This Row],[Cost Price]]*Table1[[#This Row],[Quantity]]</f>
        <v>3024000</v>
      </c>
      <c r="O15" s="9">
        <f>Table1[[#This Row],[Revenue]]-Table1[[#This Row],[COGS]]</f>
        <v>756000</v>
      </c>
      <c r="P15" s="6">
        <v>14</v>
      </c>
    </row>
    <row r="16" spans="1:16">
      <c r="A16" s="7" t="s">
        <v>68</v>
      </c>
      <c r="B16" s="7" t="str">
        <f>TEXT(Table1[[#This Row],[Date]],"MMM")</f>
        <v>Mar</v>
      </c>
      <c r="C16" t="s">
        <v>49</v>
      </c>
      <c r="D16" t="s">
        <v>36</v>
      </c>
      <c r="E16" t="s">
        <v>29</v>
      </c>
      <c r="F16" t="s">
        <v>30</v>
      </c>
      <c r="G16" t="s">
        <v>67</v>
      </c>
      <c r="H16" t="s">
        <v>51</v>
      </c>
      <c r="I16" s="9">
        <v>420000</v>
      </c>
      <c r="J16">
        <v>5</v>
      </c>
      <c r="K16" t="s">
        <v>69</v>
      </c>
      <c r="L16" s="9">
        <f t="shared" si="0"/>
        <v>336000</v>
      </c>
      <c r="M16" s="9">
        <f>Table1[[#This Row],[Unit Price]]*Table1[[#This Row],[Quantity]]</f>
        <v>2100000</v>
      </c>
      <c r="N16" s="9">
        <f>Table1[[#This Row],[Cost Price]]*Table1[[#This Row],[Quantity]]</f>
        <v>1680000</v>
      </c>
      <c r="O16" s="9">
        <f>Table1[[#This Row],[Revenue]]-Table1[[#This Row],[COGS]]</f>
        <v>420000</v>
      </c>
      <c r="P16" s="6">
        <v>15</v>
      </c>
    </row>
    <row r="17" spans="1:16">
      <c r="A17" s="7" t="s">
        <v>70</v>
      </c>
      <c r="B17" s="7" t="str">
        <f>TEXT(Table1[[#This Row],[Date]],"MMM")</f>
        <v>Apr</v>
      </c>
      <c r="C17" t="s">
        <v>27</v>
      </c>
      <c r="D17" t="s">
        <v>45</v>
      </c>
      <c r="E17" t="s">
        <v>41</v>
      </c>
      <c r="F17" t="s">
        <v>37</v>
      </c>
      <c r="G17" t="s">
        <v>71</v>
      </c>
      <c r="H17" t="s">
        <v>51</v>
      </c>
      <c r="I17" s="9">
        <v>250000</v>
      </c>
      <c r="J17">
        <v>4</v>
      </c>
      <c r="K17" t="s">
        <v>58</v>
      </c>
      <c r="L17" s="9">
        <f t="shared" si="0"/>
        <v>200000</v>
      </c>
      <c r="M17" s="9">
        <f>Table1[[#This Row],[Unit Price]]*Table1[[#This Row],[Quantity]]</f>
        <v>1000000</v>
      </c>
      <c r="N17" s="9">
        <f>Table1[[#This Row],[Cost Price]]*Table1[[#This Row],[Quantity]]</f>
        <v>800000</v>
      </c>
      <c r="O17" s="9">
        <f>Table1[[#This Row],[Revenue]]-Table1[[#This Row],[COGS]]</f>
        <v>200000</v>
      </c>
      <c r="P17" s="6">
        <v>16</v>
      </c>
    </row>
    <row r="18" spans="1:16">
      <c r="A18" s="7" t="s">
        <v>72</v>
      </c>
      <c r="B18" s="7" t="str">
        <f>TEXT(Table1[[#This Row],[Date]],"MMM")</f>
        <v>Feb</v>
      </c>
      <c r="C18" t="s">
        <v>27</v>
      </c>
      <c r="D18" t="s">
        <v>36</v>
      </c>
      <c r="E18" t="s">
        <v>29</v>
      </c>
      <c r="F18" t="s">
        <v>30</v>
      </c>
      <c r="G18" t="s">
        <v>73</v>
      </c>
      <c r="H18" t="s">
        <v>39</v>
      </c>
      <c r="I18" s="9">
        <v>220000</v>
      </c>
      <c r="J18">
        <v>2</v>
      </c>
      <c r="K18" t="s">
        <v>58</v>
      </c>
      <c r="L18" s="9">
        <f t="shared" si="0"/>
        <v>176000</v>
      </c>
      <c r="M18" s="9">
        <f>Table1[[#This Row],[Unit Price]]*Table1[[#This Row],[Quantity]]</f>
        <v>440000</v>
      </c>
      <c r="N18" s="9">
        <f>Table1[[#This Row],[Cost Price]]*Table1[[#This Row],[Quantity]]</f>
        <v>352000</v>
      </c>
      <c r="O18" s="9">
        <f>Table1[[#This Row],[Revenue]]-Table1[[#This Row],[COGS]]</f>
        <v>88000</v>
      </c>
      <c r="P18" s="6">
        <v>17</v>
      </c>
    </row>
    <row r="19" spans="1:16">
      <c r="A19" s="7" t="s">
        <v>74</v>
      </c>
      <c r="B19" s="7" t="str">
        <f>TEXT(Table1[[#This Row],[Date]],"MMM")</f>
        <v>Feb</v>
      </c>
      <c r="C19" t="s">
        <v>35</v>
      </c>
      <c r="D19" t="s">
        <v>45</v>
      </c>
      <c r="E19" t="s">
        <v>29</v>
      </c>
      <c r="F19" t="s">
        <v>37</v>
      </c>
      <c r="G19" t="s">
        <v>62</v>
      </c>
      <c r="H19" t="s">
        <v>51</v>
      </c>
      <c r="I19" s="9">
        <v>150000</v>
      </c>
      <c r="J19">
        <v>7</v>
      </c>
      <c r="K19" t="s">
        <v>47</v>
      </c>
      <c r="L19" s="9">
        <f t="shared" si="0"/>
        <v>120000</v>
      </c>
      <c r="M19" s="9">
        <f>Table1[[#This Row],[Unit Price]]*Table1[[#This Row],[Quantity]]</f>
        <v>1050000</v>
      </c>
      <c r="N19" s="9">
        <f>Table1[[#This Row],[Cost Price]]*Table1[[#This Row],[Quantity]]</f>
        <v>840000</v>
      </c>
      <c r="O19" s="9">
        <f>Table1[[#This Row],[Revenue]]-Table1[[#This Row],[COGS]]</f>
        <v>210000</v>
      </c>
      <c r="P19" s="6">
        <v>18</v>
      </c>
    </row>
    <row r="20" spans="1:16">
      <c r="A20" s="7" t="s">
        <v>75</v>
      </c>
      <c r="B20" s="7" t="str">
        <f>TEXT(Table1[[#This Row],[Date]],"MMM")</f>
        <v>Mar</v>
      </c>
      <c r="C20" t="s">
        <v>44</v>
      </c>
      <c r="D20" t="s">
        <v>53</v>
      </c>
      <c r="E20" t="s">
        <v>41</v>
      </c>
      <c r="F20" t="s">
        <v>37</v>
      </c>
      <c r="G20" t="s">
        <v>50</v>
      </c>
      <c r="H20" t="s">
        <v>51</v>
      </c>
      <c r="I20" s="9">
        <v>300000</v>
      </c>
      <c r="J20">
        <v>5</v>
      </c>
      <c r="K20" t="s">
        <v>58</v>
      </c>
      <c r="L20" s="9">
        <f t="shared" si="0"/>
        <v>240000</v>
      </c>
      <c r="M20" s="9">
        <f>Table1[[#This Row],[Unit Price]]*Table1[[#This Row],[Quantity]]</f>
        <v>1500000</v>
      </c>
      <c r="N20" s="9">
        <f>Table1[[#This Row],[Cost Price]]*Table1[[#This Row],[Quantity]]</f>
        <v>1200000</v>
      </c>
      <c r="O20" s="9">
        <f>Table1[[#This Row],[Revenue]]-Table1[[#This Row],[COGS]]</f>
        <v>300000</v>
      </c>
      <c r="P20" s="6">
        <v>19</v>
      </c>
    </row>
    <row r="21" spans="1:16">
      <c r="A21" s="7" t="s">
        <v>74</v>
      </c>
      <c r="B21" s="7" t="str">
        <f>TEXT(Table1[[#This Row],[Date]],"MMM")</f>
        <v>Feb</v>
      </c>
      <c r="C21" t="s">
        <v>49</v>
      </c>
      <c r="D21" t="s">
        <v>45</v>
      </c>
      <c r="E21" t="s">
        <v>29</v>
      </c>
      <c r="F21" t="s">
        <v>30</v>
      </c>
      <c r="G21" t="s">
        <v>62</v>
      </c>
      <c r="H21" t="s">
        <v>51</v>
      </c>
      <c r="I21" s="9">
        <v>150000</v>
      </c>
      <c r="J21">
        <v>4</v>
      </c>
      <c r="K21" t="s">
        <v>58</v>
      </c>
      <c r="L21" s="9">
        <f t="shared" si="0"/>
        <v>120000</v>
      </c>
      <c r="M21" s="9">
        <f>Table1[[#This Row],[Unit Price]]*Table1[[#This Row],[Quantity]]</f>
        <v>600000</v>
      </c>
      <c r="N21" s="9">
        <f>Table1[[#This Row],[Cost Price]]*Table1[[#This Row],[Quantity]]</f>
        <v>480000</v>
      </c>
      <c r="O21" s="9">
        <f>Table1[[#This Row],[Revenue]]-Table1[[#This Row],[COGS]]</f>
        <v>120000</v>
      </c>
      <c r="P21" s="6">
        <v>20</v>
      </c>
    </row>
    <row r="22" spans="1:16">
      <c r="A22" s="7" t="s">
        <v>76</v>
      </c>
      <c r="B22" s="7" t="str">
        <f>TEXT(Table1[[#This Row],[Date]],"MMM")</f>
        <v>May</v>
      </c>
      <c r="C22" t="s">
        <v>49</v>
      </c>
      <c r="D22" t="s">
        <v>45</v>
      </c>
      <c r="E22" t="s">
        <v>41</v>
      </c>
      <c r="F22" t="s">
        <v>37</v>
      </c>
      <c r="G22" t="s">
        <v>31</v>
      </c>
      <c r="H22" t="s">
        <v>32</v>
      </c>
      <c r="I22" s="9">
        <v>85000</v>
      </c>
      <c r="J22">
        <v>1</v>
      </c>
      <c r="K22" t="s">
        <v>69</v>
      </c>
      <c r="L22" s="9">
        <f t="shared" si="0"/>
        <v>68000</v>
      </c>
      <c r="M22" s="9">
        <f>Table1[[#This Row],[Unit Price]]*Table1[[#This Row],[Quantity]]</f>
        <v>85000</v>
      </c>
      <c r="N22" s="9">
        <f>Table1[[#This Row],[Cost Price]]*Table1[[#This Row],[Quantity]]</f>
        <v>68000</v>
      </c>
      <c r="O22" s="9">
        <f>Table1[[#This Row],[Revenue]]-Table1[[#This Row],[COGS]]</f>
        <v>17000</v>
      </c>
      <c r="P22" s="6">
        <v>21</v>
      </c>
    </row>
    <row r="23" spans="1:16">
      <c r="A23" s="7" t="s">
        <v>66</v>
      </c>
      <c r="B23" s="7" t="str">
        <f>TEXT(Table1[[#This Row],[Date]],"MMM")</f>
        <v>Mar</v>
      </c>
      <c r="C23" t="s">
        <v>35</v>
      </c>
      <c r="D23" t="s">
        <v>28</v>
      </c>
      <c r="E23" t="s">
        <v>29</v>
      </c>
      <c r="F23" t="s">
        <v>37</v>
      </c>
      <c r="G23" t="s">
        <v>31</v>
      </c>
      <c r="H23" t="s">
        <v>32</v>
      </c>
      <c r="I23" s="9">
        <v>85000</v>
      </c>
      <c r="J23">
        <v>9</v>
      </c>
      <c r="K23" t="s">
        <v>42</v>
      </c>
      <c r="L23" s="9">
        <f t="shared" si="0"/>
        <v>68000</v>
      </c>
      <c r="M23" s="9">
        <f>Table1[[#This Row],[Unit Price]]*Table1[[#This Row],[Quantity]]</f>
        <v>765000</v>
      </c>
      <c r="N23" s="9">
        <f>Table1[[#This Row],[Cost Price]]*Table1[[#This Row],[Quantity]]</f>
        <v>612000</v>
      </c>
      <c r="O23" s="9">
        <f>Table1[[#This Row],[Revenue]]-Table1[[#This Row],[COGS]]</f>
        <v>153000</v>
      </c>
      <c r="P23" s="6">
        <v>22</v>
      </c>
    </row>
    <row r="24" spans="1:16">
      <c r="A24" s="7" t="s">
        <v>77</v>
      </c>
      <c r="B24" s="7" t="str">
        <f>TEXT(Table1[[#This Row],[Date]],"MMM")</f>
        <v>Apr</v>
      </c>
      <c r="C24" t="s">
        <v>35</v>
      </c>
      <c r="D24" t="s">
        <v>36</v>
      </c>
      <c r="E24" t="s">
        <v>29</v>
      </c>
      <c r="F24" t="s">
        <v>37</v>
      </c>
      <c r="G24" t="s">
        <v>67</v>
      </c>
      <c r="H24" t="s">
        <v>51</v>
      </c>
      <c r="I24" s="9">
        <v>420000</v>
      </c>
      <c r="J24">
        <v>8</v>
      </c>
      <c r="K24" t="s">
        <v>69</v>
      </c>
      <c r="L24" s="9">
        <f t="shared" si="0"/>
        <v>336000</v>
      </c>
      <c r="M24" s="9">
        <f>Table1[[#This Row],[Unit Price]]*Table1[[#This Row],[Quantity]]</f>
        <v>3360000</v>
      </c>
      <c r="N24" s="9">
        <f>Table1[[#This Row],[Cost Price]]*Table1[[#This Row],[Quantity]]</f>
        <v>2688000</v>
      </c>
      <c r="O24" s="9">
        <f>Table1[[#This Row],[Revenue]]-Table1[[#This Row],[COGS]]</f>
        <v>672000</v>
      </c>
      <c r="P24" s="6">
        <v>23</v>
      </c>
    </row>
    <row r="25" spans="1:16">
      <c r="A25" s="7" t="s">
        <v>78</v>
      </c>
      <c r="B25" s="7" t="str">
        <f>TEXT(Table1[[#This Row],[Date]],"MMM")</f>
        <v>Apr</v>
      </c>
      <c r="C25" t="s">
        <v>49</v>
      </c>
      <c r="D25" t="s">
        <v>36</v>
      </c>
      <c r="E25" t="s">
        <v>41</v>
      </c>
      <c r="F25" t="s">
        <v>30</v>
      </c>
      <c r="G25" t="s">
        <v>67</v>
      </c>
      <c r="H25" t="s">
        <v>51</v>
      </c>
      <c r="I25" s="9">
        <v>420000</v>
      </c>
      <c r="J25">
        <v>10</v>
      </c>
      <c r="K25" t="s">
        <v>69</v>
      </c>
      <c r="L25" s="9">
        <f t="shared" si="0"/>
        <v>336000</v>
      </c>
      <c r="M25" s="9">
        <f>Table1[[#This Row],[Unit Price]]*Table1[[#This Row],[Quantity]]</f>
        <v>4200000</v>
      </c>
      <c r="N25" s="9">
        <f>Table1[[#This Row],[Cost Price]]*Table1[[#This Row],[Quantity]]</f>
        <v>3360000</v>
      </c>
      <c r="O25" s="9">
        <f>Table1[[#This Row],[Revenue]]-Table1[[#This Row],[COGS]]</f>
        <v>840000</v>
      </c>
      <c r="P25" s="6">
        <v>24</v>
      </c>
    </row>
    <row r="26" spans="1:16">
      <c r="A26" s="7" t="s">
        <v>79</v>
      </c>
      <c r="B26" s="7" t="str">
        <f>TEXT(Table1[[#This Row],[Date]],"MMM")</f>
        <v>Feb</v>
      </c>
      <c r="C26" t="s">
        <v>35</v>
      </c>
      <c r="D26" t="s">
        <v>28</v>
      </c>
      <c r="E26" t="s">
        <v>29</v>
      </c>
      <c r="F26" t="s">
        <v>37</v>
      </c>
      <c r="G26" t="s">
        <v>71</v>
      </c>
      <c r="H26" t="s">
        <v>51</v>
      </c>
      <c r="I26" s="9">
        <v>250000</v>
      </c>
      <c r="J26">
        <v>5</v>
      </c>
      <c r="K26" t="s">
        <v>65</v>
      </c>
      <c r="L26" s="9">
        <f t="shared" si="0"/>
        <v>200000</v>
      </c>
      <c r="M26" s="9">
        <f>Table1[[#This Row],[Unit Price]]*Table1[[#This Row],[Quantity]]</f>
        <v>1250000</v>
      </c>
      <c r="N26" s="9">
        <f>Table1[[#This Row],[Cost Price]]*Table1[[#This Row],[Quantity]]</f>
        <v>1000000</v>
      </c>
      <c r="O26" s="9">
        <f>Table1[[#This Row],[Revenue]]-Table1[[#This Row],[COGS]]</f>
        <v>250000</v>
      </c>
      <c r="P26" s="6">
        <v>25</v>
      </c>
    </row>
    <row r="27" spans="1:16">
      <c r="A27" s="7" t="s">
        <v>80</v>
      </c>
      <c r="B27" s="7" t="str">
        <f>TEXT(Table1[[#This Row],[Date]],"MMM")</f>
        <v>Feb</v>
      </c>
      <c r="C27" t="s">
        <v>49</v>
      </c>
      <c r="D27" t="s">
        <v>36</v>
      </c>
      <c r="E27" t="s">
        <v>41</v>
      </c>
      <c r="F27" t="s">
        <v>37</v>
      </c>
      <c r="G27" t="s">
        <v>73</v>
      </c>
      <c r="H27" t="s">
        <v>39</v>
      </c>
      <c r="I27" s="9">
        <v>220000</v>
      </c>
      <c r="J27">
        <v>4</v>
      </c>
      <c r="K27" t="s">
        <v>69</v>
      </c>
      <c r="L27" s="9">
        <f t="shared" si="0"/>
        <v>176000</v>
      </c>
      <c r="M27" s="9">
        <f>Table1[[#This Row],[Unit Price]]*Table1[[#This Row],[Quantity]]</f>
        <v>880000</v>
      </c>
      <c r="N27" s="9">
        <f>Table1[[#This Row],[Cost Price]]*Table1[[#This Row],[Quantity]]</f>
        <v>704000</v>
      </c>
      <c r="O27" s="9">
        <f>Table1[[#This Row],[Revenue]]-Table1[[#This Row],[COGS]]</f>
        <v>176000</v>
      </c>
      <c r="P27" s="6">
        <v>26</v>
      </c>
    </row>
    <row r="28" spans="1:16">
      <c r="A28" s="7" t="s">
        <v>81</v>
      </c>
      <c r="B28" s="7" t="str">
        <f>TEXT(Table1[[#This Row],[Date]],"MMM")</f>
        <v>Mar</v>
      </c>
      <c r="C28" t="s">
        <v>27</v>
      </c>
      <c r="D28" t="s">
        <v>53</v>
      </c>
      <c r="E28" t="s">
        <v>41</v>
      </c>
      <c r="F28" t="s">
        <v>30</v>
      </c>
      <c r="G28" t="s">
        <v>62</v>
      </c>
      <c r="H28" t="s">
        <v>51</v>
      </c>
      <c r="I28" s="9">
        <v>150000</v>
      </c>
      <c r="J28">
        <v>7</v>
      </c>
      <c r="K28" t="s">
        <v>47</v>
      </c>
      <c r="L28" s="9">
        <f t="shared" si="0"/>
        <v>120000</v>
      </c>
      <c r="M28" s="9">
        <f>Table1[[#This Row],[Unit Price]]*Table1[[#This Row],[Quantity]]</f>
        <v>1050000</v>
      </c>
      <c r="N28" s="9">
        <f>Table1[[#This Row],[Cost Price]]*Table1[[#This Row],[Quantity]]</f>
        <v>840000</v>
      </c>
      <c r="O28" s="9">
        <f>Table1[[#This Row],[Revenue]]-Table1[[#This Row],[COGS]]</f>
        <v>210000</v>
      </c>
      <c r="P28" s="6">
        <v>27</v>
      </c>
    </row>
    <row r="29" spans="1:16">
      <c r="A29" s="7" t="s">
        <v>82</v>
      </c>
      <c r="B29" s="7" t="str">
        <f>TEXT(Table1[[#This Row],[Date]],"MMM")</f>
        <v>Mar</v>
      </c>
      <c r="C29" t="s">
        <v>44</v>
      </c>
      <c r="D29" t="s">
        <v>45</v>
      </c>
      <c r="E29" t="s">
        <v>29</v>
      </c>
      <c r="F29" t="s">
        <v>30</v>
      </c>
      <c r="G29" t="s">
        <v>31</v>
      </c>
      <c r="H29" t="s">
        <v>32</v>
      </c>
      <c r="I29" s="9">
        <v>85000</v>
      </c>
      <c r="J29">
        <v>3</v>
      </c>
      <c r="K29" t="s">
        <v>58</v>
      </c>
      <c r="L29" s="9">
        <f t="shared" si="0"/>
        <v>68000</v>
      </c>
      <c r="M29" s="9">
        <f>Table1[[#This Row],[Unit Price]]*Table1[[#This Row],[Quantity]]</f>
        <v>255000</v>
      </c>
      <c r="N29" s="9">
        <f>Table1[[#This Row],[Cost Price]]*Table1[[#This Row],[Quantity]]</f>
        <v>204000</v>
      </c>
      <c r="O29" s="9">
        <f>Table1[[#This Row],[Revenue]]-Table1[[#This Row],[COGS]]</f>
        <v>51000</v>
      </c>
      <c r="P29" s="6">
        <v>28</v>
      </c>
    </row>
    <row r="30" spans="1:16">
      <c r="A30" s="7" t="s">
        <v>74</v>
      </c>
      <c r="B30" s="7" t="str">
        <f>TEXT(Table1[[#This Row],[Date]],"MMM")</f>
        <v>Feb</v>
      </c>
      <c r="C30" t="s">
        <v>35</v>
      </c>
      <c r="D30" t="s">
        <v>28</v>
      </c>
      <c r="E30" t="s">
        <v>29</v>
      </c>
      <c r="F30" t="s">
        <v>37</v>
      </c>
      <c r="G30" t="s">
        <v>50</v>
      </c>
      <c r="H30" t="s">
        <v>51</v>
      </c>
      <c r="I30" s="9">
        <v>300000</v>
      </c>
      <c r="J30">
        <v>8</v>
      </c>
      <c r="K30" t="s">
        <v>69</v>
      </c>
      <c r="L30" s="9">
        <f t="shared" si="0"/>
        <v>240000</v>
      </c>
      <c r="M30" s="9">
        <f>Table1[[#This Row],[Unit Price]]*Table1[[#This Row],[Quantity]]</f>
        <v>2400000</v>
      </c>
      <c r="N30" s="9">
        <f>Table1[[#This Row],[Cost Price]]*Table1[[#This Row],[Quantity]]</f>
        <v>1920000</v>
      </c>
      <c r="O30" s="9">
        <f>Table1[[#This Row],[Revenue]]-Table1[[#This Row],[COGS]]</f>
        <v>480000</v>
      </c>
      <c r="P30" s="6">
        <v>29</v>
      </c>
    </row>
    <row r="31" spans="1:16">
      <c r="A31" s="7" t="s">
        <v>80</v>
      </c>
      <c r="B31" s="7" t="str">
        <f>TEXT(Table1[[#This Row],[Date]],"MMM")</f>
        <v>Feb</v>
      </c>
      <c r="C31" t="s">
        <v>27</v>
      </c>
      <c r="D31" t="s">
        <v>36</v>
      </c>
      <c r="E31" t="s">
        <v>41</v>
      </c>
      <c r="F31" t="s">
        <v>30</v>
      </c>
      <c r="G31" t="s">
        <v>73</v>
      </c>
      <c r="H31" t="s">
        <v>39</v>
      </c>
      <c r="I31" s="9">
        <v>220000</v>
      </c>
      <c r="J31">
        <v>1</v>
      </c>
      <c r="K31" t="s">
        <v>42</v>
      </c>
      <c r="L31" s="9">
        <f t="shared" si="0"/>
        <v>176000</v>
      </c>
      <c r="M31" s="9">
        <f>Table1[[#This Row],[Unit Price]]*Table1[[#This Row],[Quantity]]</f>
        <v>220000</v>
      </c>
      <c r="N31" s="9">
        <f>Table1[[#This Row],[Cost Price]]*Table1[[#This Row],[Quantity]]</f>
        <v>176000</v>
      </c>
      <c r="O31" s="9">
        <f>Table1[[#This Row],[Revenue]]-Table1[[#This Row],[COGS]]</f>
        <v>44000</v>
      </c>
      <c r="P31" s="6">
        <v>30</v>
      </c>
    </row>
    <row r="32" spans="1:16">
      <c r="A32" s="7" t="s">
        <v>83</v>
      </c>
      <c r="B32" s="7" t="str">
        <f>TEXT(Table1[[#This Row],[Date]],"MMM")</f>
        <v>Jan</v>
      </c>
      <c r="C32" t="s">
        <v>44</v>
      </c>
      <c r="D32" t="s">
        <v>53</v>
      </c>
      <c r="E32" t="s">
        <v>41</v>
      </c>
      <c r="F32" t="s">
        <v>30</v>
      </c>
      <c r="G32" t="s">
        <v>56</v>
      </c>
      <c r="H32" t="s">
        <v>32</v>
      </c>
      <c r="I32" s="9">
        <v>320000</v>
      </c>
      <c r="J32">
        <v>7</v>
      </c>
      <c r="K32" t="s">
        <v>69</v>
      </c>
      <c r="L32" s="9">
        <f t="shared" si="0"/>
        <v>256000</v>
      </c>
      <c r="M32" s="9">
        <f>Table1[[#This Row],[Unit Price]]*Table1[[#This Row],[Quantity]]</f>
        <v>2240000</v>
      </c>
      <c r="N32" s="9">
        <f>Table1[[#This Row],[Cost Price]]*Table1[[#This Row],[Quantity]]</f>
        <v>1792000</v>
      </c>
      <c r="O32" s="9">
        <f>Table1[[#This Row],[Revenue]]-Table1[[#This Row],[COGS]]</f>
        <v>448000</v>
      </c>
      <c r="P32" s="6">
        <v>31</v>
      </c>
    </row>
    <row r="33" spans="1:16">
      <c r="A33" s="7" t="s">
        <v>84</v>
      </c>
      <c r="B33" s="7" t="str">
        <f>TEXT(Table1[[#This Row],[Date]],"MMM")</f>
        <v>Jan</v>
      </c>
      <c r="C33" t="s">
        <v>27</v>
      </c>
      <c r="D33" t="s">
        <v>53</v>
      </c>
      <c r="E33" t="s">
        <v>29</v>
      </c>
      <c r="F33" t="s">
        <v>37</v>
      </c>
      <c r="G33" t="s">
        <v>62</v>
      </c>
      <c r="H33" t="s">
        <v>51</v>
      </c>
      <c r="I33" s="9">
        <v>150000</v>
      </c>
      <c r="J33">
        <v>1</v>
      </c>
      <c r="K33" t="s">
        <v>33</v>
      </c>
      <c r="L33" s="9">
        <f t="shared" si="0"/>
        <v>120000</v>
      </c>
      <c r="M33" s="9">
        <f>Table1[[#This Row],[Unit Price]]*Table1[[#This Row],[Quantity]]</f>
        <v>150000</v>
      </c>
      <c r="N33" s="9">
        <f>Table1[[#This Row],[Cost Price]]*Table1[[#This Row],[Quantity]]</f>
        <v>120000</v>
      </c>
      <c r="O33" s="9">
        <f>Table1[[#This Row],[Revenue]]-Table1[[#This Row],[COGS]]</f>
        <v>30000</v>
      </c>
      <c r="P33" s="6">
        <v>32</v>
      </c>
    </row>
    <row r="34" spans="1:16">
      <c r="A34" s="7" t="s">
        <v>85</v>
      </c>
      <c r="B34" s="7" t="str">
        <f>TEXT(Table1[[#This Row],[Date]],"MMM")</f>
        <v>Feb</v>
      </c>
      <c r="C34" t="s">
        <v>35</v>
      </c>
      <c r="D34" t="s">
        <v>45</v>
      </c>
      <c r="E34" t="s">
        <v>29</v>
      </c>
      <c r="F34" t="s">
        <v>30</v>
      </c>
      <c r="G34" t="s">
        <v>54</v>
      </c>
      <c r="H34" t="s">
        <v>39</v>
      </c>
      <c r="I34" s="9">
        <v>180000</v>
      </c>
      <c r="J34">
        <v>9</v>
      </c>
      <c r="K34" t="s">
        <v>69</v>
      </c>
      <c r="L34" s="9">
        <f t="shared" si="0"/>
        <v>144000</v>
      </c>
      <c r="M34" s="9">
        <f>Table1[[#This Row],[Unit Price]]*Table1[[#This Row],[Quantity]]</f>
        <v>1620000</v>
      </c>
      <c r="N34" s="9">
        <f>Table1[[#This Row],[Cost Price]]*Table1[[#This Row],[Quantity]]</f>
        <v>1296000</v>
      </c>
      <c r="O34" s="9">
        <f>Table1[[#This Row],[Revenue]]-Table1[[#This Row],[COGS]]</f>
        <v>324000</v>
      </c>
      <c r="P34" s="6">
        <v>33</v>
      </c>
    </row>
    <row r="35" spans="1:16">
      <c r="A35" s="7" t="s">
        <v>55</v>
      </c>
      <c r="B35" s="7" t="str">
        <f>TEXT(Table1[[#This Row],[Date]],"MMM")</f>
        <v>Mar</v>
      </c>
      <c r="C35" t="s">
        <v>44</v>
      </c>
      <c r="D35" t="s">
        <v>45</v>
      </c>
      <c r="E35" t="s">
        <v>29</v>
      </c>
      <c r="F35" t="s">
        <v>30</v>
      </c>
      <c r="G35" t="s">
        <v>56</v>
      </c>
      <c r="H35" t="s">
        <v>32</v>
      </c>
      <c r="I35" s="9">
        <v>320000</v>
      </c>
      <c r="J35">
        <v>5</v>
      </c>
      <c r="K35" t="s">
        <v>69</v>
      </c>
      <c r="L35" s="9">
        <f t="shared" si="0"/>
        <v>256000</v>
      </c>
      <c r="M35" s="9">
        <f>Table1[[#This Row],[Unit Price]]*Table1[[#This Row],[Quantity]]</f>
        <v>1600000</v>
      </c>
      <c r="N35" s="9">
        <f>Table1[[#This Row],[Cost Price]]*Table1[[#This Row],[Quantity]]</f>
        <v>1280000</v>
      </c>
      <c r="O35" s="9">
        <f>Table1[[#This Row],[Revenue]]-Table1[[#This Row],[COGS]]</f>
        <v>320000</v>
      </c>
      <c r="P35" s="6">
        <v>34</v>
      </c>
    </row>
    <row r="36" spans="1:16">
      <c r="A36" s="7" t="s">
        <v>80</v>
      </c>
      <c r="B36" s="7" t="str">
        <f>TEXT(Table1[[#This Row],[Date]],"MMM")</f>
        <v>Feb</v>
      </c>
      <c r="C36" t="s">
        <v>44</v>
      </c>
      <c r="D36" t="s">
        <v>45</v>
      </c>
      <c r="E36" t="s">
        <v>41</v>
      </c>
      <c r="F36" t="s">
        <v>37</v>
      </c>
      <c r="G36" t="s">
        <v>62</v>
      </c>
      <c r="H36" t="s">
        <v>51</v>
      </c>
      <c r="I36" s="9">
        <v>150000</v>
      </c>
      <c r="J36">
        <v>8</v>
      </c>
      <c r="K36" t="s">
        <v>65</v>
      </c>
      <c r="L36" s="9">
        <f t="shared" si="0"/>
        <v>120000</v>
      </c>
      <c r="M36" s="9">
        <f>Table1[[#This Row],[Unit Price]]*Table1[[#This Row],[Quantity]]</f>
        <v>1200000</v>
      </c>
      <c r="N36" s="9">
        <f>Table1[[#This Row],[Cost Price]]*Table1[[#This Row],[Quantity]]</f>
        <v>960000</v>
      </c>
      <c r="O36" s="9">
        <f>Table1[[#This Row],[Revenue]]-Table1[[#This Row],[COGS]]</f>
        <v>240000</v>
      </c>
      <c r="P36" s="6">
        <v>35</v>
      </c>
    </row>
    <row r="37" spans="1:16">
      <c r="A37" s="7" t="s">
        <v>86</v>
      </c>
      <c r="B37" s="7" t="str">
        <f>TEXT(Table1[[#This Row],[Date]],"MMM")</f>
        <v>Feb</v>
      </c>
      <c r="C37" t="s">
        <v>27</v>
      </c>
      <c r="D37" t="s">
        <v>28</v>
      </c>
      <c r="E37" t="s">
        <v>41</v>
      </c>
      <c r="F37" t="s">
        <v>37</v>
      </c>
      <c r="G37" t="s">
        <v>31</v>
      </c>
      <c r="H37" t="s">
        <v>32</v>
      </c>
      <c r="I37" s="9">
        <v>85000</v>
      </c>
      <c r="J37">
        <v>7</v>
      </c>
      <c r="K37" t="s">
        <v>42</v>
      </c>
      <c r="L37" s="9">
        <f t="shared" si="0"/>
        <v>68000</v>
      </c>
      <c r="M37" s="9">
        <f>Table1[[#This Row],[Unit Price]]*Table1[[#This Row],[Quantity]]</f>
        <v>595000</v>
      </c>
      <c r="N37" s="9">
        <f>Table1[[#This Row],[Cost Price]]*Table1[[#This Row],[Quantity]]</f>
        <v>476000</v>
      </c>
      <c r="O37" s="9">
        <f>Table1[[#This Row],[Revenue]]-Table1[[#This Row],[COGS]]</f>
        <v>119000</v>
      </c>
      <c r="P37" s="6">
        <v>36</v>
      </c>
    </row>
    <row r="38" spans="1:16">
      <c r="A38" s="7" t="s">
        <v>87</v>
      </c>
      <c r="B38" s="7" t="str">
        <f>TEXT(Table1[[#This Row],[Date]],"MMM")</f>
        <v>Mar</v>
      </c>
      <c r="C38" t="s">
        <v>44</v>
      </c>
      <c r="D38" t="s">
        <v>53</v>
      </c>
      <c r="E38" t="s">
        <v>41</v>
      </c>
      <c r="F38" t="s">
        <v>30</v>
      </c>
      <c r="G38" t="s">
        <v>56</v>
      </c>
      <c r="H38" t="s">
        <v>32</v>
      </c>
      <c r="I38" s="9">
        <v>320000</v>
      </c>
      <c r="J38">
        <v>6</v>
      </c>
      <c r="K38" t="s">
        <v>42</v>
      </c>
      <c r="L38" s="9">
        <f t="shared" si="0"/>
        <v>256000</v>
      </c>
      <c r="M38" s="9">
        <f>Table1[[#This Row],[Unit Price]]*Table1[[#This Row],[Quantity]]</f>
        <v>1920000</v>
      </c>
      <c r="N38" s="9">
        <f>Table1[[#This Row],[Cost Price]]*Table1[[#This Row],[Quantity]]</f>
        <v>1536000</v>
      </c>
      <c r="O38" s="9">
        <f>Table1[[#This Row],[Revenue]]-Table1[[#This Row],[COGS]]</f>
        <v>384000</v>
      </c>
      <c r="P38" s="6">
        <v>37</v>
      </c>
    </row>
    <row r="39" spans="1:16">
      <c r="A39" s="7" t="s">
        <v>88</v>
      </c>
      <c r="B39" s="7" t="str">
        <f>TEXT(Table1[[#This Row],[Date]],"MMM")</f>
        <v>Feb</v>
      </c>
      <c r="C39" t="s">
        <v>27</v>
      </c>
      <c r="D39" t="s">
        <v>45</v>
      </c>
      <c r="E39" t="s">
        <v>29</v>
      </c>
      <c r="F39" t="s">
        <v>37</v>
      </c>
      <c r="G39" t="s">
        <v>67</v>
      </c>
      <c r="H39" t="s">
        <v>51</v>
      </c>
      <c r="I39" s="9">
        <v>420000</v>
      </c>
      <c r="J39">
        <v>8</v>
      </c>
      <c r="K39" t="s">
        <v>65</v>
      </c>
      <c r="L39" s="9">
        <f t="shared" si="0"/>
        <v>336000</v>
      </c>
      <c r="M39" s="9">
        <f>Table1[[#This Row],[Unit Price]]*Table1[[#This Row],[Quantity]]</f>
        <v>3360000</v>
      </c>
      <c r="N39" s="9">
        <f>Table1[[#This Row],[Cost Price]]*Table1[[#This Row],[Quantity]]</f>
        <v>2688000</v>
      </c>
      <c r="O39" s="9">
        <f>Table1[[#This Row],[Revenue]]-Table1[[#This Row],[COGS]]</f>
        <v>672000</v>
      </c>
      <c r="P39" s="6">
        <v>38</v>
      </c>
    </row>
    <row r="40" spans="1:16">
      <c r="A40" s="7" t="s">
        <v>89</v>
      </c>
      <c r="B40" s="7" t="str">
        <f>TEXT(Table1[[#This Row],[Date]],"MMM")</f>
        <v>Feb</v>
      </c>
      <c r="C40" t="s">
        <v>44</v>
      </c>
      <c r="D40" t="s">
        <v>28</v>
      </c>
      <c r="E40" t="s">
        <v>41</v>
      </c>
      <c r="F40" t="s">
        <v>30</v>
      </c>
      <c r="G40" t="s">
        <v>50</v>
      </c>
      <c r="H40" t="s">
        <v>51</v>
      </c>
      <c r="I40" s="9">
        <v>300000</v>
      </c>
      <c r="J40">
        <v>7</v>
      </c>
      <c r="K40" t="s">
        <v>58</v>
      </c>
      <c r="L40" s="9">
        <f t="shared" si="0"/>
        <v>240000</v>
      </c>
      <c r="M40" s="9">
        <f>Table1[[#This Row],[Unit Price]]*Table1[[#This Row],[Quantity]]</f>
        <v>2100000</v>
      </c>
      <c r="N40" s="9">
        <f>Table1[[#This Row],[Cost Price]]*Table1[[#This Row],[Quantity]]</f>
        <v>1680000</v>
      </c>
      <c r="O40" s="9">
        <f>Table1[[#This Row],[Revenue]]-Table1[[#This Row],[COGS]]</f>
        <v>420000</v>
      </c>
      <c r="P40" s="6">
        <v>39</v>
      </c>
    </row>
    <row r="41" spans="1:16">
      <c r="A41" s="7" t="s">
        <v>90</v>
      </c>
      <c r="B41" s="7" t="str">
        <f>TEXT(Table1[[#This Row],[Date]],"MMM")</f>
        <v>Feb</v>
      </c>
      <c r="C41" t="s">
        <v>27</v>
      </c>
      <c r="D41" t="s">
        <v>28</v>
      </c>
      <c r="E41" t="s">
        <v>29</v>
      </c>
      <c r="F41" t="s">
        <v>30</v>
      </c>
      <c r="G41" t="s">
        <v>38</v>
      </c>
      <c r="H41" t="s">
        <v>39</v>
      </c>
      <c r="I41" s="9">
        <v>30000</v>
      </c>
      <c r="J41">
        <v>6</v>
      </c>
      <c r="K41" t="s">
        <v>42</v>
      </c>
      <c r="L41" s="9">
        <f t="shared" si="0"/>
        <v>24000</v>
      </c>
      <c r="M41" s="9">
        <f>Table1[[#This Row],[Unit Price]]*Table1[[#This Row],[Quantity]]</f>
        <v>180000</v>
      </c>
      <c r="N41" s="9">
        <f>Table1[[#This Row],[Cost Price]]*Table1[[#This Row],[Quantity]]</f>
        <v>144000</v>
      </c>
      <c r="O41" s="9">
        <f>Table1[[#This Row],[Revenue]]-Table1[[#This Row],[COGS]]</f>
        <v>36000</v>
      </c>
      <c r="P41" s="6">
        <v>40</v>
      </c>
    </row>
    <row r="42" spans="1:16">
      <c r="A42" s="7" t="s">
        <v>91</v>
      </c>
      <c r="B42" s="7" t="str">
        <f>TEXT(Table1[[#This Row],[Date]],"MMM")</f>
        <v>Feb</v>
      </c>
      <c r="C42" t="s">
        <v>27</v>
      </c>
      <c r="D42" t="s">
        <v>28</v>
      </c>
      <c r="E42" t="s">
        <v>41</v>
      </c>
      <c r="F42" t="s">
        <v>37</v>
      </c>
      <c r="G42" t="s">
        <v>73</v>
      </c>
      <c r="H42" t="s">
        <v>39</v>
      </c>
      <c r="I42" s="9">
        <v>220000</v>
      </c>
      <c r="J42">
        <v>2</v>
      </c>
      <c r="K42" t="s">
        <v>58</v>
      </c>
      <c r="L42" s="9">
        <f t="shared" si="0"/>
        <v>176000</v>
      </c>
      <c r="M42" s="9">
        <f>Table1[[#This Row],[Unit Price]]*Table1[[#This Row],[Quantity]]</f>
        <v>440000</v>
      </c>
      <c r="N42" s="9">
        <f>Table1[[#This Row],[Cost Price]]*Table1[[#This Row],[Quantity]]</f>
        <v>352000</v>
      </c>
      <c r="O42" s="9">
        <f>Table1[[#This Row],[Revenue]]-Table1[[#This Row],[COGS]]</f>
        <v>88000</v>
      </c>
      <c r="P42" s="6">
        <v>41</v>
      </c>
    </row>
    <row r="43" spans="1:16">
      <c r="A43" s="7" t="s">
        <v>61</v>
      </c>
      <c r="B43" s="7" t="str">
        <f>TEXT(Table1[[#This Row],[Date]],"MMM")</f>
        <v>Jan</v>
      </c>
      <c r="C43" t="s">
        <v>27</v>
      </c>
      <c r="D43" t="s">
        <v>53</v>
      </c>
      <c r="E43" t="s">
        <v>29</v>
      </c>
      <c r="F43" t="s">
        <v>30</v>
      </c>
      <c r="G43" t="s">
        <v>62</v>
      </c>
      <c r="H43" t="s">
        <v>51</v>
      </c>
      <c r="I43" s="9">
        <v>150000</v>
      </c>
      <c r="J43">
        <v>1</v>
      </c>
      <c r="K43" t="s">
        <v>42</v>
      </c>
      <c r="L43" s="9">
        <f t="shared" si="0"/>
        <v>120000</v>
      </c>
      <c r="M43" s="9">
        <f>Table1[[#This Row],[Unit Price]]*Table1[[#This Row],[Quantity]]</f>
        <v>150000</v>
      </c>
      <c r="N43" s="9">
        <f>Table1[[#This Row],[Cost Price]]*Table1[[#This Row],[Quantity]]</f>
        <v>120000</v>
      </c>
      <c r="O43" s="9">
        <f>Table1[[#This Row],[Revenue]]-Table1[[#This Row],[COGS]]</f>
        <v>30000</v>
      </c>
      <c r="P43" s="6">
        <v>42</v>
      </c>
    </row>
    <row r="44" spans="1:16">
      <c r="A44" s="7" t="s">
        <v>92</v>
      </c>
      <c r="B44" s="7" t="str">
        <f>TEXT(Table1[[#This Row],[Date]],"MMM")</f>
        <v>Jan</v>
      </c>
      <c r="C44" t="s">
        <v>49</v>
      </c>
      <c r="D44" t="s">
        <v>36</v>
      </c>
      <c r="E44" t="s">
        <v>29</v>
      </c>
      <c r="F44" t="s">
        <v>37</v>
      </c>
      <c r="G44" t="s">
        <v>56</v>
      </c>
      <c r="H44" t="s">
        <v>32</v>
      </c>
      <c r="I44" s="9">
        <v>320000</v>
      </c>
      <c r="J44">
        <v>1</v>
      </c>
      <c r="K44" t="s">
        <v>69</v>
      </c>
      <c r="L44" s="9">
        <f t="shared" si="0"/>
        <v>256000</v>
      </c>
      <c r="M44" s="9">
        <f>Table1[[#This Row],[Unit Price]]*Table1[[#This Row],[Quantity]]</f>
        <v>320000</v>
      </c>
      <c r="N44" s="9">
        <f>Table1[[#This Row],[Cost Price]]*Table1[[#This Row],[Quantity]]</f>
        <v>256000</v>
      </c>
      <c r="O44" s="9">
        <f>Table1[[#This Row],[Revenue]]-Table1[[#This Row],[COGS]]</f>
        <v>64000</v>
      </c>
      <c r="P44" s="6">
        <v>43</v>
      </c>
    </row>
    <row r="45" spans="1:16">
      <c r="A45" s="7" t="s">
        <v>93</v>
      </c>
      <c r="B45" s="7" t="str">
        <f>TEXT(Table1[[#This Row],[Date]],"MMM")</f>
        <v>Apr</v>
      </c>
      <c r="C45" t="s">
        <v>49</v>
      </c>
      <c r="D45" t="s">
        <v>53</v>
      </c>
      <c r="E45" t="s">
        <v>41</v>
      </c>
      <c r="F45" t="s">
        <v>37</v>
      </c>
      <c r="G45" t="s">
        <v>38</v>
      </c>
      <c r="H45" t="s">
        <v>39</v>
      </c>
      <c r="I45" s="9">
        <v>30000</v>
      </c>
      <c r="J45">
        <v>3</v>
      </c>
      <c r="K45" t="s">
        <v>42</v>
      </c>
      <c r="L45" s="9">
        <f t="shared" si="0"/>
        <v>24000</v>
      </c>
      <c r="M45" s="9">
        <f>Table1[[#This Row],[Unit Price]]*Table1[[#This Row],[Quantity]]</f>
        <v>90000</v>
      </c>
      <c r="N45" s="9">
        <f>Table1[[#This Row],[Cost Price]]*Table1[[#This Row],[Quantity]]</f>
        <v>72000</v>
      </c>
      <c r="O45" s="9">
        <f>Table1[[#This Row],[Revenue]]-Table1[[#This Row],[COGS]]</f>
        <v>18000</v>
      </c>
      <c r="P45" s="6">
        <v>44</v>
      </c>
    </row>
    <row r="46" spans="1:16">
      <c r="A46" s="7" t="s">
        <v>94</v>
      </c>
      <c r="B46" s="7" t="str">
        <f>TEXT(Table1[[#This Row],[Date]],"MMM")</f>
        <v>Jan</v>
      </c>
      <c r="C46" t="s">
        <v>27</v>
      </c>
      <c r="D46" t="s">
        <v>28</v>
      </c>
      <c r="E46" t="s">
        <v>41</v>
      </c>
      <c r="F46" t="s">
        <v>30</v>
      </c>
      <c r="G46" t="s">
        <v>46</v>
      </c>
      <c r="H46" t="s">
        <v>39</v>
      </c>
      <c r="I46" s="9">
        <v>60000</v>
      </c>
      <c r="J46">
        <v>5</v>
      </c>
      <c r="K46" t="s">
        <v>47</v>
      </c>
      <c r="L46" s="9">
        <f t="shared" si="0"/>
        <v>48000</v>
      </c>
      <c r="M46" s="9">
        <f>Table1[[#This Row],[Unit Price]]*Table1[[#This Row],[Quantity]]</f>
        <v>300000</v>
      </c>
      <c r="N46" s="9">
        <f>Table1[[#This Row],[Cost Price]]*Table1[[#This Row],[Quantity]]</f>
        <v>240000</v>
      </c>
      <c r="O46" s="9">
        <f>Table1[[#This Row],[Revenue]]-Table1[[#This Row],[COGS]]</f>
        <v>60000</v>
      </c>
      <c r="P46" s="6">
        <v>45</v>
      </c>
    </row>
    <row r="47" spans="1:16">
      <c r="A47" s="7" t="s">
        <v>81</v>
      </c>
      <c r="B47" s="7" t="str">
        <f>TEXT(Table1[[#This Row],[Date]],"MMM")</f>
        <v>Mar</v>
      </c>
      <c r="C47" t="s">
        <v>35</v>
      </c>
      <c r="D47" t="s">
        <v>45</v>
      </c>
      <c r="E47" t="s">
        <v>41</v>
      </c>
      <c r="F47" t="s">
        <v>30</v>
      </c>
      <c r="G47" t="s">
        <v>62</v>
      </c>
      <c r="H47" t="s">
        <v>51</v>
      </c>
      <c r="I47" s="9">
        <v>150000</v>
      </c>
      <c r="J47">
        <v>3</v>
      </c>
      <c r="K47" t="s">
        <v>47</v>
      </c>
      <c r="L47" s="9">
        <f t="shared" si="0"/>
        <v>120000</v>
      </c>
      <c r="M47" s="9">
        <f>Table1[[#This Row],[Unit Price]]*Table1[[#This Row],[Quantity]]</f>
        <v>450000</v>
      </c>
      <c r="N47" s="9">
        <f>Table1[[#This Row],[Cost Price]]*Table1[[#This Row],[Quantity]]</f>
        <v>360000</v>
      </c>
      <c r="O47" s="9">
        <f>Table1[[#This Row],[Revenue]]-Table1[[#This Row],[COGS]]</f>
        <v>90000</v>
      </c>
      <c r="P47" s="6">
        <v>46</v>
      </c>
    </row>
    <row r="48" spans="1:16">
      <c r="A48" s="7" t="s">
        <v>77</v>
      </c>
      <c r="B48" s="7" t="str">
        <f>TEXT(Table1[[#This Row],[Date]],"MMM")</f>
        <v>Apr</v>
      </c>
      <c r="C48" t="s">
        <v>35</v>
      </c>
      <c r="D48" t="s">
        <v>36</v>
      </c>
      <c r="E48" t="s">
        <v>29</v>
      </c>
      <c r="F48" t="s">
        <v>30</v>
      </c>
      <c r="G48" t="s">
        <v>56</v>
      </c>
      <c r="H48" t="s">
        <v>32</v>
      </c>
      <c r="I48" s="9">
        <v>320000</v>
      </c>
      <c r="J48">
        <v>10</v>
      </c>
      <c r="K48" t="s">
        <v>47</v>
      </c>
      <c r="L48" s="9">
        <f t="shared" si="0"/>
        <v>256000</v>
      </c>
      <c r="M48" s="9">
        <f>Table1[[#This Row],[Unit Price]]*Table1[[#This Row],[Quantity]]</f>
        <v>3200000</v>
      </c>
      <c r="N48" s="9">
        <f>Table1[[#This Row],[Cost Price]]*Table1[[#This Row],[Quantity]]</f>
        <v>2560000</v>
      </c>
      <c r="O48" s="9">
        <f>Table1[[#This Row],[Revenue]]-Table1[[#This Row],[COGS]]</f>
        <v>640000</v>
      </c>
      <c r="P48" s="6">
        <v>47</v>
      </c>
    </row>
    <row r="49" spans="1:16">
      <c r="A49" s="7" t="s">
        <v>95</v>
      </c>
      <c r="B49" s="7" t="str">
        <f>TEXT(Table1[[#This Row],[Date]],"MMM")</f>
        <v>Feb</v>
      </c>
      <c r="C49" t="s">
        <v>35</v>
      </c>
      <c r="D49" t="s">
        <v>28</v>
      </c>
      <c r="E49" t="s">
        <v>41</v>
      </c>
      <c r="F49" t="s">
        <v>30</v>
      </c>
      <c r="G49" t="s">
        <v>73</v>
      </c>
      <c r="H49" t="s">
        <v>39</v>
      </c>
      <c r="I49" s="9">
        <v>220000</v>
      </c>
      <c r="J49">
        <v>6</v>
      </c>
      <c r="K49" t="s">
        <v>33</v>
      </c>
      <c r="L49" s="9">
        <f t="shared" si="0"/>
        <v>176000</v>
      </c>
      <c r="M49" s="9">
        <f>Table1[[#This Row],[Unit Price]]*Table1[[#This Row],[Quantity]]</f>
        <v>1320000</v>
      </c>
      <c r="N49" s="9">
        <f>Table1[[#This Row],[Cost Price]]*Table1[[#This Row],[Quantity]]</f>
        <v>1056000</v>
      </c>
      <c r="O49" s="9">
        <f>Table1[[#This Row],[Revenue]]-Table1[[#This Row],[COGS]]</f>
        <v>264000</v>
      </c>
      <c r="P49" s="6">
        <v>48</v>
      </c>
    </row>
    <row r="50" spans="1:16">
      <c r="A50" s="7" t="s">
        <v>96</v>
      </c>
      <c r="B50" s="7" t="str">
        <f>TEXT(Table1[[#This Row],[Date]],"MMM")</f>
        <v>Mar</v>
      </c>
      <c r="C50" t="s">
        <v>27</v>
      </c>
      <c r="D50" t="s">
        <v>53</v>
      </c>
      <c r="E50" t="s">
        <v>41</v>
      </c>
      <c r="F50" t="s">
        <v>30</v>
      </c>
      <c r="G50" t="s">
        <v>54</v>
      </c>
      <c r="H50" t="s">
        <v>39</v>
      </c>
      <c r="I50" s="9">
        <v>180000</v>
      </c>
      <c r="J50">
        <v>8</v>
      </c>
      <c r="K50" t="s">
        <v>47</v>
      </c>
      <c r="L50" s="9">
        <f t="shared" si="0"/>
        <v>144000</v>
      </c>
      <c r="M50" s="9">
        <f>Table1[[#This Row],[Unit Price]]*Table1[[#This Row],[Quantity]]</f>
        <v>1440000</v>
      </c>
      <c r="N50" s="9">
        <f>Table1[[#This Row],[Cost Price]]*Table1[[#This Row],[Quantity]]</f>
        <v>1152000</v>
      </c>
      <c r="O50" s="9">
        <f>Table1[[#This Row],[Revenue]]-Table1[[#This Row],[COGS]]</f>
        <v>288000</v>
      </c>
      <c r="P50" s="6">
        <v>49</v>
      </c>
    </row>
    <row r="51" spans="1:16">
      <c r="A51" s="7" t="s">
        <v>97</v>
      </c>
      <c r="B51" s="7" t="str">
        <f>TEXT(Table1[[#This Row],[Date]],"MMM")</f>
        <v>Jan</v>
      </c>
      <c r="C51" t="s">
        <v>27</v>
      </c>
      <c r="D51" t="s">
        <v>45</v>
      </c>
      <c r="E51" t="s">
        <v>29</v>
      </c>
      <c r="F51" t="s">
        <v>37</v>
      </c>
      <c r="G51" t="s">
        <v>56</v>
      </c>
      <c r="H51" t="s">
        <v>32</v>
      </c>
      <c r="I51" s="9">
        <v>320000</v>
      </c>
      <c r="J51">
        <v>2</v>
      </c>
      <c r="K51" t="s">
        <v>42</v>
      </c>
      <c r="L51" s="9">
        <f t="shared" si="0"/>
        <v>256000</v>
      </c>
      <c r="M51" s="9">
        <f>Table1[[#This Row],[Unit Price]]*Table1[[#This Row],[Quantity]]</f>
        <v>640000</v>
      </c>
      <c r="N51" s="9">
        <f>Table1[[#This Row],[Cost Price]]*Table1[[#This Row],[Quantity]]</f>
        <v>512000</v>
      </c>
      <c r="O51" s="9">
        <f>Table1[[#This Row],[Revenue]]-Table1[[#This Row],[COGS]]</f>
        <v>128000</v>
      </c>
      <c r="P51" s="6">
        <v>50</v>
      </c>
    </row>
    <row r="52" spans="1:16">
      <c r="A52" s="7" t="s">
        <v>57</v>
      </c>
      <c r="B52" s="7" t="str">
        <f>TEXT(Table1[[#This Row],[Date]],"MMM")</f>
        <v>Feb</v>
      </c>
      <c r="C52" t="s">
        <v>27</v>
      </c>
      <c r="D52" t="s">
        <v>36</v>
      </c>
      <c r="E52" t="s">
        <v>29</v>
      </c>
      <c r="F52" t="s">
        <v>37</v>
      </c>
      <c r="G52" t="s">
        <v>50</v>
      </c>
      <c r="H52" t="s">
        <v>51</v>
      </c>
      <c r="I52" s="9">
        <v>300000</v>
      </c>
      <c r="J52">
        <v>9</v>
      </c>
      <c r="K52" t="s">
        <v>58</v>
      </c>
      <c r="L52" s="9">
        <f t="shared" si="0"/>
        <v>240000</v>
      </c>
      <c r="M52" s="9">
        <f>Table1[[#This Row],[Unit Price]]*Table1[[#This Row],[Quantity]]</f>
        <v>2700000</v>
      </c>
      <c r="N52" s="9">
        <f>Table1[[#This Row],[Cost Price]]*Table1[[#This Row],[Quantity]]</f>
        <v>2160000</v>
      </c>
      <c r="O52" s="9">
        <f>Table1[[#This Row],[Revenue]]-Table1[[#This Row],[COGS]]</f>
        <v>540000</v>
      </c>
      <c r="P52" s="6">
        <v>51</v>
      </c>
    </row>
    <row r="53" spans="1:16">
      <c r="A53" s="7" t="s">
        <v>98</v>
      </c>
      <c r="B53" s="7" t="str">
        <f>TEXT(Table1[[#This Row],[Date]],"MMM")</f>
        <v>Jan</v>
      </c>
      <c r="C53" t="s">
        <v>49</v>
      </c>
      <c r="D53" t="s">
        <v>45</v>
      </c>
      <c r="E53" t="s">
        <v>29</v>
      </c>
      <c r="F53" t="s">
        <v>37</v>
      </c>
      <c r="G53" t="s">
        <v>67</v>
      </c>
      <c r="H53" t="s">
        <v>51</v>
      </c>
      <c r="I53" s="9">
        <v>420000</v>
      </c>
      <c r="J53">
        <v>1</v>
      </c>
      <c r="K53" t="s">
        <v>58</v>
      </c>
      <c r="L53" s="9">
        <f t="shared" si="0"/>
        <v>336000</v>
      </c>
      <c r="M53" s="9">
        <f>Table1[[#This Row],[Unit Price]]*Table1[[#This Row],[Quantity]]</f>
        <v>420000</v>
      </c>
      <c r="N53" s="9">
        <f>Table1[[#This Row],[Cost Price]]*Table1[[#This Row],[Quantity]]</f>
        <v>336000</v>
      </c>
      <c r="O53" s="9">
        <f>Table1[[#This Row],[Revenue]]-Table1[[#This Row],[COGS]]</f>
        <v>84000</v>
      </c>
      <c r="P53" s="6">
        <v>52</v>
      </c>
    </row>
    <row r="54" spans="1:16">
      <c r="A54" s="7" t="s">
        <v>99</v>
      </c>
      <c r="B54" s="7" t="str">
        <f>TEXT(Table1[[#This Row],[Date]],"MMM")</f>
        <v>Apr</v>
      </c>
      <c r="C54" t="s">
        <v>35</v>
      </c>
      <c r="D54" t="s">
        <v>45</v>
      </c>
      <c r="E54" t="s">
        <v>29</v>
      </c>
      <c r="F54" t="s">
        <v>30</v>
      </c>
      <c r="G54" t="s">
        <v>46</v>
      </c>
      <c r="H54" t="s">
        <v>39</v>
      </c>
      <c r="I54" s="9">
        <v>60000</v>
      </c>
      <c r="J54">
        <v>1</v>
      </c>
      <c r="K54" t="s">
        <v>47</v>
      </c>
      <c r="L54" s="9">
        <f t="shared" si="0"/>
        <v>48000</v>
      </c>
      <c r="M54" s="9">
        <f>Table1[[#This Row],[Unit Price]]*Table1[[#This Row],[Quantity]]</f>
        <v>60000</v>
      </c>
      <c r="N54" s="9">
        <f>Table1[[#This Row],[Cost Price]]*Table1[[#This Row],[Quantity]]</f>
        <v>48000</v>
      </c>
      <c r="O54" s="9">
        <f>Table1[[#This Row],[Revenue]]-Table1[[#This Row],[COGS]]</f>
        <v>12000</v>
      </c>
      <c r="P54" s="6">
        <v>53</v>
      </c>
    </row>
    <row r="55" spans="1:16">
      <c r="A55" s="7" t="s">
        <v>55</v>
      </c>
      <c r="B55" s="7" t="str">
        <f>TEXT(Table1[[#This Row],[Date]],"MMM")</f>
        <v>Mar</v>
      </c>
      <c r="C55" t="s">
        <v>35</v>
      </c>
      <c r="D55" t="s">
        <v>36</v>
      </c>
      <c r="E55" t="s">
        <v>41</v>
      </c>
      <c r="F55" t="s">
        <v>37</v>
      </c>
      <c r="G55" t="s">
        <v>50</v>
      </c>
      <c r="H55" t="s">
        <v>51</v>
      </c>
      <c r="I55" s="9">
        <v>300000</v>
      </c>
      <c r="J55">
        <v>9</v>
      </c>
      <c r="K55" t="s">
        <v>58</v>
      </c>
      <c r="L55" s="9">
        <f t="shared" si="0"/>
        <v>240000</v>
      </c>
      <c r="M55" s="9">
        <f>Table1[[#This Row],[Unit Price]]*Table1[[#This Row],[Quantity]]</f>
        <v>2700000</v>
      </c>
      <c r="N55" s="9">
        <f>Table1[[#This Row],[Cost Price]]*Table1[[#This Row],[Quantity]]</f>
        <v>2160000</v>
      </c>
      <c r="O55" s="9">
        <f>Table1[[#This Row],[Revenue]]-Table1[[#This Row],[COGS]]</f>
        <v>540000</v>
      </c>
      <c r="P55" s="6">
        <v>54</v>
      </c>
    </row>
    <row r="56" spans="1:16">
      <c r="A56" s="7" t="s">
        <v>100</v>
      </c>
      <c r="B56" s="7" t="str">
        <f>TEXT(Table1[[#This Row],[Date]],"MMM")</f>
        <v>Jan</v>
      </c>
      <c r="C56" t="s">
        <v>27</v>
      </c>
      <c r="D56" t="s">
        <v>45</v>
      </c>
      <c r="E56" t="s">
        <v>41</v>
      </c>
      <c r="F56" t="s">
        <v>30</v>
      </c>
      <c r="G56" t="s">
        <v>67</v>
      </c>
      <c r="H56" t="s">
        <v>51</v>
      </c>
      <c r="I56" s="9">
        <v>420000</v>
      </c>
      <c r="J56">
        <v>9</v>
      </c>
      <c r="K56" t="s">
        <v>42</v>
      </c>
      <c r="L56" s="9">
        <f t="shared" si="0"/>
        <v>336000</v>
      </c>
      <c r="M56" s="9">
        <f>Table1[[#This Row],[Unit Price]]*Table1[[#This Row],[Quantity]]</f>
        <v>3780000</v>
      </c>
      <c r="N56" s="9">
        <f>Table1[[#This Row],[Cost Price]]*Table1[[#This Row],[Quantity]]</f>
        <v>3024000</v>
      </c>
      <c r="O56" s="9">
        <f>Table1[[#This Row],[Revenue]]-Table1[[#This Row],[COGS]]</f>
        <v>756000</v>
      </c>
      <c r="P56" s="6">
        <v>55</v>
      </c>
    </row>
    <row r="57" spans="1:16">
      <c r="A57" s="7" t="s">
        <v>85</v>
      </c>
      <c r="B57" s="7" t="str">
        <f>TEXT(Table1[[#This Row],[Date]],"MMM")</f>
        <v>Feb</v>
      </c>
      <c r="C57" t="s">
        <v>35</v>
      </c>
      <c r="D57" t="s">
        <v>36</v>
      </c>
      <c r="E57" t="s">
        <v>29</v>
      </c>
      <c r="F57" t="s">
        <v>30</v>
      </c>
      <c r="G57" t="s">
        <v>73</v>
      </c>
      <c r="H57" t="s">
        <v>39</v>
      </c>
      <c r="I57" s="9">
        <v>220000</v>
      </c>
      <c r="J57">
        <v>8</v>
      </c>
      <c r="K57" t="s">
        <v>65</v>
      </c>
      <c r="L57" s="9">
        <f t="shared" si="0"/>
        <v>176000</v>
      </c>
      <c r="M57" s="9">
        <f>Table1[[#This Row],[Unit Price]]*Table1[[#This Row],[Quantity]]</f>
        <v>1760000</v>
      </c>
      <c r="N57" s="9">
        <f>Table1[[#This Row],[Cost Price]]*Table1[[#This Row],[Quantity]]</f>
        <v>1408000</v>
      </c>
      <c r="O57" s="9">
        <f>Table1[[#This Row],[Revenue]]-Table1[[#This Row],[COGS]]</f>
        <v>352000</v>
      </c>
      <c r="P57" s="6">
        <v>56</v>
      </c>
    </row>
    <row r="58" spans="1:16">
      <c r="A58" s="7" t="s">
        <v>101</v>
      </c>
      <c r="B58" s="7" t="str">
        <f>TEXT(Table1[[#This Row],[Date]],"MMM")</f>
        <v>Jan</v>
      </c>
      <c r="C58" t="s">
        <v>44</v>
      </c>
      <c r="D58" t="s">
        <v>28</v>
      </c>
      <c r="E58" t="s">
        <v>29</v>
      </c>
      <c r="F58" t="s">
        <v>30</v>
      </c>
      <c r="G58" t="s">
        <v>31</v>
      </c>
      <c r="H58" t="s">
        <v>32</v>
      </c>
      <c r="I58" s="9">
        <v>85000</v>
      </c>
      <c r="J58">
        <v>10</v>
      </c>
      <c r="K58" t="s">
        <v>58</v>
      </c>
      <c r="L58" s="9">
        <f t="shared" si="0"/>
        <v>68000</v>
      </c>
      <c r="M58" s="9">
        <f>Table1[[#This Row],[Unit Price]]*Table1[[#This Row],[Quantity]]</f>
        <v>850000</v>
      </c>
      <c r="N58" s="9">
        <f>Table1[[#This Row],[Cost Price]]*Table1[[#This Row],[Quantity]]</f>
        <v>680000</v>
      </c>
      <c r="O58" s="9">
        <f>Table1[[#This Row],[Revenue]]-Table1[[#This Row],[COGS]]</f>
        <v>170000</v>
      </c>
      <c r="P58" s="6">
        <v>57</v>
      </c>
    </row>
    <row r="59" spans="1:16">
      <c r="A59" s="7" t="s">
        <v>86</v>
      </c>
      <c r="B59" s="7" t="str">
        <f>TEXT(Table1[[#This Row],[Date]],"MMM")</f>
        <v>Feb</v>
      </c>
      <c r="C59" t="s">
        <v>27</v>
      </c>
      <c r="D59" t="s">
        <v>45</v>
      </c>
      <c r="E59" t="s">
        <v>41</v>
      </c>
      <c r="F59" t="s">
        <v>30</v>
      </c>
      <c r="G59" t="s">
        <v>62</v>
      </c>
      <c r="H59" t="s">
        <v>51</v>
      </c>
      <c r="I59" s="9">
        <v>150000</v>
      </c>
      <c r="J59">
        <v>4</v>
      </c>
      <c r="K59" t="s">
        <v>33</v>
      </c>
      <c r="L59" s="9">
        <f t="shared" si="0"/>
        <v>120000</v>
      </c>
      <c r="M59" s="9">
        <f>Table1[[#This Row],[Unit Price]]*Table1[[#This Row],[Quantity]]</f>
        <v>600000</v>
      </c>
      <c r="N59" s="9">
        <f>Table1[[#This Row],[Cost Price]]*Table1[[#This Row],[Quantity]]</f>
        <v>480000</v>
      </c>
      <c r="O59" s="9">
        <f>Table1[[#This Row],[Revenue]]-Table1[[#This Row],[COGS]]</f>
        <v>120000</v>
      </c>
      <c r="P59" s="6">
        <v>58</v>
      </c>
    </row>
    <row r="60" spans="1:16">
      <c r="A60" s="7" t="s">
        <v>63</v>
      </c>
      <c r="B60" s="7" t="str">
        <f>TEXT(Table1[[#This Row],[Date]],"MMM")</f>
        <v>Jan</v>
      </c>
      <c r="C60" t="s">
        <v>35</v>
      </c>
      <c r="D60" t="s">
        <v>36</v>
      </c>
      <c r="E60" t="s">
        <v>41</v>
      </c>
      <c r="F60" t="s">
        <v>37</v>
      </c>
      <c r="G60" t="s">
        <v>71</v>
      </c>
      <c r="H60" t="s">
        <v>51</v>
      </c>
      <c r="I60" s="9">
        <v>250000</v>
      </c>
      <c r="J60">
        <v>1</v>
      </c>
      <c r="K60" t="s">
        <v>47</v>
      </c>
      <c r="L60" s="9">
        <f t="shared" si="0"/>
        <v>200000</v>
      </c>
      <c r="M60" s="9">
        <f>Table1[[#This Row],[Unit Price]]*Table1[[#This Row],[Quantity]]</f>
        <v>250000</v>
      </c>
      <c r="N60" s="9">
        <f>Table1[[#This Row],[Cost Price]]*Table1[[#This Row],[Quantity]]</f>
        <v>200000</v>
      </c>
      <c r="O60" s="9">
        <f>Table1[[#This Row],[Revenue]]-Table1[[#This Row],[COGS]]</f>
        <v>50000</v>
      </c>
      <c r="P60" s="6">
        <v>59</v>
      </c>
    </row>
    <row r="61" spans="1:16">
      <c r="A61" s="7" t="s">
        <v>102</v>
      </c>
      <c r="B61" s="7" t="str">
        <f>TEXT(Table1[[#This Row],[Date]],"MMM")</f>
        <v>Mar</v>
      </c>
      <c r="C61" t="s">
        <v>44</v>
      </c>
      <c r="D61" t="s">
        <v>36</v>
      </c>
      <c r="E61" t="s">
        <v>29</v>
      </c>
      <c r="F61" t="s">
        <v>30</v>
      </c>
      <c r="G61" t="s">
        <v>38</v>
      </c>
      <c r="H61" t="s">
        <v>39</v>
      </c>
      <c r="I61" s="9">
        <v>30000</v>
      </c>
      <c r="J61">
        <v>10</v>
      </c>
      <c r="K61" t="s">
        <v>47</v>
      </c>
      <c r="L61" s="9">
        <f t="shared" si="0"/>
        <v>24000</v>
      </c>
      <c r="M61" s="9">
        <f>Table1[[#This Row],[Unit Price]]*Table1[[#This Row],[Quantity]]</f>
        <v>300000</v>
      </c>
      <c r="N61" s="9">
        <f>Table1[[#This Row],[Cost Price]]*Table1[[#This Row],[Quantity]]</f>
        <v>240000</v>
      </c>
      <c r="O61" s="9">
        <f>Table1[[#This Row],[Revenue]]-Table1[[#This Row],[COGS]]</f>
        <v>60000</v>
      </c>
      <c r="P61" s="6">
        <v>60</v>
      </c>
    </row>
    <row r="62" spans="1:16">
      <c r="A62" s="7" t="s">
        <v>103</v>
      </c>
      <c r="B62" s="7" t="str">
        <f>TEXT(Table1[[#This Row],[Date]],"MMM")</f>
        <v>Mar</v>
      </c>
      <c r="C62" t="s">
        <v>44</v>
      </c>
      <c r="D62" t="s">
        <v>36</v>
      </c>
      <c r="E62" t="s">
        <v>41</v>
      </c>
      <c r="F62" t="s">
        <v>30</v>
      </c>
      <c r="G62" t="s">
        <v>67</v>
      </c>
      <c r="H62" t="s">
        <v>51</v>
      </c>
      <c r="I62" s="9">
        <v>420000</v>
      </c>
      <c r="J62">
        <v>4</v>
      </c>
      <c r="K62" t="s">
        <v>42</v>
      </c>
      <c r="L62" s="9">
        <f t="shared" si="0"/>
        <v>336000</v>
      </c>
      <c r="M62" s="9">
        <f>Table1[[#This Row],[Unit Price]]*Table1[[#This Row],[Quantity]]</f>
        <v>1680000</v>
      </c>
      <c r="N62" s="9">
        <f>Table1[[#This Row],[Cost Price]]*Table1[[#This Row],[Quantity]]</f>
        <v>1344000</v>
      </c>
      <c r="O62" s="9">
        <f>Table1[[#This Row],[Revenue]]-Table1[[#This Row],[COGS]]</f>
        <v>336000</v>
      </c>
      <c r="P62" s="6">
        <v>61</v>
      </c>
    </row>
    <row r="63" spans="1:16">
      <c r="A63" s="7" t="s">
        <v>104</v>
      </c>
      <c r="B63" s="7" t="str">
        <f>TEXT(Table1[[#This Row],[Date]],"MMM")</f>
        <v>Mar</v>
      </c>
      <c r="C63" t="s">
        <v>35</v>
      </c>
      <c r="D63" t="s">
        <v>36</v>
      </c>
      <c r="E63" t="s">
        <v>29</v>
      </c>
      <c r="F63" t="s">
        <v>37</v>
      </c>
      <c r="G63" t="s">
        <v>31</v>
      </c>
      <c r="H63" t="s">
        <v>32</v>
      </c>
      <c r="I63" s="9">
        <v>85000</v>
      </c>
      <c r="J63">
        <v>2</v>
      </c>
      <c r="K63" t="s">
        <v>58</v>
      </c>
      <c r="L63" s="9">
        <f t="shared" si="0"/>
        <v>68000</v>
      </c>
      <c r="M63" s="9">
        <f>Table1[[#This Row],[Unit Price]]*Table1[[#This Row],[Quantity]]</f>
        <v>170000</v>
      </c>
      <c r="N63" s="9">
        <f>Table1[[#This Row],[Cost Price]]*Table1[[#This Row],[Quantity]]</f>
        <v>136000</v>
      </c>
      <c r="O63" s="9">
        <f>Table1[[#This Row],[Revenue]]-Table1[[#This Row],[COGS]]</f>
        <v>34000</v>
      </c>
      <c r="P63" s="6">
        <v>62</v>
      </c>
    </row>
    <row r="64" spans="1:16">
      <c r="A64" s="7" t="s">
        <v>105</v>
      </c>
      <c r="B64" s="7" t="str">
        <f>TEXT(Table1[[#This Row],[Date]],"MMM")</f>
        <v>Mar</v>
      </c>
      <c r="C64" t="s">
        <v>35</v>
      </c>
      <c r="D64" t="s">
        <v>36</v>
      </c>
      <c r="E64" t="s">
        <v>29</v>
      </c>
      <c r="F64" t="s">
        <v>30</v>
      </c>
      <c r="G64" t="s">
        <v>73</v>
      </c>
      <c r="H64" t="s">
        <v>39</v>
      </c>
      <c r="I64" s="9">
        <v>220000</v>
      </c>
      <c r="J64">
        <v>1</v>
      </c>
      <c r="K64" t="s">
        <v>47</v>
      </c>
      <c r="L64" s="9">
        <f t="shared" si="0"/>
        <v>176000</v>
      </c>
      <c r="M64" s="9">
        <f>Table1[[#This Row],[Unit Price]]*Table1[[#This Row],[Quantity]]</f>
        <v>220000</v>
      </c>
      <c r="N64" s="9">
        <f>Table1[[#This Row],[Cost Price]]*Table1[[#This Row],[Quantity]]</f>
        <v>176000</v>
      </c>
      <c r="O64" s="9">
        <f>Table1[[#This Row],[Revenue]]-Table1[[#This Row],[COGS]]</f>
        <v>44000</v>
      </c>
      <c r="P64" s="6">
        <v>63</v>
      </c>
    </row>
    <row r="65" spans="1:16">
      <c r="A65" s="7" t="s">
        <v>83</v>
      </c>
      <c r="B65" s="7" t="str">
        <f>TEXT(Table1[[#This Row],[Date]],"MMM")</f>
        <v>Jan</v>
      </c>
      <c r="C65" t="s">
        <v>27</v>
      </c>
      <c r="D65" t="s">
        <v>28</v>
      </c>
      <c r="E65" t="s">
        <v>29</v>
      </c>
      <c r="F65" t="s">
        <v>37</v>
      </c>
      <c r="G65" t="s">
        <v>54</v>
      </c>
      <c r="H65" t="s">
        <v>39</v>
      </c>
      <c r="I65" s="9">
        <v>180000</v>
      </c>
      <c r="J65">
        <v>9</v>
      </c>
      <c r="K65" t="s">
        <v>69</v>
      </c>
      <c r="L65" s="9">
        <f t="shared" si="0"/>
        <v>144000</v>
      </c>
      <c r="M65" s="9">
        <f>Table1[[#This Row],[Unit Price]]*Table1[[#This Row],[Quantity]]</f>
        <v>1620000</v>
      </c>
      <c r="N65" s="9">
        <f>Table1[[#This Row],[Cost Price]]*Table1[[#This Row],[Quantity]]</f>
        <v>1296000</v>
      </c>
      <c r="O65" s="9">
        <f>Table1[[#This Row],[Revenue]]-Table1[[#This Row],[COGS]]</f>
        <v>324000</v>
      </c>
      <c r="P65" s="6">
        <v>64</v>
      </c>
    </row>
    <row r="66" spans="1:16">
      <c r="A66" s="7" t="s">
        <v>78</v>
      </c>
      <c r="B66" s="7" t="str">
        <f>TEXT(Table1[[#This Row],[Date]],"MMM")</f>
        <v>Apr</v>
      </c>
      <c r="C66" t="s">
        <v>27</v>
      </c>
      <c r="D66" t="s">
        <v>45</v>
      </c>
      <c r="E66" t="s">
        <v>29</v>
      </c>
      <c r="F66" t="s">
        <v>37</v>
      </c>
      <c r="G66" t="s">
        <v>71</v>
      </c>
      <c r="H66" t="s">
        <v>51</v>
      </c>
      <c r="I66" s="9">
        <v>250000</v>
      </c>
      <c r="J66">
        <v>6</v>
      </c>
      <c r="K66" t="s">
        <v>33</v>
      </c>
      <c r="L66" s="9">
        <f t="shared" ref="L66:L129" si="1">I66-I66*0.2</f>
        <v>200000</v>
      </c>
      <c r="M66" s="9">
        <f>Table1[[#This Row],[Unit Price]]*Table1[[#This Row],[Quantity]]</f>
        <v>1500000</v>
      </c>
      <c r="N66" s="9">
        <f>Table1[[#This Row],[Cost Price]]*Table1[[#This Row],[Quantity]]</f>
        <v>1200000</v>
      </c>
      <c r="O66" s="9">
        <f>Table1[[#This Row],[Revenue]]-Table1[[#This Row],[COGS]]</f>
        <v>300000</v>
      </c>
      <c r="P66" s="6">
        <v>65</v>
      </c>
    </row>
    <row r="67" spans="1:16">
      <c r="A67" s="7" t="s">
        <v>106</v>
      </c>
      <c r="B67" s="7" t="str">
        <f>TEXT(Table1[[#This Row],[Date]],"MMM")</f>
        <v>Apr</v>
      </c>
      <c r="C67" t="s">
        <v>27</v>
      </c>
      <c r="D67" t="s">
        <v>28</v>
      </c>
      <c r="E67" t="s">
        <v>29</v>
      </c>
      <c r="F67" t="s">
        <v>37</v>
      </c>
      <c r="G67" t="s">
        <v>54</v>
      </c>
      <c r="H67" t="s">
        <v>39</v>
      </c>
      <c r="I67" s="9">
        <v>180000</v>
      </c>
      <c r="J67">
        <v>3</v>
      </c>
      <c r="K67" t="s">
        <v>69</v>
      </c>
      <c r="L67" s="9">
        <f t="shared" si="1"/>
        <v>144000</v>
      </c>
      <c r="M67" s="9">
        <f>Table1[[#This Row],[Unit Price]]*Table1[[#This Row],[Quantity]]</f>
        <v>540000</v>
      </c>
      <c r="N67" s="9">
        <f>Table1[[#This Row],[Cost Price]]*Table1[[#This Row],[Quantity]]</f>
        <v>432000</v>
      </c>
      <c r="O67" s="9">
        <f>Table1[[#This Row],[Revenue]]-Table1[[#This Row],[COGS]]</f>
        <v>108000</v>
      </c>
      <c r="P67" s="6">
        <v>66</v>
      </c>
    </row>
    <row r="68" spans="1:16">
      <c r="A68" s="7" t="s">
        <v>107</v>
      </c>
      <c r="B68" s="7" t="str">
        <f>TEXT(Table1[[#This Row],[Date]],"MMM")</f>
        <v>Feb</v>
      </c>
      <c r="C68" t="s">
        <v>44</v>
      </c>
      <c r="D68" t="s">
        <v>28</v>
      </c>
      <c r="E68" t="s">
        <v>41</v>
      </c>
      <c r="F68" t="s">
        <v>30</v>
      </c>
      <c r="G68" t="s">
        <v>46</v>
      </c>
      <c r="H68" t="s">
        <v>39</v>
      </c>
      <c r="I68" s="9">
        <v>60000</v>
      </c>
      <c r="J68">
        <v>8</v>
      </c>
      <c r="K68" t="s">
        <v>58</v>
      </c>
      <c r="L68" s="9">
        <f t="shared" si="1"/>
        <v>48000</v>
      </c>
      <c r="M68" s="9">
        <f>Table1[[#This Row],[Unit Price]]*Table1[[#This Row],[Quantity]]</f>
        <v>480000</v>
      </c>
      <c r="N68" s="9">
        <f>Table1[[#This Row],[Cost Price]]*Table1[[#This Row],[Quantity]]</f>
        <v>384000</v>
      </c>
      <c r="O68" s="9">
        <f>Table1[[#This Row],[Revenue]]-Table1[[#This Row],[COGS]]</f>
        <v>96000</v>
      </c>
      <c r="P68" s="6">
        <v>67</v>
      </c>
    </row>
    <row r="69" spans="1:16">
      <c r="A69" s="7" t="s">
        <v>108</v>
      </c>
      <c r="B69" s="7" t="str">
        <f>TEXT(Table1[[#This Row],[Date]],"MMM")</f>
        <v>Apr</v>
      </c>
      <c r="C69" t="s">
        <v>49</v>
      </c>
      <c r="D69" t="s">
        <v>28</v>
      </c>
      <c r="E69" t="s">
        <v>29</v>
      </c>
      <c r="F69" t="s">
        <v>30</v>
      </c>
      <c r="G69" t="s">
        <v>46</v>
      </c>
      <c r="H69" t="s">
        <v>39</v>
      </c>
      <c r="I69" s="9">
        <v>60000</v>
      </c>
      <c r="J69">
        <v>3</v>
      </c>
      <c r="K69" t="s">
        <v>33</v>
      </c>
      <c r="L69" s="9">
        <f t="shared" si="1"/>
        <v>48000</v>
      </c>
      <c r="M69" s="9">
        <f>Table1[[#This Row],[Unit Price]]*Table1[[#This Row],[Quantity]]</f>
        <v>180000</v>
      </c>
      <c r="N69" s="9">
        <f>Table1[[#This Row],[Cost Price]]*Table1[[#This Row],[Quantity]]</f>
        <v>144000</v>
      </c>
      <c r="O69" s="9">
        <f>Table1[[#This Row],[Revenue]]-Table1[[#This Row],[COGS]]</f>
        <v>36000</v>
      </c>
      <c r="P69" s="6">
        <v>68</v>
      </c>
    </row>
    <row r="70" spans="1:16">
      <c r="A70" s="7" t="s">
        <v>109</v>
      </c>
      <c r="B70" s="7" t="str">
        <f>TEXT(Table1[[#This Row],[Date]],"MMM")</f>
        <v>Mar</v>
      </c>
      <c r="C70" t="s">
        <v>27</v>
      </c>
      <c r="D70" t="s">
        <v>45</v>
      </c>
      <c r="E70" t="s">
        <v>41</v>
      </c>
      <c r="F70" t="s">
        <v>30</v>
      </c>
      <c r="G70" t="s">
        <v>38</v>
      </c>
      <c r="H70" t="s">
        <v>39</v>
      </c>
      <c r="I70" s="9">
        <v>30000</v>
      </c>
      <c r="J70">
        <v>8</v>
      </c>
      <c r="K70" t="s">
        <v>47</v>
      </c>
      <c r="L70" s="9">
        <f t="shared" si="1"/>
        <v>24000</v>
      </c>
      <c r="M70" s="9">
        <f>Table1[[#This Row],[Unit Price]]*Table1[[#This Row],[Quantity]]</f>
        <v>240000</v>
      </c>
      <c r="N70" s="9">
        <f>Table1[[#This Row],[Cost Price]]*Table1[[#This Row],[Quantity]]</f>
        <v>192000</v>
      </c>
      <c r="O70" s="9">
        <f>Table1[[#This Row],[Revenue]]-Table1[[#This Row],[COGS]]</f>
        <v>48000</v>
      </c>
      <c r="P70" s="6">
        <v>69</v>
      </c>
    </row>
    <row r="71" spans="1:16">
      <c r="A71" s="7" t="s">
        <v>110</v>
      </c>
      <c r="B71" s="7" t="str">
        <f>TEXT(Table1[[#This Row],[Date]],"MMM")</f>
        <v>Jan</v>
      </c>
      <c r="C71" t="s">
        <v>44</v>
      </c>
      <c r="D71" t="s">
        <v>36</v>
      </c>
      <c r="E71" t="s">
        <v>29</v>
      </c>
      <c r="F71" t="s">
        <v>37</v>
      </c>
      <c r="G71" t="s">
        <v>46</v>
      </c>
      <c r="H71" t="s">
        <v>39</v>
      </c>
      <c r="I71" s="9">
        <v>60000</v>
      </c>
      <c r="J71">
        <v>4</v>
      </c>
      <c r="K71" t="s">
        <v>69</v>
      </c>
      <c r="L71" s="9">
        <f t="shared" si="1"/>
        <v>48000</v>
      </c>
      <c r="M71" s="9">
        <f>Table1[[#This Row],[Unit Price]]*Table1[[#This Row],[Quantity]]</f>
        <v>240000</v>
      </c>
      <c r="N71" s="9">
        <f>Table1[[#This Row],[Cost Price]]*Table1[[#This Row],[Quantity]]</f>
        <v>192000</v>
      </c>
      <c r="O71" s="9">
        <f>Table1[[#This Row],[Revenue]]-Table1[[#This Row],[COGS]]</f>
        <v>48000</v>
      </c>
      <c r="P71" s="6">
        <v>70</v>
      </c>
    </row>
    <row r="72" spans="1:16">
      <c r="A72" s="7" t="s">
        <v>111</v>
      </c>
      <c r="B72" s="7" t="str">
        <f>TEXT(Table1[[#This Row],[Date]],"MMM")</f>
        <v>Feb</v>
      </c>
      <c r="C72" t="s">
        <v>44</v>
      </c>
      <c r="D72" t="s">
        <v>28</v>
      </c>
      <c r="E72" t="s">
        <v>41</v>
      </c>
      <c r="F72" t="s">
        <v>37</v>
      </c>
      <c r="G72" t="s">
        <v>38</v>
      </c>
      <c r="H72" t="s">
        <v>39</v>
      </c>
      <c r="I72" s="9">
        <v>30000</v>
      </c>
      <c r="J72">
        <v>3</v>
      </c>
      <c r="K72" t="s">
        <v>42</v>
      </c>
      <c r="L72" s="9">
        <f t="shared" si="1"/>
        <v>24000</v>
      </c>
      <c r="M72" s="9">
        <f>Table1[[#This Row],[Unit Price]]*Table1[[#This Row],[Quantity]]</f>
        <v>90000</v>
      </c>
      <c r="N72" s="9">
        <f>Table1[[#This Row],[Cost Price]]*Table1[[#This Row],[Quantity]]</f>
        <v>72000</v>
      </c>
      <c r="O72" s="9">
        <f>Table1[[#This Row],[Revenue]]-Table1[[#This Row],[COGS]]</f>
        <v>18000</v>
      </c>
      <c r="P72" s="6">
        <v>71</v>
      </c>
    </row>
    <row r="73" spans="1:16">
      <c r="A73" s="7" t="s">
        <v>112</v>
      </c>
      <c r="B73" s="7" t="str">
        <f>TEXT(Table1[[#This Row],[Date]],"MMM")</f>
        <v>Feb</v>
      </c>
      <c r="C73" t="s">
        <v>35</v>
      </c>
      <c r="D73" t="s">
        <v>45</v>
      </c>
      <c r="E73" t="s">
        <v>29</v>
      </c>
      <c r="F73" t="s">
        <v>30</v>
      </c>
      <c r="G73" t="s">
        <v>54</v>
      </c>
      <c r="H73" t="s">
        <v>39</v>
      </c>
      <c r="I73" s="9">
        <v>180000</v>
      </c>
      <c r="J73">
        <v>5</v>
      </c>
      <c r="K73" t="s">
        <v>47</v>
      </c>
      <c r="L73" s="9">
        <f t="shared" si="1"/>
        <v>144000</v>
      </c>
      <c r="M73" s="9">
        <f>Table1[[#This Row],[Unit Price]]*Table1[[#This Row],[Quantity]]</f>
        <v>900000</v>
      </c>
      <c r="N73" s="9">
        <f>Table1[[#This Row],[Cost Price]]*Table1[[#This Row],[Quantity]]</f>
        <v>720000</v>
      </c>
      <c r="O73" s="9">
        <f>Table1[[#This Row],[Revenue]]-Table1[[#This Row],[COGS]]</f>
        <v>180000</v>
      </c>
      <c r="P73" s="6">
        <v>72</v>
      </c>
    </row>
    <row r="74" spans="1:16">
      <c r="A74" s="7" t="s">
        <v>113</v>
      </c>
      <c r="B74" s="7" t="str">
        <f>TEXT(Table1[[#This Row],[Date]],"MMM")</f>
        <v>Apr</v>
      </c>
      <c r="C74" t="s">
        <v>49</v>
      </c>
      <c r="D74" t="s">
        <v>28</v>
      </c>
      <c r="E74" t="s">
        <v>29</v>
      </c>
      <c r="F74" t="s">
        <v>37</v>
      </c>
      <c r="G74" t="s">
        <v>73</v>
      </c>
      <c r="H74" t="s">
        <v>39</v>
      </c>
      <c r="I74" s="9">
        <v>220000</v>
      </c>
      <c r="J74">
        <v>3</v>
      </c>
      <c r="K74" t="s">
        <v>69</v>
      </c>
      <c r="L74" s="9">
        <f t="shared" si="1"/>
        <v>176000</v>
      </c>
      <c r="M74" s="9">
        <f>Table1[[#This Row],[Unit Price]]*Table1[[#This Row],[Quantity]]</f>
        <v>660000</v>
      </c>
      <c r="N74" s="9">
        <f>Table1[[#This Row],[Cost Price]]*Table1[[#This Row],[Quantity]]</f>
        <v>528000</v>
      </c>
      <c r="O74" s="9">
        <f>Table1[[#This Row],[Revenue]]-Table1[[#This Row],[COGS]]</f>
        <v>132000</v>
      </c>
      <c r="P74" s="6">
        <v>73</v>
      </c>
    </row>
    <row r="75" spans="1:16">
      <c r="A75" s="7" t="s">
        <v>113</v>
      </c>
      <c r="B75" s="7" t="str">
        <f>TEXT(Table1[[#This Row],[Date]],"MMM")</f>
        <v>Apr</v>
      </c>
      <c r="C75" t="s">
        <v>27</v>
      </c>
      <c r="D75" t="s">
        <v>36</v>
      </c>
      <c r="E75" t="s">
        <v>29</v>
      </c>
      <c r="F75" t="s">
        <v>30</v>
      </c>
      <c r="G75" t="s">
        <v>46</v>
      </c>
      <c r="H75" t="s">
        <v>39</v>
      </c>
      <c r="I75" s="9">
        <v>60000</v>
      </c>
      <c r="J75">
        <v>4</v>
      </c>
      <c r="K75" t="s">
        <v>65</v>
      </c>
      <c r="L75" s="9">
        <f t="shared" si="1"/>
        <v>48000</v>
      </c>
      <c r="M75" s="9">
        <f>Table1[[#This Row],[Unit Price]]*Table1[[#This Row],[Quantity]]</f>
        <v>240000</v>
      </c>
      <c r="N75" s="9">
        <f>Table1[[#This Row],[Cost Price]]*Table1[[#This Row],[Quantity]]</f>
        <v>192000</v>
      </c>
      <c r="O75" s="9">
        <f>Table1[[#This Row],[Revenue]]-Table1[[#This Row],[COGS]]</f>
        <v>48000</v>
      </c>
      <c r="P75" s="6">
        <v>74</v>
      </c>
    </row>
    <row r="76" spans="1:16">
      <c r="A76" s="7" t="s">
        <v>114</v>
      </c>
      <c r="B76" s="7" t="str">
        <f>TEXT(Table1[[#This Row],[Date]],"MMM")</f>
        <v>Apr</v>
      </c>
      <c r="C76" t="s">
        <v>49</v>
      </c>
      <c r="D76" t="s">
        <v>28</v>
      </c>
      <c r="E76" t="s">
        <v>41</v>
      </c>
      <c r="F76" t="s">
        <v>30</v>
      </c>
      <c r="G76" t="s">
        <v>31</v>
      </c>
      <c r="H76" t="s">
        <v>32</v>
      </c>
      <c r="I76" s="9">
        <v>85000</v>
      </c>
      <c r="J76">
        <v>1</v>
      </c>
      <c r="K76" t="s">
        <v>65</v>
      </c>
      <c r="L76" s="9">
        <f t="shared" si="1"/>
        <v>68000</v>
      </c>
      <c r="M76" s="9">
        <f>Table1[[#This Row],[Unit Price]]*Table1[[#This Row],[Quantity]]</f>
        <v>85000</v>
      </c>
      <c r="N76" s="9">
        <f>Table1[[#This Row],[Cost Price]]*Table1[[#This Row],[Quantity]]</f>
        <v>68000</v>
      </c>
      <c r="O76" s="9">
        <f>Table1[[#This Row],[Revenue]]-Table1[[#This Row],[COGS]]</f>
        <v>17000</v>
      </c>
      <c r="P76" s="6">
        <v>75</v>
      </c>
    </row>
    <row r="77" spans="1:16">
      <c r="A77" s="7" t="s">
        <v>111</v>
      </c>
      <c r="B77" s="7" t="str">
        <f>TEXT(Table1[[#This Row],[Date]],"MMM")</f>
        <v>Feb</v>
      </c>
      <c r="C77" t="s">
        <v>35</v>
      </c>
      <c r="D77" t="s">
        <v>28</v>
      </c>
      <c r="E77" t="s">
        <v>29</v>
      </c>
      <c r="F77" t="s">
        <v>30</v>
      </c>
      <c r="G77" t="s">
        <v>38</v>
      </c>
      <c r="H77" t="s">
        <v>39</v>
      </c>
      <c r="I77" s="9">
        <v>30000</v>
      </c>
      <c r="J77">
        <v>5</v>
      </c>
      <c r="K77" t="s">
        <v>42</v>
      </c>
      <c r="L77" s="9">
        <f t="shared" si="1"/>
        <v>24000</v>
      </c>
      <c r="M77" s="9">
        <f>Table1[[#This Row],[Unit Price]]*Table1[[#This Row],[Quantity]]</f>
        <v>150000</v>
      </c>
      <c r="N77" s="9">
        <f>Table1[[#This Row],[Cost Price]]*Table1[[#This Row],[Quantity]]</f>
        <v>120000</v>
      </c>
      <c r="O77" s="9">
        <f>Table1[[#This Row],[Revenue]]-Table1[[#This Row],[COGS]]</f>
        <v>30000</v>
      </c>
      <c r="P77" s="6">
        <v>76</v>
      </c>
    </row>
    <row r="78" spans="1:16">
      <c r="A78" s="7" t="s">
        <v>90</v>
      </c>
      <c r="B78" s="7" t="str">
        <f>TEXT(Table1[[#This Row],[Date]],"MMM")</f>
        <v>Feb</v>
      </c>
      <c r="C78" t="s">
        <v>35</v>
      </c>
      <c r="D78" t="s">
        <v>53</v>
      </c>
      <c r="E78" t="s">
        <v>29</v>
      </c>
      <c r="F78" t="s">
        <v>37</v>
      </c>
      <c r="G78" t="s">
        <v>46</v>
      </c>
      <c r="H78" t="s">
        <v>39</v>
      </c>
      <c r="I78" s="9">
        <v>60000</v>
      </c>
      <c r="J78">
        <v>3</v>
      </c>
      <c r="K78" t="s">
        <v>65</v>
      </c>
      <c r="L78" s="9">
        <f t="shared" si="1"/>
        <v>48000</v>
      </c>
      <c r="M78" s="9">
        <f>Table1[[#This Row],[Unit Price]]*Table1[[#This Row],[Quantity]]</f>
        <v>180000</v>
      </c>
      <c r="N78" s="9">
        <f>Table1[[#This Row],[Cost Price]]*Table1[[#This Row],[Quantity]]</f>
        <v>144000</v>
      </c>
      <c r="O78" s="9">
        <f>Table1[[#This Row],[Revenue]]-Table1[[#This Row],[COGS]]</f>
        <v>36000</v>
      </c>
      <c r="P78" s="6">
        <v>77</v>
      </c>
    </row>
    <row r="79" spans="1:16">
      <c r="A79" s="7" t="s">
        <v>88</v>
      </c>
      <c r="B79" s="7" t="str">
        <f>TEXT(Table1[[#This Row],[Date]],"MMM")</f>
        <v>Feb</v>
      </c>
      <c r="C79" t="s">
        <v>27</v>
      </c>
      <c r="D79" t="s">
        <v>53</v>
      </c>
      <c r="E79" t="s">
        <v>29</v>
      </c>
      <c r="F79" t="s">
        <v>30</v>
      </c>
      <c r="G79" t="s">
        <v>46</v>
      </c>
      <c r="H79" t="s">
        <v>39</v>
      </c>
      <c r="I79" s="9">
        <v>60000</v>
      </c>
      <c r="J79">
        <v>6</v>
      </c>
      <c r="K79" t="s">
        <v>33</v>
      </c>
      <c r="L79" s="9">
        <f t="shared" si="1"/>
        <v>48000</v>
      </c>
      <c r="M79" s="9">
        <f>Table1[[#This Row],[Unit Price]]*Table1[[#This Row],[Quantity]]</f>
        <v>360000</v>
      </c>
      <c r="N79" s="9">
        <f>Table1[[#This Row],[Cost Price]]*Table1[[#This Row],[Quantity]]</f>
        <v>288000</v>
      </c>
      <c r="O79" s="9">
        <f>Table1[[#This Row],[Revenue]]-Table1[[#This Row],[COGS]]</f>
        <v>72000</v>
      </c>
      <c r="P79" s="6">
        <v>78</v>
      </c>
    </row>
    <row r="80" spans="1:16">
      <c r="A80" s="7" t="s">
        <v>83</v>
      </c>
      <c r="B80" s="7" t="str">
        <f>TEXT(Table1[[#This Row],[Date]],"MMM")</f>
        <v>Jan</v>
      </c>
      <c r="C80" t="s">
        <v>44</v>
      </c>
      <c r="D80" t="s">
        <v>45</v>
      </c>
      <c r="E80" t="s">
        <v>41</v>
      </c>
      <c r="F80" t="s">
        <v>30</v>
      </c>
      <c r="G80" t="s">
        <v>50</v>
      </c>
      <c r="H80" t="s">
        <v>51</v>
      </c>
      <c r="I80" s="9">
        <v>300000</v>
      </c>
      <c r="J80">
        <v>2</v>
      </c>
      <c r="K80" t="s">
        <v>33</v>
      </c>
      <c r="L80" s="9">
        <f t="shared" si="1"/>
        <v>240000</v>
      </c>
      <c r="M80" s="9">
        <f>Table1[[#This Row],[Unit Price]]*Table1[[#This Row],[Quantity]]</f>
        <v>600000</v>
      </c>
      <c r="N80" s="9">
        <f>Table1[[#This Row],[Cost Price]]*Table1[[#This Row],[Quantity]]</f>
        <v>480000</v>
      </c>
      <c r="O80" s="9">
        <f>Table1[[#This Row],[Revenue]]-Table1[[#This Row],[COGS]]</f>
        <v>120000</v>
      </c>
      <c r="P80" s="6">
        <v>79</v>
      </c>
    </row>
    <row r="81" spans="1:16">
      <c r="A81" s="7" t="s">
        <v>115</v>
      </c>
      <c r="B81" s="7" t="str">
        <f>TEXT(Table1[[#This Row],[Date]],"MMM")</f>
        <v>Jan</v>
      </c>
      <c r="C81" t="s">
        <v>27</v>
      </c>
      <c r="D81" t="s">
        <v>45</v>
      </c>
      <c r="E81" t="s">
        <v>29</v>
      </c>
      <c r="F81" t="s">
        <v>30</v>
      </c>
      <c r="G81" t="s">
        <v>62</v>
      </c>
      <c r="H81" t="s">
        <v>51</v>
      </c>
      <c r="I81" s="9">
        <v>150000</v>
      </c>
      <c r="J81">
        <v>7</v>
      </c>
      <c r="K81" t="s">
        <v>42</v>
      </c>
      <c r="L81" s="9">
        <f t="shared" si="1"/>
        <v>120000</v>
      </c>
      <c r="M81" s="9">
        <f>Table1[[#This Row],[Unit Price]]*Table1[[#This Row],[Quantity]]</f>
        <v>1050000</v>
      </c>
      <c r="N81" s="9">
        <f>Table1[[#This Row],[Cost Price]]*Table1[[#This Row],[Quantity]]</f>
        <v>840000</v>
      </c>
      <c r="O81" s="9">
        <f>Table1[[#This Row],[Revenue]]-Table1[[#This Row],[COGS]]</f>
        <v>210000</v>
      </c>
      <c r="P81" s="6">
        <v>80</v>
      </c>
    </row>
    <row r="82" spans="1:16">
      <c r="A82" s="7" t="s">
        <v>116</v>
      </c>
      <c r="B82" s="7" t="str">
        <f>TEXT(Table1[[#This Row],[Date]],"MMM")</f>
        <v>Apr</v>
      </c>
      <c r="C82" t="s">
        <v>49</v>
      </c>
      <c r="D82" t="s">
        <v>45</v>
      </c>
      <c r="E82" t="s">
        <v>41</v>
      </c>
      <c r="F82" t="s">
        <v>37</v>
      </c>
      <c r="G82" t="s">
        <v>73</v>
      </c>
      <c r="H82" t="s">
        <v>39</v>
      </c>
      <c r="I82" s="9">
        <v>220000</v>
      </c>
      <c r="J82">
        <v>3</v>
      </c>
      <c r="K82" t="s">
        <v>47</v>
      </c>
      <c r="L82" s="9">
        <f t="shared" si="1"/>
        <v>176000</v>
      </c>
      <c r="M82" s="9">
        <f>Table1[[#This Row],[Unit Price]]*Table1[[#This Row],[Quantity]]</f>
        <v>660000</v>
      </c>
      <c r="N82" s="9">
        <f>Table1[[#This Row],[Cost Price]]*Table1[[#This Row],[Quantity]]</f>
        <v>528000</v>
      </c>
      <c r="O82" s="9">
        <f>Table1[[#This Row],[Revenue]]-Table1[[#This Row],[COGS]]</f>
        <v>132000</v>
      </c>
      <c r="P82" s="6">
        <v>81</v>
      </c>
    </row>
    <row r="83" spans="1:16">
      <c r="A83" s="7" t="s">
        <v>100</v>
      </c>
      <c r="B83" s="7" t="str">
        <f>TEXT(Table1[[#This Row],[Date]],"MMM")</f>
        <v>Jan</v>
      </c>
      <c r="C83" t="s">
        <v>27</v>
      </c>
      <c r="D83" t="s">
        <v>45</v>
      </c>
      <c r="E83" t="s">
        <v>29</v>
      </c>
      <c r="F83" t="s">
        <v>37</v>
      </c>
      <c r="G83" t="s">
        <v>46</v>
      </c>
      <c r="H83" t="s">
        <v>39</v>
      </c>
      <c r="I83" s="9">
        <v>60000</v>
      </c>
      <c r="J83">
        <v>9</v>
      </c>
      <c r="K83" t="s">
        <v>58</v>
      </c>
      <c r="L83" s="9">
        <f t="shared" si="1"/>
        <v>48000</v>
      </c>
      <c r="M83" s="9">
        <f>Table1[[#This Row],[Unit Price]]*Table1[[#This Row],[Quantity]]</f>
        <v>540000</v>
      </c>
      <c r="N83" s="9">
        <f>Table1[[#This Row],[Cost Price]]*Table1[[#This Row],[Quantity]]</f>
        <v>432000</v>
      </c>
      <c r="O83" s="9">
        <f>Table1[[#This Row],[Revenue]]-Table1[[#This Row],[COGS]]</f>
        <v>108000</v>
      </c>
      <c r="P83" s="6">
        <v>82</v>
      </c>
    </row>
    <row r="84" spans="1:16">
      <c r="A84" s="7" t="s">
        <v>79</v>
      </c>
      <c r="B84" s="7" t="str">
        <f>TEXT(Table1[[#This Row],[Date]],"MMM")</f>
        <v>Feb</v>
      </c>
      <c r="C84" t="s">
        <v>27</v>
      </c>
      <c r="D84" t="s">
        <v>36</v>
      </c>
      <c r="E84" t="s">
        <v>41</v>
      </c>
      <c r="F84" t="s">
        <v>37</v>
      </c>
      <c r="G84" t="s">
        <v>56</v>
      </c>
      <c r="H84" t="s">
        <v>32</v>
      </c>
      <c r="I84" s="9">
        <v>320000</v>
      </c>
      <c r="J84">
        <v>2</v>
      </c>
      <c r="K84" t="s">
        <v>47</v>
      </c>
      <c r="L84" s="9">
        <f t="shared" si="1"/>
        <v>256000</v>
      </c>
      <c r="M84" s="9">
        <f>Table1[[#This Row],[Unit Price]]*Table1[[#This Row],[Quantity]]</f>
        <v>640000</v>
      </c>
      <c r="N84" s="9">
        <f>Table1[[#This Row],[Cost Price]]*Table1[[#This Row],[Quantity]]</f>
        <v>512000</v>
      </c>
      <c r="O84" s="9">
        <f>Table1[[#This Row],[Revenue]]-Table1[[#This Row],[COGS]]</f>
        <v>128000</v>
      </c>
      <c r="P84" s="6">
        <v>83</v>
      </c>
    </row>
    <row r="85" spans="1:16">
      <c r="A85" s="7" t="s">
        <v>80</v>
      </c>
      <c r="B85" s="7" t="str">
        <f>TEXT(Table1[[#This Row],[Date]],"MMM")</f>
        <v>Feb</v>
      </c>
      <c r="C85" t="s">
        <v>27</v>
      </c>
      <c r="D85" t="s">
        <v>45</v>
      </c>
      <c r="E85" t="s">
        <v>41</v>
      </c>
      <c r="F85" t="s">
        <v>30</v>
      </c>
      <c r="G85" t="s">
        <v>73</v>
      </c>
      <c r="H85" t="s">
        <v>39</v>
      </c>
      <c r="I85" s="9">
        <v>220000</v>
      </c>
      <c r="J85">
        <v>5</v>
      </c>
      <c r="K85" t="s">
        <v>33</v>
      </c>
      <c r="L85" s="9">
        <f t="shared" si="1"/>
        <v>176000</v>
      </c>
      <c r="M85" s="9">
        <f>Table1[[#This Row],[Unit Price]]*Table1[[#This Row],[Quantity]]</f>
        <v>1100000</v>
      </c>
      <c r="N85" s="9">
        <f>Table1[[#This Row],[Cost Price]]*Table1[[#This Row],[Quantity]]</f>
        <v>880000</v>
      </c>
      <c r="O85" s="9">
        <f>Table1[[#This Row],[Revenue]]-Table1[[#This Row],[COGS]]</f>
        <v>220000</v>
      </c>
      <c r="P85" s="6">
        <v>84</v>
      </c>
    </row>
    <row r="86" spans="1:16">
      <c r="A86" s="7" t="s">
        <v>115</v>
      </c>
      <c r="B86" s="7" t="str">
        <f>TEXT(Table1[[#This Row],[Date]],"MMM")</f>
        <v>Jan</v>
      </c>
      <c r="C86" t="s">
        <v>27</v>
      </c>
      <c r="D86" t="s">
        <v>28</v>
      </c>
      <c r="E86" t="s">
        <v>41</v>
      </c>
      <c r="F86" t="s">
        <v>30</v>
      </c>
      <c r="G86" t="s">
        <v>62</v>
      </c>
      <c r="H86" t="s">
        <v>51</v>
      </c>
      <c r="I86" s="9">
        <v>150000</v>
      </c>
      <c r="J86">
        <v>1</v>
      </c>
      <c r="K86" t="s">
        <v>69</v>
      </c>
      <c r="L86" s="9">
        <f t="shared" si="1"/>
        <v>120000</v>
      </c>
      <c r="M86" s="9">
        <f>Table1[[#This Row],[Unit Price]]*Table1[[#This Row],[Quantity]]</f>
        <v>150000</v>
      </c>
      <c r="N86" s="9">
        <f>Table1[[#This Row],[Cost Price]]*Table1[[#This Row],[Quantity]]</f>
        <v>120000</v>
      </c>
      <c r="O86" s="9">
        <f>Table1[[#This Row],[Revenue]]-Table1[[#This Row],[COGS]]</f>
        <v>30000</v>
      </c>
      <c r="P86" s="6">
        <v>85</v>
      </c>
    </row>
    <row r="87" spans="1:16">
      <c r="A87" s="7" t="s">
        <v>86</v>
      </c>
      <c r="B87" s="7" t="str">
        <f>TEXT(Table1[[#This Row],[Date]],"MMM")</f>
        <v>Feb</v>
      </c>
      <c r="C87" t="s">
        <v>44</v>
      </c>
      <c r="D87" t="s">
        <v>36</v>
      </c>
      <c r="E87" t="s">
        <v>29</v>
      </c>
      <c r="F87" t="s">
        <v>37</v>
      </c>
      <c r="G87" t="s">
        <v>50</v>
      </c>
      <c r="H87" t="s">
        <v>51</v>
      </c>
      <c r="I87" s="9">
        <v>300000</v>
      </c>
      <c r="J87">
        <v>8</v>
      </c>
      <c r="K87" t="s">
        <v>33</v>
      </c>
      <c r="L87" s="9">
        <f t="shared" si="1"/>
        <v>240000</v>
      </c>
      <c r="M87" s="9">
        <f>Table1[[#This Row],[Unit Price]]*Table1[[#This Row],[Quantity]]</f>
        <v>2400000</v>
      </c>
      <c r="N87" s="9">
        <f>Table1[[#This Row],[Cost Price]]*Table1[[#This Row],[Quantity]]</f>
        <v>1920000</v>
      </c>
      <c r="O87" s="9">
        <f>Table1[[#This Row],[Revenue]]-Table1[[#This Row],[COGS]]</f>
        <v>480000</v>
      </c>
      <c r="P87" s="6">
        <v>86</v>
      </c>
    </row>
    <row r="88" spans="1:16">
      <c r="A88" s="7" t="s">
        <v>85</v>
      </c>
      <c r="B88" s="7" t="str">
        <f>TEXT(Table1[[#This Row],[Date]],"MMM")</f>
        <v>Feb</v>
      </c>
      <c r="C88" t="s">
        <v>35</v>
      </c>
      <c r="D88" t="s">
        <v>53</v>
      </c>
      <c r="E88" t="s">
        <v>29</v>
      </c>
      <c r="F88" t="s">
        <v>30</v>
      </c>
      <c r="G88" t="s">
        <v>73</v>
      </c>
      <c r="H88" t="s">
        <v>39</v>
      </c>
      <c r="I88" s="9">
        <v>220000</v>
      </c>
      <c r="J88">
        <v>3</v>
      </c>
      <c r="K88" t="s">
        <v>65</v>
      </c>
      <c r="L88" s="9">
        <f t="shared" si="1"/>
        <v>176000</v>
      </c>
      <c r="M88" s="9">
        <f>Table1[[#This Row],[Unit Price]]*Table1[[#This Row],[Quantity]]</f>
        <v>660000</v>
      </c>
      <c r="N88" s="9">
        <f>Table1[[#This Row],[Cost Price]]*Table1[[#This Row],[Quantity]]</f>
        <v>528000</v>
      </c>
      <c r="O88" s="9">
        <f>Table1[[#This Row],[Revenue]]-Table1[[#This Row],[COGS]]</f>
        <v>132000</v>
      </c>
      <c r="P88" s="6">
        <v>87</v>
      </c>
    </row>
    <row r="89" spans="1:16">
      <c r="A89" s="7" t="s">
        <v>117</v>
      </c>
      <c r="B89" s="7" t="str">
        <f>TEXT(Table1[[#This Row],[Date]],"MMM")</f>
        <v>Jan</v>
      </c>
      <c r="C89" t="s">
        <v>27</v>
      </c>
      <c r="D89" t="s">
        <v>28</v>
      </c>
      <c r="E89" t="s">
        <v>29</v>
      </c>
      <c r="F89" t="s">
        <v>30</v>
      </c>
      <c r="G89" t="s">
        <v>71</v>
      </c>
      <c r="H89" t="s">
        <v>51</v>
      </c>
      <c r="I89" s="9">
        <v>250000</v>
      </c>
      <c r="J89">
        <v>8</v>
      </c>
      <c r="K89" t="s">
        <v>33</v>
      </c>
      <c r="L89" s="9">
        <f t="shared" si="1"/>
        <v>200000</v>
      </c>
      <c r="M89" s="9">
        <f>Table1[[#This Row],[Unit Price]]*Table1[[#This Row],[Quantity]]</f>
        <v>2000000</v>
      </c>
      <c r="N89" s="9">
        <f>Table1[[#This Row],[Cost Price]]*Table1[[#This Row],[Quantity]]</f>
        <v>1600000</v>
      </c>
      <c r="O89" s="9">
        <f>Table1[[#This Row],[Revenue]]-Table1[[#This Row],[COGS]]</f>
        <v>400000</v>
      </c>
      <c r="P89" s="6">
        <v>88</v>
      </c>
    </row>
    <row r="90" spans="1:16">
      <c r="A90" s="7" t="s">
        <v>116</v>
      </c>
      <c r="B90" s="7" t="str">
        <f>TEXT(Table1[[#This Row],[Date]],"MMM")</f>
        <v>Apr</v>
      </c>
      <c r="C90" t="s">
        <v>44</v>
      </c>
      <c r="D90" t="s">
        <v>36</v>
      </c>
      <c r="E90" t="s">
        <v>41</v>
      </c>
      <c r="F90" t="s">
        <v>30</v>
      </c>
      <c r="G90" t="s">
        <v>50</v>
      </c>
      <c r="H90" t="s">
        <v>51</v>
      </c>
      <c r="I90" s="9">
        <v>300000</v>
      </c>
      <c r="J90">
        <v>4</v>
      </c>
      <c r="K90" t="s">
        <v>47</v>
      </c>
      <c r="L90" s="9">
        <f t="shared" si="1"/>
        <v>240000</v>
      </c>
      <c r="M90" s="9">
        <f>Table1[[#This Row],[Unit Price]]*Table1[[#This Row],[Quantity]]</f>
        <v>1200000</v>
      </c>
      <c r="N90" s="9">
        <f>Table1[[#This Row],[Cost Price]]*Table1[[#This Row],[Quantity]]</f>
        <v>960000</v>
      </c>
      <c r="O90" s="9">
        <f>Table1[[#This Row],[Revenue]]-Table1[[#This Row],[COGS]]</f>
        <v>240000</v>
      </c>
      <c r="P90" s="6">
        <v>89</v>
      </c>
    </row>
    <row r="91" spans="1:16">
      <c r="A91" s="7" t="s">
        <v>76</v>
      </c>
      <c r="B91" s="7" t="str">
        <f>TEXT(Table1[[#This Row],[Date]],"MMM")</f>
        <v>May</v>
      </c>
      <c r="C91" t="s">
        <v>44</v>
      </c>
      <c r="D91" t="s">
        <v>45</v>
      </c>
      <c r="E91" t="s">
        <v>41</v>
      </c>
      <c r="F91" t="s">
        <v>37</v>
      </c>
      <c r="G91" t="s">
        <v>50</v>
      </c>
      <c r="H91" t="s">
        <v>51</v>
      </c>
      <c r="I91" s="9">
        <v>300000</v>
      </c>
      <c r="J91">
        <v>1</v>
      </c>
      <c r="K91" t="s">
        <v>47</v>
      </c>
      <c r="L91" s="9">
        <f t="shared" si="1"/>
        <v>240000</v>
      </c>
      <c r="M91" s="9">
        <f>Table1[[#This Row],[Unit Price]]*Table1[[#This Row],[Quantity]]</f>
        <v>300000</v>
      </c>
      <c r="N91" s="9">
        <f>Table1[[#This Row],[Cost Price]]*Table1[[#This Row],[Quantity]]</f>
        <v>240000</v>
      </c>
      <c r="O91" s="9">
        <f>Table1[[#This Row],[Revenue]]-Table1[[#This Row],[COGS]]</f>
        <v>60000</v>
      </c>
      <c r="P91" s="6">
        <v>90</v>
      </c>
    </row>
    <row r="92" spans="1:16">
      <c r="A92" s="7" t="s">
        <v>48</v>
      </c>
      <c r="B92" s="7" t="str">
        <f>TEXT(Table1[[#This Row],[Date]],"MMM")</f>
        <v>Apr</v>
      </c>
      <c r="C92" t="s">
        <v>35</v>
      </c>
      <c r="D92" t="s">
        <v>53</v>
      </c>
      <c r="E92" t="s">
        <v>29</v>
      </c>
      <c r="F92" t="s">
        <v>30</v>
      </c>
      <c r="G92" t="s">
        <v>71</v>
      </c>
      <c r="H92" t="s">
        <v>51</v>
      </c>
      <c r="I92" s="9">
        <v>250000</v>
      </c>
      <c r="J92">
        <v>8</v>
      </c>
      <c r="K92" t="s">
        <v>47</v>
      </c>
      <c r="L92" s="9">
        <f t="shared" si="1"/>
        <v>200000</v>
      </c>
      <c r="M92" s="9">
        <f>Table1[[#This Row],[Unit Price]]*Table1[[#This Row],[Quantity]]</f>
        <v>2000000</v>
      </c>
      <c r="N92" s="9">
        <f>Table1[[#This Row],[Cost Price]]*Table1[[#This Row],[Quantity]]</f>
        <v>1600000</v>
      </c>
      <c r="O92" s="9">
        <f>Table1[[#This Row],[Revenue]]-Table1[[#This Row],[COGS]]</f>
        <v>400000</v>
      </c>
      <c r="P92" s="6">
        <v>91</v>
      </c>
    </row>
    <row r="93" spans="1:16">
      <c r="A93" s="7" t="s">
        <v>118</v>
      </c>
      <c r="B93" s="7" t="str">
        <f>TEXT(Table1[[#This Row],[Date]],"MMM")</f>
        <v>Mar</v>
      </c>
      <c r="C93" t="s">
        <v>27</v>
      </c>
      <c r="D93" t="s">
        <v>53</v>
      </c>
      <c r="E93" t="s">
        <v>41</v>
      </c>
      <c r="F93" t="s">
        <v>37</v>
      </c>
      <c r="G93" t="s">
        <v>54</v>
      </c>
      <c r="H93" t="s">
        <v>39</v>
      </c>
      <c r="I93" s="9">
        <v>180000</v>
      </c>
      <c r="J93">
        <v>2</v>
      </c>
      <c r="K93" t="s">
        <v>65</v>
      </c>
      <c r="L93" s="9">
        <f t="shared" si="1"/>
        <v>144000</v>
      </c>
      <c r="M93" s="9">
        <f>Table1[[#This Row],[Unit Price]]*Table1[[#This Row],[Quantity]]</f>
        <v>360000</v>
      </c>
      <c r="N93" s="9">
        <f>Table1[[#This Row],[Cost Price]]*Table1[[#This Row],[Quantity]]</f>
        <v>288000</v>
      </c>
      <c r="O93" s="9">
        <f>Table1[[#This Row],[Revenue]]-Table1[[#This Row],[COGS]]</f>
        <v>72000</v>
      </c>
      <c r="P93" s="6">
        <v>92</v>
      </c>
    </row>
    <row r="94" spans="1:16">
      <c r="A94" s="7" t="s">
        <v>88</v>
      </c>
      <c r="B94" s="7" t="str">
        <f>TEXT(Table1[[#This Row],[Date]],"MMM")</f>
        <v>Feb</v>
      </c>
      <c r="C94" t="s">
        <v>27</v>
      </c>
      <c r="D94" t="s">
        <v>53</v>
      </c>
      <c r="E94" t="s">
        <v>29</v>
      </c>
      <c r="F94" t="s">
        <v>37</v>
      </c>
      <c r="G94" t="s">
        <v>54</v>
      </c>
      <c r="H94" t="s">
        <v>39</v>
      </c>
      <c r="I94" s="9">
        <v>180000</v>
      </c>
      <c r="J94">
        <v>6</v>
      </c>
      <c r="K94" t="s">
        <v>47</v>
      </c>
      <c r="L94" s="9">
        <f t="shared" si="1"/>
        <v>144000</v>
      </c>
      <c r="M94" s="9">
        <f>Table1[[#This Row],[Unit Price]]*Table1[[#This Row],[Quantity]]</f>
        <v>1080000</v>
      </c>
      <c r="N94" s="9">
        <f>Table1[[#This Row],[Cost Price]]*Table1[[#This Row],[Quantity]]</f>
        <v>864000</v>
      </c>
      <c r="O94" s="9">
        <f>Table1[[#This Row],[Revenue]]-Table1[[#This Row],[COGS]]</f>
        <v>216000</v>
      </c>
      <c r="P94" s="6">
        <v>93</v>
      </c>
    </row>
    <row r="95" spans="1:16">
      <c r="A95" s="7" t="s">
        <v>119</v>
      </c>
      <c r="B95" s="7" t="str">
        <f>TEXT(Table1[[#This Row],[Date]],"MMM")</f>
        <v>Feb</v>
      </c>
      <c r="C95" t="s">
        <v>49</v>
      </c>
      <c r="D95" t="s">
        <v>36</v>
      </c>
      <c r="E95" t="s">
        <v>41</v>
      </c>
      <c r="F95" t="s">
        <v>30</v>
      </c>
      <c r="G95" t="s">
        <v>50</v>
      </c>
      <c r="H95" t="s">
        <v>51</v>
      </c>
      <c r="I95" s="9">
        <v>300000</v>
      </c>
      <c r="J95">
        <v>2</v>
      </c>
      <c r="K95" t="s">
        <v>47</v>
      </c>
      <c r="L95" s="9">
        <f t="shared" si="1"/>
        <v>240000</v>
      </c>
      <c r="M95" s="9">
        <f>Table1[[#This Row],[Unit Price]]*Table1[[#This Row],[Quantity]]</f>
        <v>600000</v>
      </c>
      <c r="N95" s="9">
        <f>Table1[[#This Row],[Cost Price]]*Table1[[#This Row],[Quantity]]</f>
        <v>480000</v>
      </c>
      <c r="O95" s="9">
        <f>Table1[[#This Row],[Revenue]]-Table1[[#This Row],[COGS]]</f>
        <v>120000</v>
      </c>
      <c r="P95" s="6">
        <v>94</v>
      </c>
    </row>
    <row r="96" spans="1:16">
      <c r="A96" s="7" t="s">
        <v>34</v>
      </c>
      <c r="B96" s="7" t="str">
        <f>TEXT(Table1[[#This Row],[Date]],"MMM")</f>
        <v>Apr</v>
      </c>
      <c r="C96" t="s">
        <v>35</v>
      </c>
      <c r="D96" t="s">
        <v>28</v>
      </c>
      <c r="E96" t="s">
        <v>41</v>
      </c>
      <c r="F96" t="s">
        <v>37</v>
      </c>
      <c r="G96" t="s">
        <v>62</v>
      </c>
      <c r="H96" t="s">
        <v>51</v>
      </c>
      <c r="I96" s="9">
        <v>150000</v>
      </c>
      <c r="J96">
        <v>6</v>
      </c>
      <c r="K96" t="s">
        <v>33</v>
      </c>
      <c r="L96" s="9">
        <f t="shared" si="1"/>
        <v>120000</v>
      </c>
      <c r="M96" s="9">
        <f>Table1[[#This Row],[Unit Price]]*Table1[[#This Row],[Quantity]]</f>
        <v>900000</v>
      </c>
      <c r="N96" s="9">
        <f>Table1[[#This Row],[Cost Price]]*Table1[[#This Row],[Quantity]]</f>
        <v>720000</v>
      </c>
      <c r="O96" s="9">
        <f>Table1[[#This Row],[Revenue]]-Table1[[#This Row],[COGS]]</f>
        <v>180000</v>
      </c>
      <c r="P96" s="6">
        <v>95</v>
      </c>
    </row>
    <row r="97" spans="1:16">
      <c r="A97" s="7" t="s">
        <v>120</v>
      </c>
      <c r="B97" s="7" t="str">
        <f>TEXT(Table1[[#This Row],[Date]],"MMM")</f>
        <v>Mar</v>
      </c>
      <c r="C97" t="s">
        <v>44</v>
      </c>
      <c r="D97" t="s">
        <v>36</v>
      </c>
      <c r="E97" t="s">
        <v>41</v>
      </c>
      <c r="F97" t="s">
        <v>37</v>
      </c>
      <c r="G97" t="s">
        <v>67</v>
      </c>
      <c r="H97" t="s">
        <v>51</v>
      </c>
      <c r="I97" s="9">
        <v>420000</v>
      </c>
      <c r="J97">
        <v>10</v>
      </c>
      <c r="K97" t="s">
        <v>33</v>
      </c>
      <c r="L97" s="9">
        <f t="shared" si="1"/>
        <v>336000</v>
      </c>
      <c r="M97" s="9">
        <f>Table1[[#This Row],[Unit Price]]*Table1[[#This Row],[Quantity]]</f>
        <v>4200000</v>
      </c>
      <c r="N97" s="9">
        <f>Table1[[#This Row],[Cost Price]]*Table1[[#This Row],[Quantity]]</f>
        <v>3360000</v>
      </c>
      <c r="O97" s="9">
        <f>Table1[[#This Row],[Revenue]]-Table1[[#This Row],[COGS]]</f>
        <v>840000</v>
      </c>
      <c r="P97" s="6">
        <v>96</v>
      </c>
    </row>
    <row r="98" spans="1:16">
      <c r="A98" s="7" t="s">
        <v>121</v>
      </c>
      <c r="B98" s="7" t="str">
        <f>TEXT(Table1[[#This Row],[Date]],"MMM")</f>
        <v>Apr</v>
      </c>
      <c r="C98" t="s">
        <v>35</v>
      </c>
      <c r="D98" t="s">
        <v>45</v>
      </c>
      <c r="E98" t="s">
        <v>29</v>
      </c>
      <c r="F98" t="s">
        <v>30</v>
      </c>
      <c r="G98" t="s">
        <v>67</v>
      </c>
      <c r="H98" t="s">
        <v>51</v>
      </c>
      <c r="I98" s="9">
        <v>420000</v>
      </c>
      <c r="J98">
        <v>8</v>
      </c>
      <c r="K98" t="s">
        <v>47</v>
      </c>
      <c r="L98" s="9">
        <f t="shared" si="1"/>
        <v>336000</v>
      </c>
      <c r="M98" s="9">
        <f>Table1[[#This Row],[Unit Price]]*Table1[[#This Row],[Quantity]]</f>
        <v>3360000</v>
      </c>
      <c r="N98" s="9">
        <f>Table1[[#This Row],[Cost Price]]*Table1[[#This Row],[Quantity]]</f>
        <v>2688000</v>
      </c>
      <c r="O98" s="9">
        <f>Table1[[#This Row],[Revenue]]-Table1[[#This Row],[COGS]]</f>
        <v>672000</v>
      </c>
      <c r="P98" s="6">
        <v>97</v>
      </c>
    </row>
    <row r="99" spans="1:16">
      <c r="A99" s="7" t="s">
        <v>63</v>
      </c>
      <c r="B99" s="7" t="str">
        <f>TEXT(Table1[[#This Row],[Date]],"MMM")</f>
        <v>Jan</v>
      </c>
      <c r="C99" t="s">
        <v>44</v>
      </c>
      <c r="D99" t="s">
        <v>36</v>
      </c>
      <c r="E99" t="s">
        <v>29</v>
      </c>
      <c r="F99" t="s">
        <v>37</v>
      </c>
      <c r="G99" t="s">
        <v>54</v>
      </c>
      <c r="H99" t="s">
        <v>39</v>
      </c>
      <c r="I99" s="9">
        <v>180000</v>
      </c>
      <c r="J99">
        <v>8</v>
      </c>
      <c r="K99" t="s">
        <v>33</v>
      </c>
      <c r="L99" s="9">
        <f t="shared" si="1"/>
        <v>144000</v>
      </c>
      <c r="M99" s="9">
        <f>Table1[[#This Row],[Unit Price]]*Table1[[#This Row],[Quantity]]</f>
        <v>1440000</v>
      </c>
      <c r="N99" s="9">
        <f>Table1[[#This Row],[Cost Price]]*Table1[[#This Row],[Quantity]]</f>
        <v>1152000</v>
      </c>
      <c r="O99" s="9">
        <f>Table1[[#This Row],[Revenue]]-Table1[[#This Row],[COGS]]</f>
        <v>288000</v>
      </c>
      <c r="P99" s="6">
        <v>98</v>
      </c>
    </row>
    <row r="100" spans="1:16">
      <c r="A100" s="7" t="s">
        <v>94</v>
      </c>
      <c r="B100" s="7" t="str">
        <f>TEXT(Table1[[#This Row],[Date]],"MMM")</f>
        <v>Jan</v>
      </c>
      <c r="C100" t="s">
        <v>44</v>
      </c>
      <c r="D100" t="s">
        <v>45</v>
      </c>
      <c r="E100" t="s">
        <v>29</v>
      </c>
      <c r="F100" t="s">
        <v>37</v>
      </c>
      <c r="G100" t="s">
        <v>50</v>
      </c>
      <c r="H100" t="s">
        <v>51</v>
      </c>
      <c r="I100" s="9">
        <v>300000</v>
      </c>
      <c r="J100">
        <v>4</v>
      </c>
      <c r="K100" t="s">
        <v>65</v>
      </c>
      <c r="L100" s="9">
        <f t="shared" si="1"/>
        <v>240000</v>
      </c>
      <c r="M100" s="9">
        <f>Table1[[#This Row],[Unit Price]]*Table1[[#This Row],[Quantity]]</f>
        <v>1200000</v>
      </c>
      <c r="N100" s="9">
        <f>Table1[[#This Row],[Cost Price]]*Table1[[#This Row],[Quantity]]</f>
        <v>960000</v>
      </c>
      <c r="O100" s="9">
        <f>Table1[[#This Row],[Revenue]]-Table1[[#This Row],[COGS]]</f>
        <v>240000</v>
      </c>
      <c r="P100" s="6">
        <v>99</v>
      </c>
    </row>
    <row r="101" spans="1:16">
      <c r="A101" s="7" t="s">
        <v>117</v>
      </c>
      <c r="B101" s="7" t="str">
        <f>TEXT(Table1[[#This Row],[Date]],"MMM")</f>
        <v>Jan</v>
      </c>
      <c r="C101" t="s">
        <v>44</v>
      </c>
      <c r="D101" t="s">
        <v>45</v>
      </c>
      <c r="E101" t="s">
        <v>29</v>
      </c>
      <c r="F101" t="s">
        <v>37</v>
      </c>
      <c r="G101" t="s">
        <v>67</v>
      </c>
      <c r="H101" t="s">
        <v>51</v>
      </c>
      <c r="I101" s="9">
        <v>420000</v>
      </c>
      <c r="J101">
        <v>1</v>
      </c>
      <c r="K101" t="s">
        <v>58</v>
      </c>
      <c r="L101" s="9">
        <f t="shared" si="1"/>
        <v>336000</v>
      </c>
      <c r="M101" s="9">
        <f>Table1[[#This Row],[Unit Price]]*Table1[[#This Row],[Quantity]]</f>
        <v>420000</v>
      </c>
      <c r="N101" s="9">
        <f>Table1[[#This Row],[Cost Price]]*Table1[[#This Row],[Quantity]]</f>
        <v>336000</v>
      </c>
      <c r="O101" s="9">
        <f>Table1[[#This Row],[Revenue]]-Table1[[#This Row],[COGS]]</f>
        <v>84000</v>
      </c>
      <c r="P101" s="6">
        <v>100</v>
      </c>
    </row>
    <row r="102" spans="1:16">
      <c r="A102" s="7" t="s">
        <v>122</v>
      </c>
      <c r="B102" s="7" t="str">
        <f>TEXT(Table1[[#This Row],[Date]],"MMM")</f>
        <v>Mar</v>
      </c>
      <c r="C102" t="s">
        <v>27</v>
      </c>
      <c r="D102" t="s">
        <v>45</v>
      </c>
      <c r="E102" t="s">
        <v>41</v>
      </c>
      <c r="F102" t="s">
        <v>30</v>
      </c>
      <c r="G102" t="s">
        <v>38</v>
      </c>
      <c r="H102" t="s">
        <v>39</v>
      </c>
      <c r="I102" s="9">
        <v>30000</v>
      </c>
      <c r="J102">
        <v>7</v>
      </c>
      <c r="K102" t="s">
        <v>47</v>
      </c>
      <c r="L102" s="9">
        <f t="shared" si="1"/>
        <v>24000</v>
      </c>
      <c r="M102" s="9">
        <f>Table1[[#This Row],[Unit Price]]*Table1[[#This Row],[Quantity]]</f>
        <v>210000</v>
      </c>
      <c r="N102" s="9">
        <f>Table1[[#This Row],[Cost Price]]*Table1[[#This Row],[Quantity]]</f>
        <v>168000</v>
      </c>
      <c r="O102" s="9">
        <f>Table1[[#This Row],[Revenue]]-Table1[[#This Row],[COGS]]</f>
        <v>42000</v>
      </c>
      <c r="P102" s="6">
        <v>101</v>
      </c>
    </row>
    <row r="103" spans="1:16">
      <c r="A103" s="7" t="s">
        <v>79</v>
      </c>
      <c r="B103" s="7" t="str">
        <f>TEXT(Table1[[#This Row],[Date]],"MMM")</f>
        <v>Feb</v>
      </c>
      <c r="C103" t="s">
        <v>44</v>
      </c>
      <c r="D103" t="s">
        <v>28</v>
      </c>
      <c r="E103" t="s">
        <v>29</v>
      </c>
      <c r="F103" t="s">
        <v>30</v>
      </c>
      <c r="G103" t="s">
        <v>67</v>
      </c>
      <c r="H103" t="s">
        <v>51</v>
      </c>
      <c r="I103" s="9">
        <v>420000</v>
      </c>
      <c r="J103">
        <v>3</v>
      </c>
      <c r="K103" t="s">
        <v>47</v>
      </c>
      <c r="L103" s="9">
        <f t="shared" si="1"/>
        <v>336000</v>
      </c>
      <c r="M103" s="9">
        <f>Table1[[#This Row],[Unit Price]]*Table1[[#This Row],[Quantity]]</f>
        <v>1260000</v>
      </c>
      <c r="N103" s="9">
        <f>Table1[[#This Row],[Cost Price]]*Table1[[#This Row],[Quantity]]</f>
        <v>1008000</v>
      </c>
      <c r="O103" s="9">
        <f>Table1[[#This Row],[Revenue]]-Table1[[#This Row],[COGS]]</f>
        <v>252000</v>
      </c>
      <c r="P103" s="6">
        <v>102</v>
      </c>
    </row>
    <row r="104" spans="1:16">
      <c r="A104" s="7" t="s">
        <v>123</v>
      </c>
      <c r="B104" s="7" t="str">
        <f>TEXT(Table1[[#This Row],[Date]],"MMM")</f>
        <v>Apr</v>
      </c>
      <c r="C104" t="s">
        <v>44</v>
      </c>
      <c r="D104" t="s">
        <v>28</v>
      </c>
      <c r="E104" t="s">
        <v>29</v>
      </c>
      <c r="F104" t="s">
        <v>37</v>
      </c>
      <c r="G104" t="s">
        <v>46</v>
      </c>
      <c r="H104" t="s">
        <v>39</v>
      </c>
      <c r="I104" s="9">
        <v>60000</v>
      </c>
      <c r="J104">
        <v>5</v>
      </c>
      <c r="K104" t="s">
        <v>69</v>
      </c>
      <c r="L104" s="9">
        <f t="shared" si="1"/>
        <v>48000</v>
      </c>
      <c r="M104" s="9">
        <f>Table1[[#This Row],[Unit Price]]*Table1[[#This Row],[Quantity]]</f>
        <v>300000</v>
      </c>
      <c r="N104" s="9">
        <f>Table1[[#This Row],[Cost Price]]*Table1[[#This Row],[Quantity]]</f>
        <v>240000</v>
      </c>
      <c r="O104" s="9">
        <f>Table1[[#This Row],[Revenue]]-Table1[[#This Row],[COGS]]</f>
        <v>60000</v>
      </c>
      <c r="P104" s="6">
        <v>103</v>
      </c>
    </row>
    <row r="105" spans="1:16">
      <c r="A105" s="7" t="s">
        <v>113</v>
      </c>
      <c r="B105" s="7" t="str">
        <f>TEXT(Table1[[#This Row],[Date]],"MMM")</f>
        <v>Apr</v>
      </c>
      <c r="C105" t="s">
        <v>27</v>
      </c>
      <c r="D105" t="s">
        <v>53</v>
      </c>
      <c r="E105" t="s">
        <v>41</v>
      </c>
      <c r="F105" t="s">
        <v>30</v>
      </c>
      <c r="G105" t="s">
        <v>50</v>
      </c>
      <c r="H105" t="s">
        <v>51</v>
      </c>
      <c r="I105" s="9">
        <v>300000</v>
      </c>
      <c r="J105">
        <v>9</v>
      </c>
      <c r="K105" t="s">
        <v>69</v>
      </c>
      <c r="L105" s="9">
        <f t="shared" si="1"/>
        <v>240000</v>
      </c>
      <c r="M105" s="9">
        <f>Table1[[#This Row],[Unit Price]]*Table1[[#This Row],[Quantity]]</f>
        <v>2700000</v>
      </c>
      <c r="N105" s="9">
        <f>Table1[[#This Row],[Cost Price]]*Table1[[#This Row],[Quantity]]</f>
        <v>2160000</v>
      </c>
      <c r="O105" s="9">
        <f>Table1[[#This Row],[Revenue]]-Table1[[#This Row],[COGS]]</f>
        <v>540000</v>
      </c>
      <c r="P105" s="6">
        <v>104</v>
      </c>
    </row>
    <row r="106" spans="1:16">
      <c r="A106" s="7" t="s">
        <v>64</v>
      </c>
      <c r="B106" s="7" t="str">
        <f>TEXT(Table1[[#This Row],[Date]],"MMM")</f>
        <v>Apr</v>
      </c>
      <c r="C106" t="s">
        <v>35</v>
      </c>
      <c r="D106" t="s">
        <v>45</v>
      </c>
      <c r="E106" t="s">
        <v>29</v>
      </c>
      <c r="F106" t="s">
        <v>37</v>
      </c>
      <c r="G106" t="s">
        <v>56</v>
      </c>
      <c r="H106" t="s">
        <v>32</v>
      </c>
      <c r="I106" s="9">
        <v>320000</v>
      </c>
      <c r="J106">
        <v>4</v>
      </c>
      <c r="K106" t="s">
        <v>58</v>
      </c>
      <c r="L106" s="9">
        <f t="shared" si="1"/>
        <v>256000</v>
      </c>
      <c r="M106" s="9">
        <f>Table1[[#This Row],[Unit Price]]*Table1[[#This Row],[Quantity]]</f>
        <v>1280000</v>
      </c>
      <c r="N106" s="9">
        <f>Table1[[#This Row],[Cost Price]]*Table1[[#This Row],[Quantity]]</f>
        <v>1024000</v>
      </c>
      <c r="O106" s="9">
        <f>Table1[[#This Row],[Revenue]]-Table1[[#This Row],[COGS]]</f>
        <v>256000</v>
      </c>
      <c r="P106" s="6">
        <v>105</v>
      </c>
    </row>
    <row r="107" spans="1:16">
      <c r="A107" s="7" t="s">
        <v>92</v>
      </c>
      <c r="B107" s="7" t="str">
        <f>TEXT(Table1[[#This Row],[Date]],"MMM")</f>
        <v>Jan</v>
      </c>
      <c r="C107" t="s">
        <v>49</v>
      </c>
      <c r="D107" t="s">
        <v>36</v>
      </c>
      <c r="E107" t="s">
        <v>29</v>
      </c>
      <c r="F107" t="s">
        <v>37</v>
      </c>
      <c r="G107" t="s">
        <v>54</v>
      </c>
      <c r="H107" t="s">
        <v>39</v>
      </c>
      <c r="I107" s="9">
        <v>180000</v>
      </c>
      <c r="J107">
        <v>2</v>
      </c>
      <c r="K107" t="s">
        <v>69</v>
      </c>
      <c r="L107" s="9">
        <f t="shared" si="1"/>
        <v>144000</v>
      </c>
      <c r="M107" s="9">
        <f>Table1[[#This Row],[Unit Price]]*Table1[[#This Row],[Quantity]]</f>
        <v>360000</v>
      </c>
      <c r="N107" s="9">
        <f>Table1[[#This Row],[Cost Price]]*Table1[[#This Row],[Quantity]]</f>
        <v>288000</v>
      </c>
      <c r="O107" s="9">
        <f>Table1[[#This Row],[Revenue]]-Table1[[#This Row],[COGS]]</f>
        <v>72000</v>
      </c>
      <c r="P107" s="6">
        <v>106</v>
      </c>
    </row>
    <row r="108" spans="1:16">
      <c r="A108" s="7" t="s">
        <v>124</v>
      </c>
      <c r="B108" s="7" t="str">
        <f>TEXT(Table1[[#This Row],[Date]],"MMM")</f>
        <v>Feb</v>
      </c>
      <c r="C108" t="s">
        <v>35</v>
      </c>
      <c r="D108" t="s">
        <v>36</v>
      </c>
      <c r="E108" t="s">
        <v>29</v>
      </c>
      <c r="F108" t="s">
        <v>30</v>
      </c>
      <c r="G108" t="s">
        <v>31</v>
      </c>
      <c r="H108" t="s">
        <v>32</v>
      </c>
      <c r="I108" s="9">
        <v>85000</v>
      </c>
      <c r="J108">
        <v>1</v>
      </c>
      <c r="K108" t="s">
        <v>58</v>
      </c>
      <c r="L108" s="9">
        <f t="shared" si="1"/>
        <v>68000</v>
      </c>
      <c r="M108" s="9">
        <f>Table1[[#This Row],[Unit Price]]*Table1[[#This Row],[Quantity]]</f>
        <v>85000</v>
      </c>
      <c r="N108" s="9">
        <f>Table1[[#This Row],[Cost Price]]*Table1[[#This Row],[Quantity]]</f>
        <v>68000</v>
      </c>
      <c r="O108" s="9">
        <f>Table1[[#This Row],[Revenue]]-Table1[[#This Row],[COGS]]</f>
        <v>17000</v>
      </c>
      <c r="P108" s="6">
        <v>107</v>
      </c>
    </row>
    <row r="109" spans="1:16">
      <c r="A109" s="7" t="s">
        <v>125</v>
      </c>
      <c r="B109" s="7" t="str">
        <f>TEXT(Table1[[#This Row],[Date]],"MMM")</f>
        <v>Feb</v>
      </c>
      <c r="C109" t="s">
        <v>49</v>
      </c>
      <c r="D109" t="s">
        <v>45</v>
      </c>
      <c r="E109" t="s">
        <v>41</v>
      </c>
      <c r="F109" t="s">
        <v>37</v>
      </c>
      <c r="G109" t="s">
        <v>56</v>
      </c>
      <c r="H109" t="s">
        <v>32</v>
      </c>
      <c r="I109" s="9">
        <v>320000</v>
      </c>
      <c r="J109">
        <v>7</v>
      </c>
      <c r="K109" t="s">
        <v>58</v>
      </c>
      <c r="L109" s="9">
        <f t="shared" si="1"/>
        <v>256000</v>
      </c>
      <c r="M109" s="9">
        <f>Table1[[#This Row],[Unit Price]]*Table1[[#This Row],[Quantity]]</f>
        <v>2240000</v>
      </c>
      <c r="N109" s="9">
        <f>Table1[[#This Row],[Cost Price]]*Table1[[#This Row],[Quantity]]</f>
        <v>1792000</v>
      </c>
      <c r="O109" s="9">
        <f>Table1[[#This Row],[Revenue]]-Table1[[#This Row],[COGS]]</f>
        <v>448000</v>
      </c>
      <c r="P109" s="6">
        <v>108</v>
      </c>
    </row>
    <row r="110" spans="1:16">
      <c r="A110" s="7" t="s">
        <v>95</v>
      </c>
      <c r="B110" s="7" t="str">
        <f>TEXT(Table1[[#This Row],[Date]],"MMM")</f>
        <v>Feb</v>
      </c>
      <c r="C110" t="s">
        <v>35</v>
      </c>
      <c r="D110" t="s">
        <v>53</v>
      </c>
      <c r="E110" t="s">
        <v>41</v>
      </c>
      <c r="F110" t="s">
        <v>30</v>
      </c>
      <c r="G110" t="s">
        <v>46</v>
      </c>
      <c r="H110" t="s">
        <v>39</v>
      </c>
      <c r="I110" s="9">
        <v>60000</v>
      </c>
      <c r="J110">
        <v>9</v>
      </c>
      <c r="K110" t="s">
        <v>33</v>
      </c>
      <c r="L110" s="9">
        <f t="shared" si="1"/>
        <v>48000</v>
      </c>
      <c r="M110" s="9">
        <f>Table1[[#This Row],[Unit Price]]*Table1[[#This Row],[Quantity]]</f>
        <v>540000</v>
      </c>
      <c r="N110" s="9">
        <f>Table1[[#This Row],[Cost Price]]*Table1[[#This Row],[Quantity]]</f>
        <v>432000</v>
      </c>
      <c r="O110" s="9">
        <f>Table1[[#This Row],[Revenue]]-Table1[[#This Row],[COGS]]</f>
        <v>108000</v>
      </c>
      <c r="P110" s="6">
        <v>109</v>
      </c>
    </row>
    <row r="111" spans="1:16">
      <c r="A111" s="7" t="s">
        <v>94</v>
      </c>
      <c r="B111" s="7" t="str">
        <f>TEXT(Table1[[#This Row],[Date]],"MMM")</f>
        <v>Jan</v>
      </c>
      <c r="C111" t="s">
        <v>49</v>
      </c>
      <c r="D111" t="s">
        <v>53</v>
      </c>
      <c r="E111" t="s">
        <v>41</v>
      </c>
      <c r="F111" t="s">
        <v>37</v>
      </c>
      <c r="G111" t="s">
        <v>31</v>
      </c>
      <c r="H111" t="s">
        <v>32</v>
      </c>
      <c r="I111" s="9">
        <v>85000</v>
      </c>
      <c r="J111">
        <v>1</v>
      </c>
      <c r="K111" t="s">
        <v>42</v>
      </c>
      <c r="L111" s="9">
        <f t="shared" si="1"/>
        <v>68000</v>
      </c>
      <c r="M111" s="9">
        <f>Table1[[#This Row],[Unit Price]]*Table1[[#This Row],[Quantity]]</f>
        <v>85000</v>
      </c>
      <c r="N111" s="9">
        <f>Table1[[#This Row],[Cost Price]]*Table1[[#This Row],[Quantity]]</f>
        <v>68000</v>
      </c>
      <c r="O111" s="9">
        <f>Table1[[#This Row],[Revenue]]-Table1[[#This Row],[COGS]]</f>
        <v>17000</v>
      </c>
      <c r="P111" s="6">
        <v>110</v>
      </c>
    </row>
    <row r="112" spans="1:16">
      <c r="A112" s="7" t="s">
        <v>60</v>
      </c>
      <c r="B112" s="7" t="str">
        <f>TEXT(Table1[[#This Row],[Date]],"MMM")</f>
        <v>Mar</v>
      </c>
      <c r="C112" t="s">
        <v>35</v>
      </c>
      <c r="D112" t="s">
        <v>36</v>
      </c>
      <c r="E112" t="s">
        <v>29</v>
      </c>
      <c r="F112" t="s">
        <v>30</v>
      </c>
      <c r="G112" t="s">
        <v>50</v>
      </c>
      <c r="H112" t="s">
        <v>51</v>
      </c>
      <c r="I112" s="9">
        <v>300000</v>
      </c>
      <c r="J112">
        <v>6</v>
      </c>
      <c r="K112" t="s">
        <v>69</v>
      </c>
      <c r="L112" s="9">
        <f t="shared" si="1"/>
        <v>240000</v>
      </c>
      <c r="M112" s="9">
        <f>Table1[[#This Row],[Unit Price]]*Table1[[#This Row],[Quantity]]</f>
        <v>1800000</v>
      </c>
      <c r="N112" s="9">
        <f>Table1[[#This Row],[Cost Price]]*Table1[[#This Row],[Quantity]]</f>
        <v>1440000</v>
      </c>
      <c r="O112" s="9">
        <f>Table1[[#This Row],[Revenue]]-Table1[[#This Row],[COGS]]</f>
        <v>360000</v>
      </c>
      <c r="P112" s="6">
        <v>111</v>
      </c>
    </row>
    <row r="113" spans="1:16">
      <c r="A113" s="7" t="s">
        <v>98</v>
      </c>
      <c r="B113" s="7" t="str">
        <f>TEXT(Table1[[#This Row],[Date]],"MMM")</f>
        <v>Jan</v>
      </c>
      <c r="C113" t="s">
        <v>49</v>
      </c>
      <c r="D113" t="s">
        <v>36</v>
      </c>
      <c r="E113" t="s">
        <v>41</v>
      </c>
      <c r="F113" t="s">
        <v>30</v>
      </c>
      <c r="G113" t="s">
        <v>38</v>
      </c>
      <c r="H113" t="s">
        <v>39</v>
      </c>
      <c r="I113" s="9">
        <v>30000</v>
      </c>
      <c r="J113">
        <v>5</v>
      </c>
      <c r="K113" t="s">
        <v>33</v>
      </c>
      <c r="L113" s="9">
        <f t="shared" si="1"/>
        <v>24000</v>
      </c>
      <c r="M113" s="9">
        <f>Table1[[#This Row],[Unit Price]]*Table1[[#This Row],[Quantity]]</f>
        <v>150000</v>
      </c>
      <c r="N113" s="9">
        <f>Table1[[#This Row],[Cost Price]]*Table1[[#This Row],[Quantity]]</f>
        <v>120000</v>
      </c>
      <c r="O113" s="9">
        <f>Table1[[#This Row],[Revenue]]-Table1[[#This Row],[COGS]]</f>
        <v>30000</v>
      </c>
      <c r="P113" s="6">
        <v>112</v>
      </c>
    </row>
    <row r="114" spans="1:16">
      <c r="A114" s="7" t="s">
        <v>55</v>
      </c>
      <c r="B114" s="7" t="str">
        <f>TEXT(Table1[[#This Row],[Date]],"MMM")</f>
        <v>Mar</v>
      </c>
      <c r="C114" t="s">
        <v>49</v>
      </c>
      <c r="D114" t="s">
        <v>28</v>
      </c>
      <c r="E114" t="s">
        <v>29</v>
      </c>
      <c r="F114" t="s">
        <v>37</v>
      </c>
      <c r="G114" t="s">
        <v>62</v>
      </c>
      <c r="H114" t="s">
        <v>51</v>
      </c>
      <c r="I114" s="9">
        <v>150000</v>
      </c>
      <c r="J114">
        <v>4</v>
      </c>
      <c r="K114" t="s">
        <v>65</v>
      </c>
      <c r="L114" s="9">
        <f t="shared" si="1"/>
        <v>120000</v>
      </c>
      <c r="M114" s="9">
        <f>Table1[[#This Row],[Unit Price]]*Table1[[#This Row],[Quantity]]</f>
        <v>600000</v>
      </c>
      <c r="N114" s="9">
        <f>Table1[[#This Row],[Cost Price]]*Table1[[#This Row],[Quantity]]</f>
        <v>480000</v>
      </c>
      <c r="O114" s="9">
        <f>Table1[[#This Row],[Revenue]]-Table1[[#This Row],[COGS]]</f>
        <v>120000</v>
      </c>
      <c r="P114" s="6">
        <v>113</v>
      </c>
    </row>
    <row r="115" spans="1:16">
      <c r="A115" s="7" t="s">
        <v>60</v>
      </c>
      <c r="B115" s="7" t="str">
        <f>TEXT(Table1[[#This Row],[Date]],"MMM")</f>
        <v>Mar</v>
      </c>
      <c r="C115" t="s">
        <v>44</v>
      </c>
      <c r="D115" t="s">
        <v>28</v>
      </c>
      <c r="E115" t="s">
        <v>41</v>
      </c>
      <c r="F115" t="s">
        <v>37</v>
      </c>
      <c r="G115" t="s">
        <v>62</v>
      </c>
      <c r="H115" t="s">
        <v>51</v>
      </c>
      <c r="I115" s="9">
        <v>150000</v>
      </c>
      <c r="J115">
        <v>6</v>
      </c>
      <c r="K115" t="s">
        <v>65</v>
      </c>
      <c r="L115" s="9">
        <f t="shared" si="1"/>
        <v>120000</v>
      </c>
      <c r="M115" s="9">
        <f>Table1[[#This Row],[Unit Price]]*Table1[[#This Row],[Quantity]]</f>
        <v>900000</v>
      </c>
      <c r="N115" s="9">
        <f>Table1[[#This Row],[Cost Price]]*Table1[[#This Row],[Quantity]]</f>
        <v>720000</v>
      </c>
      <c r="O115" s="9">
        <f>Table1[[#This Row],[Revenue]]-Table1[[#This Row],[COGS]]</f>
        <v>180000</v>
      </c>
      <c r="P115" s="6">
        <v>114</v>
      </c>
    </row>
    <row r="116" spans="1:16">
      <c r="A116" s="7" t="s">
        <v>116</v>
      </c>
      <c r="B116" s="7" t="str">
        <f>TEXT(Table1[[#This Row],[Date]],"MMM")</f>
        <v>Apr</v>
      </c>
      <c r="C116" t="s">
        <v>49</v>
      </c>
      <c r="D116" t="s">
        <v>36</v>
      </c>
      <c r="E116" t="s">
        <v>41</v>
      </c>
      <c r="F116" t="s">
        <v>37</v>
      </c>
      <c r="G116" t="s">
        <v>62</v>
      </c>
      <c r="H116" t="s">
        <v>51</v>
      </c>
      <c r="I116" s="9">
        <v>150000</v>
      </c>
      <c r="J116">
        <v>8</v>
      </c>
      <c r="K116" t="s">
        <v>65</v>
      </c>
      <c r="L116" s="9">
        <f t="shared" si="1"/>
        <v>120000</v>
      </c>
      <c r="M116" s="9">
        <f>Table1[[#This Row],[Unit Price]]*Table1[[#This Row],[Quantity]]</f>
        <v>1200000</v>
      </c>
      <c r="N116" s="9">
        <f>Table1[[#This Row],[Cost Price]]*Table1[[#This Row],[Quantity]]</f>
        <v>960000</v>
      </c>
      <c r="O116" s="9">
        <f>Table1[[#This Row],[Revenue]]-Table1[[#This Row],[COGS]]</f>
        <v>240000</v>
      </c>
      <c r="P116" s="6">
        <v>115</v>
      </c>
    </row>
    <row r="117" spans="1:16">
      <c r="A117" s="7" t="s">
        <v>126</v>
      </c>
      <c r="B117" s="7" t="str">
        <f>TEXT(Table1[[#This Row],[Date]],"MMM")</f>
        <v>Jan</v>
      </c>
      <c r="C117" t="s">
        <v>44</v>
      </c>
      <c r="D117" t="s">
        <v>36</v>
      </c>
      <c r="E117" t="s">
        <v>29</v>
      </c>
      <c r="F117" t="s">
        <v>37</v>
      </c>
      <c r="G117" t="s">
        <v>38</v>
      </c>
      <c r="H117" t="s">
        <v>39</v>
      </c>
      <c r="I117" s="9">
        <v>30000</v>
      </c>
      <c r="J117">
        <v>6</v>
      </c>
      <c r="K117" t="s">
        <v>33</v>
      </c>
      <c r="L117" s="9">
        <f t="shared" si="1"/>
        <v>24000</v>
      </c>
      <c r="M117" s="9">
        <f>Table1[[#This Row],[Unit Price]]*Table1[[#This Row],[Quantity]]</f>
        <v>180000</v>
      </c>
      <c r="N117" s="9">
        <f>Table1[[#This Row],[Cost Price]]*Table1[[#This Row],[Quantity]]</f>
        <v>144000</v>
      </c>
      <c r="O117" s="9">
        <f>Table1[[#This Row],[Revenue]]-Table1[[#This Row],[COGS]]</f>
        <v>36000</v>
      </c>
      <c r="P117" s="6">
        <v>116</v>
      </c>
    </row>
    <row r="118" spans="1:16">
      <c r="A118" s="7" t="s">
        <v>127</v>
      </c>
      <c r="B118" s="7" t="str">
        <f>TEXT(Table1[[#This Row],[Date]],"MMM")</f>
        <v>Jan</v>
      </c>
      <c r="C118" t="s">
        <v>27</v>
      </c>
      <c r="D118" t="s">
        <v>36</v>
      </c>
      <c r="E118" t="s">
        <v>29</v>
      </c>
      <c r="F118" t="s">
        <v>30</v>
      </c>
      <c r="G118" t="s">
        <v>71</v>
      </c>
      <c r="H118" t="s">
        <v>51</v>
      </c>
      <c r="I118" s="9">
        <v>250000</v>
      </c>
      <c r="J118">
        <v>3</v>
      </c>
      <c r="K118" t="s">
        <v>58</v>
      </c>
      <c r="L118" s="9">
        <f t="shared" si="1"/>
        <v>200000</v>
      </c>
      <c r="M118" s="9">
        <f>Table1[[#This Row],[Unit Price]]*Table1[[#This Row],[Quantity]]</f>
        <v>750000</v>
      </c>
      <c r="N118" s="9">
        <f>Table1[[#This Row],[Cost Price]]*Table1[[#This Row],[Quantity]]</f>
        <v>600000</v>
      </c>
      <c r="O118" s="9">
        <f>Table1[[#This Row],[Revenue]]-Table1[[#This Row],[COGS]]</f>
        <v>150000</v>
      </c>
      <c r="P118" s="6">
        <v>117</v>
      </c>
    </row>
    <row r="119" spans="1:16">
      <c r="A119" s="7" t="s">
        <v>128</v>
      </c>
      <c r="B119" s="7" t="str">
        <f>TEXT(Table1[[#This Row],[Date]],"MMM")</f>
        <v>Mar</v>
      </c>
      <c r="C119" t="s">
        <v>44</v>
      </c>
      <c r="D119" t="s">
        <v>36</v>
      </c>
      <c r="E119" t="s">
        <v>41</v>
      </c>
      <c r="F119" t="s">
        <v>30</v>
      </c>
      <c r="G119" t="s">
        <v>62</v>
      </c>
      <c r="H119" t="s">
        <v>51</v>
      </c>
      <c r="I119" s="9">
        <v>150000</v>
      </c>
      <c r="J119">
        <v>5</v>
      </c>
      <c r="K119" t="s">
        <v>33</v>
      </c>
      <c r="L119" s="9">
        <f t="shared" si="1"/>
        <v>120000</v>
      </c>
      <c r="M119" s="9">
        <f>Table1[[#This Row],[Unit Price]]*Table1[[#This Row],[Quantity]]</f>
        <v>750000</v>
      </c>
      <c r="N119" s="9">
        <f>Table1[[#This Row],[Cost Price]]*Table1[[#This Row],[Quantity]]</f>
        <v>600000</v>
      </c>
      <c r="O119" s="9">
        <f>Table1[[#This Row],[Revenue]]-Table1[[#This Row],[COGS]]</f>
        <v>150000</v>
      </c>
      <c r="P119" s="6">
        <v>118</v>
      </c>
    </row>
    <row r="120" spans="1:16">
      <c r="A120" s="7" t="s">
        <v>129</v>
      </c>
      <c r="B120" s="7" t="str">
        <f>TEXT(Table1[[#This Row],[Date]],"MMM")</f>
        <v>Mar</v>
      </c>
      <c r="C120" t="s">
        <v>27</v>
      </c>
      <c r="D120" t="s">
        <v>36</v>
      </c>
      <c r="E120" t="s">
        <v>29</v>
      </c>
      <c r="F120" t="s">
        <v>30</v>
      </c>
      <c r="G120" t="s">
        <v>73</v>
      </c>
      <c r="H120" t="s">
        <v>39</v>
      </c>
      <c r="I120" s="9">
        <v>220000</v>
      </c>
      <c r="J120">
        <v>1</v>
      </c>
      <c r="K120" t="s">
        <v>65</v>
      </c>
      <c r="L120" s="9">
        <f t="shared" si="1"/>
        <v>176000</v>
      </c>
      <c r="M120" s="9">
        <f>Table1[[#This Row],[Unit Price]]*Table1[[#This Row],[Quantity]]</f>
        <v>220000</v>
      </c>
      <c r="N120" s="9">
        <f>Table1[[#This Row],[Cost Price]]*Table1[[#This Row],[Quantity]]</f>
        <v>176000</v>
      </c>
      <c r="O120" s="9">
        <f>Table1[[#This Row],[Revenue]]-Table1[[#This Row],[COGS]]</f>
        <v>44000</v>
      </c>
      <c r="P120" s="6">
        <v>119</v>
      </c>
    </row>
    <row r="121" spans="1:16">
      <c r="A121" s="7" t="s">
        <v>130</v>
      </c>
      <c r="B121" s="7" t="str">
        <f>TEXT(Table1[[#This Row],[Date]],"MMM")</f>
        <v>Jan</v>
      </c>
      <c r="C121" t="s">
        <v>49</v>
      </c>
      <c r="D121" t="s">
        <v>36</v>
      </c>
      <c r="E121" t="s">
        <v>29</v>
      </c>
      <c r="F121" t="s">
        <v>37</v>
      </c>
      <c r="G121" t="s">
        <v>56</v>
      </c>
      <c r="H121" t="s">
        <v>32</v>
      </c>
      <c r="I121" s="9">
        <v>320000</v>
      </c>
      <c r="J121">
        <v>10</v>
      </c>
      <c r="K121" t="s">
        <v>58</v>
      </c>
      <c r="L121" s="9">
        <f t="shared" si="1"/>
        <v>256000</v>
      </c>
      <c r="M121" s="9">
        <f>Table1[[#This Row],[Unit Price]]*Table1[[#This Row],[Quantity]]</f>
        <v>3200000</v>
      </c>
      <c r="N121" s="9">
        <f>Table1[[#This Row],[Cost Price]]*Table1[[#This Row],[Quantity]]</f>
        <v>2560000</v>
      </c>
      <c r="O121" s="9">
        <f>Table1[[#This Row],[Revenue]]-Table1[[#This Row],[COGS]]</f>
        <v>640000</v>
      </c>
      <c r="P121" s="6">
        <v>120</v>
      </c>
    </row>
    <row r="122" spans="1:16">
      <c r="A122" s="7" t="s">
        <v>97</v>
      </c>
      <c r="B122" s="7" t="str">
        <f>TEXT(Table1[[#This Row],[Date]],"MMM")</f>
        <v>Jan</v>
      </c>
      <c r="C122" t="s">
        <v>44</v>
      </c>
      <c r="D122" t="s">
        <v>28</v>
      </c>
      <c r="E122" t="s">
        <v>41</v>
      </c>
      <c r="F122" t="s">
        <v>37</v>
      </c>
      <c r="G122" t="s">
        <v>46</v>
      </c>
      <c r="H122" t="s">
        <v>39</v>
      </c>
      <c r="I122" s="9">
        <v>60000</v>
      </c>
      <c r="J122">
        <v>5</v>
      </c>
      <c r="K122" t="s">
        <v>42</v>
      </c>
      <c r="L122" s="9">
        <f t="shared" si="1"/>
        <v>48000</v>
      </c>
      <c r="M122" s="9">
        <f>Table1[[#This Row],[Unit Price]]*Table1[[#This Row],[Quantity]]</f>
        <v>300000</v>
      </c>
      <c r="N122" s="9">
        <f>Table1[[#This Row],[Cost Price]]*Table1[[#This Row],[Quantity]]</f>
        <v>240000</v>
      </c>
      <c r="O122" s="9">
        <f>Table1[[#This Row],[Revenue]]-Table1[[#This Row],[COGS]]</f>
        <v>60000</v>
      </c>
      <c r="P122" s="6">
        <v>121</v>
      </c>
    </row>
    <row r="123" spans="1:16">
      <c r="A123" s="7" t="s">
        <v>108</v>
      </c>
      <c r="B123" s="7" t="str">
        <f>TEXT(Table1[[#This Row],[Date]],"MMM")</f>
        <v>Apr</v>
      </c>
      <c r="C123" t="s">
        <v>35</v>
      </c>
      <c r="D123" t="s">
        <v>53</v>
      </c>
      <c r="E123" t="s">
        <v>29</v>
      </c>
      <c r="F123" t="s">
        <v>37</v>
      </c>
      <c r="G123" t="s">
        <v>62</v>
      </c>
      <c r="H123" t="s">
        <v>51</v>
      </c>
      <c r="I123" s="9">
        <v>150000</v>
      </c>
      <c r="J123">
        <v>7</v>
      </c>
      <c r="K123" t="s">
        <v>69</v>
      </c>
      <c r="L123" s="9">
        <f t="shared" si="1"/>
        <v>120000</v>
      </c>
      <c r="M123" s="9">
        <f>Table1[[#This Row],[Unit Price]]*Table1[[#This Row],[Quantity]]</f>
        <v>1050000</v>
      </c>
      <c r="N123" s="9">
        <f>Table1[[#This Row],[Cost Price]]*Table1[[#This Row],[Quantity]]</f>
        <v>840000</v>
      </c>
      <c r="O123" s="9">
        <f>Table1[[#This Row],[Revenue]]-Table1[[#This Row],[COGS]]</f>
        <v>210000</v>
      </c>
      <c r="P123" s="6">
        <v>122</v>
      </c>
    </row>
    <row r="124" spans="1:16">
      <c r="A124" s="7" t="s">
        <v>48</v>
      </c>
      <c r="B124" s="7" t="str">
        <f>TEXT(Table1[[#This Row],[Date]],"MMM")</f>
        <v>Apr</v>
      </c>
      <c r="C124" t="s">
        <v>49</v>
      </c>
      <c r="D124" t="s">
        <v>45</v>
      </c>
      <c r="E124" t="s">
        <v>29</v>
      </c>
      <c r="F124" t="s">
        <v>30</v>
      </c>
      <c r="G124" t="s">
        <v>46</v>
      </c>
      <c r="H124" t="s">
        <v>39</v>
      </c>
      <c r="I124" s="9">
        <v>60000</v>
      </c>
      <c r="J124">
        <v>7</v>
      </c>
      <c r="K124" t="s">
        <v>47</v>
      </c>
      <c r="L124" s="9">
        <f t="shared" si="1"/>
        <v>48000</v>
      </c>
      <c r="M124" s="9">
        <f>Table1[[#This Row],[Unit Price]]*Table1[[#This Row],[Quantity]]</f>
        <v>420000</v>
      </c>
      <c r="N124" s="9">
        <f>Table1[[#This Row],[Cost Price]]*Table1[[#This Row],[Quantity]]</f>
        <v>336000</v>
      </c>
      <c r="O124" s="9">
        <f>Table1[[#This Row],[Revenue]]-Table1[[#This Row],[COGS]]</f>
        <v>84000</v>
      </c>
      <c r="P124" s="6">
        <v>123</v>
      </c>
    </row>
    <row r="125" spans="1:16">
      <c r="A125" s="7" t="s">
        <v>74</v>
      </c>
      <c r="B125" s="7" t="str">
        <f>TEXT(Table1[[#This Row],[Date]],"MMM")</f>
        <v>Feb</v>
      </c>
      <c r="C125" t="s">
        <v>49</v>
      </c>
      <c r="D125" t="s">
        <v>28</v>
      </c>
      <c r="E125" t="s">
        <v>41</v>
      </c>
      <c r="F125" t="s">
        <v>37</v>
      </c>
      <c r="G125" t="s">
        <v>73</v>
      </c>
      <c r="H125" t="s">
        <v>39</v>
      </c>
      <c r="I125" s="9">
        <v>220000</v>
      </c>
      <c r="J125">
        <v>4</v>
      </c>
      <c r="K125" t="s">
        <v>58</v>
      </c>
      <c r="L125" s="9">
        <f t="shared" si="1"/>
        <v>176000</v>
      </c>
      <c r="M125" s="9">
        <f>Table1[[#This Row],[Unit Price]]*Table1[[#This Row],[Quantity]]</f>
        <v>880000</v>
      </c>
      <c r="N125" s="9">
        <f>Table1[[#This Row],[Cost Price]]*Table1[[#This Row],[Quantity]]</f>
        <v>704000</v>
      </c>
      <c r="O125" s="9">
        <f>Table1[[#This Row],[Revenue]]-Table1[[#This Row],[COGS]]</f>
        <v>176000</v>
      </c>
      <c r="P125" s="6">
        <v>124</v>
      </c>
    </row>
    <row r="126" spans="1:16">
      <c r="A126" s="7" t="s">
        <v>91</v>
      </c>
      <c r="B126" s="7" t="str">
        <f>TEXT(Table1[[#This Row],[Date]],"MMM")</f>
        <v>Feb</v>
      </c>
      <c r="C126" t="s">
        <v>35</v>
      </c>
      <c r="D126" t="s">
        <v>45</v>
      </c>
      <c r="E126" t="s">
        <v>41</v>
      </c>
      <c r="F126" t="s">
        <v>37</v>
      </c>
      <c r="G126" t="s">
        <v>71</v>
      </c>
      <c r="H126" t="s">
        <v>51</v>
      </c>
      <c r="I126" s="9">
        <v>250000</v>
      </c>
      <c r="J126">
        <v>6</v>
      </c>
      <c r="K126" t="s">
        <v>42</v>
      </c>
      <c r="L126" s="9">
        <f t="shared" si="1"/>
        <v>200000</v>
      </c>
      <c r="M126" s="9">
        <f>Table1[[#This Row],[Unit Price]]*Table1[[#This Row],[Quantity]]</f>
        <v>1500000</v>
      </c>
      <c r="N126" s="9">
        <f>Table1[[#This Row],[Cost Price]]*Table1[[#This Row],[Quantity]]</f>
        <v>1200000</v>
      </c>
      <c r="O126" s="9">
        <f>Table1[[#This Row],[Revenue]]-Table1[[#This Row],[COGS]]</f>
        <v>300000</v>
      </c>
      <c r="P126" s="6">
        <v>125</v>
      </c>
    </row>
    <row r="127" spans="1:16">
      <c r="A127" s="7" t="s">
        <v>104</v>
      </c>
      <c r="B127" s="7" t="str">
        <f>TEXT(Table1[[#This Row],[Date]],"MMM")</f>
        <v>Mar</v>
      </c>
      <c r="C127" t="s">
        <v>49</v>
      </c>
      <c r="D127" t="s">
        <v>28</v>
      </c>
      <c r="E127" t="s">
        <v>41</v>
      </c>
      <c r="F127" t="s">
        <v>30</v>
      </c>
      <c r="G127" t="s">
        <v>67</v>
      </c>
      <c r="H127" t="s">
        <v>51</v>
      </c>
      <c r="I127" s="9">
        <v>420000</v>
      </c>
      <c r="J127">
        <v>10</v>
      </c>
      <c r="K127" t="s">
        <v>33</v>
      </c>
      <c r="L127" s="9">
        <f t="shared" si="1"/>
        <v>336000</v>
      </c>
      <c r="M127" s="9">
        <f>Table1[[#This Row],[Unit Price]]*Table1[[#This Row],[Quantity]]</f>
        <v>4200000</v>
      </c>
      <c r="N127" s="9">
        <f>Table1[[#This Row],[Cost Price]]*Table1[[#This Row],[Quantity]]</f>
        <v>3360000</v>
      </c>
      <c r="O127" s="9">
        <f>Table1[[#This Row],[Revenue]]-Table1[[#This Row],[COGS]]</f>
        <v>840000</v>
      </c>
      <c r="P127" s="6">
        <v>126</v>
      </c>
    </row>
    <row r="128" spans="1:16">
      <c r="A128" s="7" t="s">
        <v>81</v>
      </c>
      <c r="B128" s="7" t="str">
        <f>TEXT(Table1[[#This Row],[Date]],"MMM")</f>
        <v>Mar</v>
      </c>
      <c r="C128" t="s">
        <v>35</v>
      </c>
      <c r="D128" t="s">
        <v>28</v>
      </c>
      <c r="E128" t="s">
        <v>29</v>
      </c>
      <c r="F128" t="s">
        <v>30</v>
      </c>
      <c r="G128" t="s">
        <v>38</v>
      </c>
      <c r="H128" t="s">
        <v>39</v>
      </c>
      <c r="I128" s="9">
        <v>30000</v>
      </c>
      <c r="J128">
        <v>9</v>
      </c>
      <c r="K128" t="s">
        <v>69</v>
      </c>
      <c r="L128" s="9">
        <f t="shared" si="1"/>
        <v>24000</v>
      </c>
      <c r="M128" s="9">
        <f>Table1[[#This Row],[Unit Price]]*Table1[[#This Row],[Quantity]]</f>
        <v>270000</v>
      </c>
      <c r="N128" s="9">
        <f>Table1[[#This Row],[Cost Price]]*Table1[[#This Row],[Quantity]]</f>
        <v>216000</v>
      </c>
      <c r="O128" s="9">
        <f>Table1[[#This Row],[Revenue]]-Table1[[#This Row],[COGS]]</f>
        <v>54000</v>
      </c>
      <c r="P128" s="6">
        <v>127</v>
      </c>
    </row>
    <row r="129" spans="1:16">
      <c r="A129" s="7" t="s">
        <v>131</v>
      </c>
      <c r="B129" s="7" t="str">
        <f>TEXT(Table1[[#This Row],[Date]],"MMM")</f>
        <v>Mar</v>
      </c>
      <c r="C129" t="s">
        <v>27</v>
      </c>
      <c r="D129" t="s">
        <v>45</v>
      </c>
      <c r="E129" t="s">
        <v>29</v>
      </c>
      <c r="F129" t="s">
        <v>37</v>
      </c>
      <c r="G129" t="s">
        <v>54</v>
      </c>
      <c r="H129" t="s">
        <v>39</v>
      </c>
      <c r="I129" s="9">
        <v>180000</v>
      </c>
      <c r="J129">
        <v>8</v>
      </c>
      <c r="K129" t="s">
        <v>47</v>
      </c>
      <c r="L129" s="9">
        <f t="shared" si="1"/>
        <v>144000</v>
      </c>
      <c r="M129" s="9">
        <f>Table1[[#This Row],[Unit Price]]*Table1[[#This Row],[Quantity]]</f>
        <v>1440000</v>
      </c>
      <c r="N129" s="9">
        <f>Table1[[#This Row],[Cost Price]]*Table1[[#This Row],[Quantity]]</f>
        <v>1152000</v>
      </c>
      <c r="O129" s="9">
        <f>Table1[[#This Row],[Revenue]]-Table1[[#This Row],[COGS]]</f>
        <v>288000</v>
      </c>
      <c r="P129" s="6">
        <v>128</v>
      </c>
    </row>
    <row r="130" spans="1:16">
      <c r="A130" s="7" t="s">
        <v>115</v>
      </c>
      <c r="B130" s="7" t="str">
        <f>TEXT(Table1[[#This Row],[Date]],"MMM")</f>
        <v>Jan</v>
      </c>
      <c r="C130" t="s">
        <v>49</v>
      </c>
      <c r="D130" t="s">
        <v>36</v>
      </c>
      <c r="E130" t="s">
        <v>29</v>
      </c>
      <c r="F130" t="s">
        <v>30</v>
      </c>
      <c r="G130" t="s">
        <v>67</v>
      </c>
      <c r="H130" t="s">
        <v>51</v>
      </c>
      <c r="I130" s="9">
        <v>420000</v>
      </c>
      <c r="J130">
        <v>5</v>
      </c>
      <c r="K130" t="s">
        <v>65</v>
      </c>
      <c r="L130" s="9">
        <f t="shared" ref="L130:L193" si="2">I130-I130*0.2</f>
        <v>336000</v>
      </c>
      <c r="M130" s="9">
        <f>Table1[[#This Row],[Unit Price]]*Table1[[#This Row],[Quantity]]</f>
        <v>2100000</v>
      </c>
      <c r="N130" s="9">
        <f>Table1[[#This Row],[Cost Price]]*Table1[[#This Row],[Quantity]]</f>
        <v>1680000</v>
      </c>
      <c r="O130" s="9">
        <f>Table1[[#This Row],[Revenue]]-Table1[[#This Row],[COGS]]</f>
        <v>420000</v>
      </c>
      <c r="P130" s="6">
        <v>129</v>
      </c>
    </row>
    <row r="131" spans="1:16">
      <c r="A131" s="7" t="s">
        <v>110</v>
      </c>
      <c r="B131" s="7" t="str">
        <f>TEXT(Table1[[#This Row],[Date]],"MMM")</f>
        <v>Jan</v>
      </c>
      <c r="C131" t="s">
        <v>27</v>
      </c>
      <c r="D131" t="s">
        <v>28</v>
      </c>
      <c r="E131" t="s">
        <v>41</v>
      </c>
      <c r="F131" t="s">
        <v>30</v>
      </c>
      <c r="G131" t="s">
        <v>46</v>
      </c>
      <c r="H131" t="s">
        <v>39</v>
      </c>
      <c r="I131" s="9">
        <v>60000</v>
      </c>
      <c r="J131">
        <v>9</v>
      </c>
      <c r="K131" t="s">
        <v>33</v>
      </c>
      <c r="L131" s="9">
        <f t="shared" si="2"/>
        <v>48000</v>
      </c>
      <c r="M131" s="9">
        <f>Table1[[#This Row],[Unit Price]]*Table1[[#This Row],[Quantity]]</f>
        <v>540000</v>
      </c>
      <c r="N131" s="9">
        <f>Table1[[#This Row],[Cost Price]]*Table1[[#This Row],[Quantity]]</f>
        <v>432000</v>
      </c>
      <c r="O131" s="9">
        <f>Table1[[#This Row],[Revenue]]-Table1[[#This Row],[COGS]]</f>
        <v>108000</v>
      </c>
      <c r="P131" s="6">
        <v>130</v>
      </c>
    </row>
    <row r="132" spans="1:16">
      <c r="A132" s="7" t="s">
        <v>72</v>
      </c>
      <c r="B132" s="7" t="str">
        <f>TEXT(Table1[[#This Row],[Date]],"MMM")</f>
        <v>Feb</v>
      </c>
      <c r="C132" t="s">
        <v>44</v>
      </c>
      <c r="D132" t="s">
        <v>45</v>
      </c>
      <c r="E132" t="s">
        <v>41</v>
      </c>
      <c r="F132" t="s">
        <v>37</v>
      </c>
      <c r="G132" t="s">
        <v>31</v>
      </c>
      <c r="H132" t="s">
        <v>32</v>
      </c>
      <c r="I132" s="9">
        <v>85000</v>
      </c>
      <c r="J132">
        <v>5</v>
      </c>
      <c r="K132" t="s">
        <v>42</v>
      </c>
      <c r="L132" s="9">
        <f t="shared" si="2"/>
        <v>68000</v>
      </c>
      <c r="M132" s="9">
        <f>Table1[[#This Row],[Unit Price]]*Table1[[#This Row],[Quantity]]</f>
        <v>425000</v>
      </c>
      <c r="N132" s="9">
        <f>Table1[[#This Row],[Cost Price]]*Table1[[#This Row],[Quantity]]</f>
        <v>340000</v>
      </c>
      <c r="O132" s="9">
        <f>Table1[[#This Row],[Revenue]]-Table1[[#This Row],[COGS]]</f>
        <v>85000</v>
      </c>
      <c r="P132" s="6">
        <v>131</v>
      </c>
    </row>
    <row r="133" spans="1:16">
      <c r="A133" s="7" t="s">
        <v>132</v>
      </c>
      <c r="B133" s="7" t="str">
        <f>TEXT(Table1[[#This Row],[Date]],"MMM")</f>
        <v>Apr</v>
      </c>
      <c r="C133" t="s">
        <v>44</v>
      </c>
      <c r="D133" t="s">
        <v>45</v>
      </c>
      <c r="E133" t="s">
        <v>41</v>
      </c>
      <c r="F133" t="s">
        <v>30</v>
      </c>
      <c r="G133" t="s">
        <v>31</v>
      </c>
      <c r="H133" t="s">
        <v>32</v>
      </c>
      <c r="I133" s="9">
        <v>85000</v>
      </c>
      <c r="J133">
        <v>1</v>
      </c>
      <c r="K133" t="s">
        <v>47</v>
      </c>
      <c r="L133" s="9">
        <f t="shared" si="2"/>
        <v>68000</v>
      </c>
      <c r="M133" s="9">
        <f>Table1[[#This Row],[Unit Price]]*Table1[[#This Row],[Quantity]]</f>
        <v>85000</v>
      </c>
      <c r="N133" s="9">
        <f>Table1[[#This Row],[Cost Price]]*Table1[[#This Row],[Quantity]]</f>
        <v>68000</v>
      </c>
      <c r="O133" s="9">
        <f>Table1[[#This Row],[Revenue]]-Table1[[#This Row],[COGS]]</f>
        <v>17000</v>
      </c>
      <c r="P133" s="6">
        <v>132</v>
      </c>
    </row>
    <row r="134" spans="1:16">
      <c r="A134" s="7" t="s">
        <v>97</v>
      </c>
      <c r="B134" s="7" t="str">
        <f>TEXT(Table1[[#This Row],[Date]],"MMM")</f>
        <v>Jan</v>
      </c>
      <c r="C134" t="s">
        <v>35</v>
      </c>
      <c r="D134" t="s">
        <v>36</v>
      </c>
      <c r="E134" t="s">
        <v>29</v>
      </c>
      <c r="F134" t="s">
        <v>37</v>
      </c>
      <c r="G134" t="s">
        <v>46</v>
      </c>
      <c r="H134" t="s">
        <v>39</v>
      </c>
      <c r="I134" s="9">
        <v>60000</v>
      </c>
      <c r="J134">
        <v>8</v>
      </c>
      <c r="K134" t="s">
        <v>58</v>
      </c>
      <c r="L134" s="9">
        <f t="shared" si="2"/>
        <v>48000</v>
      </c>
      <c r="M134" s="9">
        <f>Table1[[#This Row],[Unit Price]]*Table1[[#This Row],[Quantity]]</f>
        <v>480000</v>
      </c>
      <c r="N134" s="9">
        <f>Table1[[#This Row],[Cost Price]]*Table1[[#This Row],[Quantity]]</f>
        <v>384000</v>
      </c>
      <c r="O134" s="9">
        <f>Table1[[#This Row],[Revenue]]-Table1[[#This Row],[COGS]]</f>
        <v>96000</v>
      </c>
      <c r="P134" s="6">
        <v>133</v>
      </c>
    </row>
    <row r="135" spans="1:16">
      <c r="A135" s="7" t="s">
        <v>48</v>
      </c>
      <c r="B135" s="7" t="str">
        <f>TEXT(Table1[[#This Row],[Date]],"MMM")</f>
        <v>Apr</v>
      </c>
      <c r="C135" t="s">
        <v>27</v>
      </c>
      <c r="D135" t="s">
        <v>45</v>
      </c>
      <c r="E135" t="s">
        <v>41</v>
      </c>
      <c r="F135" t="s">
        <v>30</v>
      </c>
      <c r="G135" t="s">
        <v>62</v>
      </c>
      <c r="H135" t="s">
        <v>51</v>
      </c>
      <c r="I135" s="9">
        <v>150000</v>
      </c>
      <c r="J135">
        <v>5</v>
      </c>
      <c r="K135" t="s">
        <v>65</v>
      </c>
      <c r="L135" s="9">
        <f t="shared" si="2"/>
        <v>120000</v>
      </c>
      <c r="M135" s="9">
        <f>Table1[[#This Row],[Unit Price]]*Table1[[#This Row],[Quantity]]</f>
        <v>750000</v>
      </c>
      <c r="N135" s="9">
        <f>Table1[[#This Row],[Cost Price]]*Table1[[#This Row],[Quantity]]</f>
        <v>600000</v>
      </c>
      <c r="O135" s="9">
        <f>Table1[[#This Row],[Revenue]]-Table1[[#This Row],[COGS]]</f>
        <v>150000</v>
      </c>
      <c r="P135" s="6">
        <v>134</v>
      </c>
    </row>
    <row r="136" spans="1:16">
      <c r="A136" s="7" t="s">
        <v>81</v>
      </c>
      <c r="B136" s="7" t="str">
        <f>TEXT(Table1[[#This Row],[Date]],"MMM")</f>
        <v>Mar</v>
      </c>
      <c r="C136" t="s">
        <v>27</v>
      </c>
      <c r="D136" t="s">
        <v>53</v>
      </c>
      <c r="E136" t="s">
        <v>29</v>
      </c>
      <c r="F136" t="s">
        <v>30</v>
      </c>
      <c r="G136" t="s">
        <v>56</v>
      </c>
      <c r="H136" t="s">
        <v>32</v>
      </c>
      <c r="I136" s="9">
        <v>320000</v>
      </c>
      <c r="J136">
        <v>10</v>
      </c>
      <c r="K136" t="s">
        <v>58</v>
      </c>
      <c r="L136" s="9">
        <f t="shared" si="2"/>
        <v>256000</v>
      </c>
      <c r="M136" s="9">
        <f>Table1[[#This Row],[Unit Price]]*Table1[[#This Row],[Quantity]]</f>
        <v>3200000</v>
      </c>
      <c r="N136" s="9">
        <f>Table1[[#This Row],[Cost Price]]*Table1[[#This Row],[Quantity]]</f>
        <v>2560000</v>
      </c>
      <c r="O136" s="9">
        <f>Table1[[#This Row],[Revenue]]-Table1[[#This Row],[COGS]]</f>
        <v>640000</v>
      </c>
      <c r="P136" s="6">
        <v>135</v>
      </c>
    </row>
    <row r="137" spans="1:16">
      <c r="A137" s="7" t="s">
        <v>133</v>
      </c>
      <c r="B137" s="7" t="str">
        <f>TEXT(Table1[[#This Row],[Date]],"MMM")</f>
        <v>Jan</v>
      </c>
      <c r="C137" t="s">
        <v>27</v>
      </c>
      <c r="D137" t="s">
        <v>53</v>
      </c>
      <c r="E137" t="s">
        <v>41</v>
      </c>
      <c r="F137" t="s">
        <v>30</v>
      </c>
      <c r="G137" t="s">
        <v>71</v>
      </c>
      <c r="H137" t="s">
        <v>51</v>
      </c>
      <c r="I137" s="9">
        <v>250000</v>
      </c>
      <c r="J137">
        <v>6</v>
      </c>
      <c r="K137" t="s">
        <v>69</v>
      </c>
      <c r="L137" s="9">
        <f t="shared" si="2"/>
        <v>200000</v>
      </c>
      <c r="M137" s="9">
        <f>Table1[[#This Row],[Unit Price]]*Table1[[#This Row],[Quantity]]</f>
        <v>1500000</v>
      </c>
      <c r="N137" s="9">
        <f>Table1[[#This Row],[Cost Price]]*Table1[[#This Row],[Quantity]]</f>
        <v>1200000</v>
      </c>
      <c r="O137" s="9">
        <f>Table1[[#This Row],[Revenue]]-Table1[[#This Row],[COGS]]</f>
        <v>300000</v>
      </c>
      <c r="P137" s="6">
        <v>136</v>
      </c>
    </row>
    <row r="138" spans="1:16">
      <c r="A138" s="7" t="s">
        <v>127</v>
      </c>
      <c r="B138" s="7" t="str">
        <f>TEXT(Table1[[#This Row],[Date]],"MMM")</f>
        <v>Jan</v>
      </c>
      <c r="C138" t="s">
        <v>44</v>
      </c>
      <c r="D138" t="s">
        <v>45</v>
      </c>
      <c r="E138" t="s">
        <v>41</v>
      </c>
      <c r="F138" t="s">
        <v>30</v>
      </c>
      <c r="G138" t="s">
        <v>62</v>
      </c>
      <c r="H138" t="s">
        <v>51</v>
      </c>
      <c r="I138" s="9">
        <v>150000</v>
      </c>
      <c r="J138">
        <v>3</v>
      </c>
      <c r="K138" t="s">
        <v>33</v>
      </c>
      <c r="L138" s="9">
        <f t="shared" si="2"/>
        <v>120000</v>
      </c>
      <c r="M138" s="9">
        <f>Table1[[#This Row],[Unit Price]]*Table1[[#This Row],[Quantity]]</f>
        <v>450000</v>
      </c>
      <c r="N138" s="9">
        <f>Table1[[#This Row],[Cost Price]]*Table1[[#This Row],[Quantity]]</f>
        <v>360000</v>
      </c>
      <c r="O138" s="9">
        <f>Table1[[#This Row],[Revenue]]-Table1[[#This Row],[COGS]]</f>
        <v>90000</v>
      </c>
      <c r="P138" s="6">
        <v>137</v>
      </c>
    </row>
    <row r="139" spans="1:16">
      <c r="A139" s="7" t="s">
        <v>131</v>
      </c>
      <c r="B139" s="7" t="str">
        <f>TEXT(Table1[[#This Row],[Date]],"MMM")</f>
        <v>Mar</v>
      </c>
      <c r="C139" t="s">
        <v>27</v>
      </c>
      <c r="D139" t="s">
        <v>36</v>
      </c>
      <c r="E139" t="s">
        <v>41</v>
      </c>
      <c r="F139" t="s">
        <v>30</v>
      </c>
      <c r="G139" t="s">
        <v>46</v>
      </c>
      <c r="H139" t="s">
        <v>39</v>
      </c>
      <c r="I139" s="9">
        <v>60000</v>
      </c>
      <c r="J139">
        <v>10</v>
      </c>
      <c r="K139" t="s">
        <v>65</v>
      </c>
      <c r="L139" s="9">
        <f t="shared" si="2"/>
        <v>48000</v>
      </c>
      <c r="M139" s="9">
        <f>Table1[[#This Row],[Unit Price]]*Table1[[#This Row],[Quantity]]</f>
        <v>600000</v>
      </c>
      <c r="N139" s="9">
        <f>Table1[[#This Row],[Cost Price]]*Table1[[#This Row],[Quantity]]</f>
        <v>480000</v>
      </c>
      <c r="O139" s="9">
        <f>Table1[[#This Row],[Revenue]]-Table1[[#This Row],[COGS]]</f>
        <v>120000</v>
      </c>
      <c r="P139" s="6">
        <v>138</v>
      </c>
    </row>
    <row r="140" spans="1:16">
      <c r="A140" s="7" t="s">
        <v>70</v>
      </c>
      <c r="B140" s="7" t="str">
        <f>TEXT(Table1[[#This Row],[Date]],"MMM")</f>
        <v>Apr</v>
      </c>
      <c r="C140" t="s">
        <v>49</v>
      </c>
      <c r="D140" t="s">
        <v>45</v>
      </c>
      <c r="E140" t="s">
        <v>29</v>
      </c>
      <c r="F140" t="s">
        <v>30</v>
      </c>
      <c r="G140" t="s">
        <v>62</v>
      </c>
      <c r="H140" t="s">
        <v>51</v>
      </c>
      <c r="I140" s="9">
        <v>150000</v>
      </c>
      <c r="J140">
        <v>8</v>
      </c>
      <c r="K140" t="s">
        <v>47</v>
      </c>
      <c r="L140" s="9">
        <f t="shared" si="2"/>
        <v>120000</v>
      </c>
      <c r="M140" s="9">
        <f>Table1[[#This Row],[Unit Price]]*Table1[[#This Row],[Quantity]]</f>
        <v>1200000</v>
      </c>
      <c r="N140" s="9">
        <f>Table1[[#This Row],[Cost Price]]*Table1[[#This Row],[Quantity]]</f>
        <v>960000</v>
      </c>
      <c r="O140" s="9">
        <f>Table1[[#This Row],[Revenue]]-Table1[[#This Row],[COGS]]</f>
        <v>240000</v>
      </c>
      <c r="P140" s="6">
        <v>139</v>
      </c>
    </row>
    <row r="141" spans="1:16">
      <c r="A141" s="7" t="s">
        <v>123</v>
      </c>
      <c r="B141" s="7" t="str">
        <f>TEXT(Table1[[#This Row],[Date]],"MMM")</f>
        <v>Apr</v>
      </c>
      <c r="C141" t="s">
        <v>44</v>
      </c>
      <c r="D141" t="s">
        <v>28</v>
      </c>
      <c r="E141" t="s">
        <v>29</v>
      </c>
      <c r="F141" t="s">
        <v>30</v>
      </c>
      <c r="G141" t="s">
        <v>71</v>
      </c>
      <c r="H141" t="s">
        <v>51</v>
      </c>
      <c r="I141" s="9">
        <v>250000</v>
      </c>
      <c r="J141">
        <v>7</v>
      </c>
      <c r="K141" t="s">
        <v>65</v>
      </c>
      <c r="L141" s="9">
        <f t="shared" si="2"/>
        <v>200000</v>
      </c>
      <c r="M141" s="9">
        <f>Table1[[#This Row],[Unit Price]]*Table1[[#This Row],[Quantity]]</f>
        <v>1750000</v>
      </c>
      <c r="N141" s="9">
        <f>Table1[[#This Row],[Cost Price]]*Table1[[#This Row],[Quantity]]</f>
        <v>1400000</v>
      </c>
      <c r="O141" s="9">
        <f>Table1[[#This Row],[Revenue]]-Table1[[#This Row],[COGS]]</f>
        <v>350000</v>
      </c>
      <c r="P141" s="6">
        <v>140</v>
      </c>
    </row>
    <row r="142" spans="1:16">
      <c r="A142" s="7" t="s">
        <v>48</v>
      </c>
      <c r="B142" s="7" t="str">
        <f>TEXT(Table1[[#This Row],[Date]],"MMM")</f>
        <v>Apr</v>
      </c>
      <c r="C142" t="s">
        <v>44</v>
      </c>
      <c r="D142" t="s">
        <v>53</v>
      </c>
      <c r="E142" t="s">
        <v>41</v>
      </c>
      <c r="F142" t="s">
        <v>30</v>
      </c>
      <c r="G142" t="s">
        <v>31</v>
      </c>
      <c r="H142" t="s">
        <v>32</v>
      </c>
      <c r="I142" s="9">
        <v>85000</v>
      </c>
      <c r="J142">
        <v>6</v>
      </c>
      <c r="K142" t="s">
        <v>58</v>
      </c>
      <c r="L142" s="9">
        <f t="shared" si="2"/>
        <v>68000</v>
      </c>
      <c r="M142" s="9">
        <f>Table1[[#This Row],[Unit Price]]*Table1[[#This Row],[Quantity]]</f>
        <v>510000</v>
      </c>
      <c r="N142" s="9">
        <f>Table1[[#This Row],[Cost Price]]*Table1[[#This Row],[Quantity]]</f>
        <v>408000</v>
      </c>
      <c r="O142" s="9">
        <f>Table1[[#This Row],[Revenue]]-Table1[[#This Row],[COGS]]</f>
        <v>102000</v>
      </c>
      <c r="P142" s="6">
        <v>141</v>
      </c>
    </row>
    <row r="143" spans="1:16">
      <c r="A143" s="7" t="s">
        <v>125</v>
      </c>
      <c r="B143" s="7" t="str">
        <f>TEXT(Table1[[#This Row],[Date]],"MMM")</f>
        <v>Feb</v>
      </c>
      <c r="C143" t="s">
        <v>49</v>
      </c>
      <c r="D143" t="s">
        <v>28</v>
      </c>
      <c r="E143" t="s">
        <v>41</v>
      </c>
      <c r="F143" t="s">
        <v>30</v>
      </c>
      <c r="G143" t="s">
        <v>54</v>
      </c>
      <c r="H143" t="s">
        <v>39</v>
      </c>
      <c r="I143" s="9">
        <v>180000</v>
      </c>
      <c r="J143">
        <v>9</v>
      </c>
      <c r="K143" t="s">
        <v>65</v>
      </c>
      <c r="L143" s="9">
        <f t="shared" si="2"/>
        <v>144000</v>
      </c>
      <c r="M143" s="9">
        <f>Table1[[#This Row],[Unit Price]]*Table1[[#This Row],[Quantity]]</f>
        <v>1620000</v>
      </c>
      <c r="N143" s="9">
        <f>Table1[[#This Row],[Cost Price]]*Table1[[#This Row],[Quantity]]</f>
        <v>1296000</v>
      </c>
      <c r="O143" s="9">
        <f>Table1[[#This Row],[Revenue]]-Table1[[#This Row],[COGS]]</f>
        <v>324000</v>
      </c>
      <c r="P143" s="6">
        <v>142</v>
      </c>
    </row>
    <row r="144" spans="1:16">
      <c r="A144" s="7" t="s">
        <v>59</v>
      </c>
      <c r="B144" s="7" t="str">
        <f>TEXT(Table1[[#This Row],[Date]],"MMM")</f>
        <v>Mar</v>
      </c>
      <c r="C144" t="s">
        <v>27</v>
      </c>
      <c r="D144" t="s">
        <v>53</v>
      </c>
      <c r="E144" t="s">
        <v>41</v>
      </c>
      <c r="F144" t="s">
        <v>30</v>
      </c>
      <c r="G144" t="s">
        <v>38</v>
      </c>
      <c r="H144" t="s">
        <v>39</v>
      </c>
      <c r="I144" s="9">
        <v>30000</v>
      </c>
      <c r="J144">
        <v>8</v>
      </c>
      <c r="K144" t="s">
        <v>65</v>
      </c>
      <c r="L144" s="9">
        <f t="shared" si="2"/>
        <v>24000</v>
      </c>
      <c r="M144" s="9">
        <f>Table1[[#This Row],[Unit Price]]*Table1[[#This Row],[Quantity]]</f>
        <v>240000</v>
      </c>
      <c r="N144" s="9">
        <f>Table1[[#This Row],[Cost Price]]*Table1[[#This Row],[Quantity]]</f>
        <v>192000</v>
      </c>
      <c r="O144" s="9">
        <f>Table1[[#This Row],[Revenue]]-Table1[[#This Row],[COGS]]</f>
        <v>48000</v>
      </c>
      <c r="P144" s="6">
        <v>143</v>
      </c>
    </row>
    <row r="145" spans="1:16">
      <c r="A145" s="7" t="s">
        <v>134</v>
      </c>
      <c r="B145" s="7" t="str">
        <f>TEXT(Table1[[#This Row],[Date]],"MMM")</f>
        <v>Jan</v>
      </c>
      <c r="C145" t="s">
        <v>44</v>
      </c>
      <c r="D145" t="s">
        <v>28</v>
      </c>
      <c r="E145" t="s">
        <v>41</v>
      </c>
      <c r="F145" t="s">
        <v>37</v>
      </c>
      <c r="G145" t="s">
        <v>31</v>
      </c>
      <c r="H145" t="s">
        <v>32</v>
      </c>
      <c r="I145" s="9">
        <v>85000</v>
      </c>
      <c r="J145">
        <v>1</v>
      </c>
      <c r="K145" t="s">
        <v>42</v>
      </c>
      <c r="L145" s="9">
        <f t="shared" si="2"/>
        <v>68000</v>
      </c>
      <c r="M145" s="9">
        <f>Table1[[#This Row],[Unit Price]]*Table1[[#This Row],[Quantity]]</f>
        <v>85000</v>
      </c>
      <c r="N145" s="9">
        <f>Table1[[#This Row],[Cost Price]]*Table1[[#This Row],[Quantity]]</f>
        <v>68000</v>
      </c>
      <c r="O145" s="9">
        <f>Table1[[#This Row],[Revenue]]-Table1[[#This Row],[COGS]]</f>
        <v>17000</v>
      </c>
      <c r="P145" s="6">
        <v>144</v>
      </c>
    </row>
    <row r="146" spans="1:16">
      <c r="A146" s="7" t="s">
        <v>107</v>
      </c>
      <c r="B146" s="7" t="str">
        <f>TEXT(Table1[[#This Row],[Date]],"MMM")</f>
        <v>Feb</v>
      </c>
      <c r="C146" t="s">
        <v>27</v>
      </c>
      <c r="D146" t="s">
        <v>53</v>
      </c>
      <c r="E146" t="s">
        <v>41</v>
      </c>
      <c r="F146" t="s">
        <v>30</v>
      </c>
      <c r="G146" t="s">
        <v>38</v>
      </c>
      <c r="H146" t="s">
        <v>39</v>
      </c>
      <c r="I146" s="9">
        <v>30000</v>
      </c>
      <c r="J146">
        <v>8</v>
      </c>
      <c r="K146" t="s">
        <v>69</v>
      </c>
      <c r="L146" s="9">
        <f t="shared" si="2"/>
        <v>24000</v>
      </c>
      <c r="M146" s="9">
        <f>Table1[[#This Row],[Unit Price]]*Table1[[#This Row],[Quantity]]</f>
        <v>240000</v>
      </c>
      <c r="N146" s="9">
        <f>Table1[[#This Row],[Cost Price]]*Table1[[#This Row],[Quantity]]</f>
        <v>192000</v>
      </c>
      <c r="O146" s="9">
        <f>Table1[[#This Row],[Revenue]]-Table1[[#This Row],[COGS]]</f>
        <v>48000</v>
      </c>
      <c r="P146" s="6">
        <v>145</v>
      </c>
    </row>
    <row r="147" spans="1:16">
      <c r="A147" s="7" t="s">
        <v>126</v>
      </c>
      <c r="B147" s="7" t="str">
        <f>TEXT(Table1[[#This Row],[Date]],"MMM")</f>
        <v>Jan</v>
      </c>
      <c r="C147" t="s">
        <v>49</v>
      </c>
      <c r="D147" t="s">
        <v>45</v>
      </c>
      <c r="E147" t="s">
        <v>29</v>
      </c>
      <c r="F147" t="s">
        <v>30</v>
      </c>
      <c r="G147" t="s">
        <v>56</v>
      </c>
      <c r="H147" t="s">
        <v>32</v>
      </c>
      <c r="I147" s="9">
        <v>320000</v>
      </c>
      <c r="J147">
        <v>2</v>
      </c>
      <c r="K147" t="s">
        <v>65</v>
      </c>
      <c r="L147" s="9">
        <f t="shared" si="2"/>
        <v>256000</v>
      </c>
      <c r="M147" s="9">
        <f>Table1[[#This Row],[Unit Price]]*Table1[[#This Row],[Quantity]]</f>
        <v>640000</v>
      </c>
      <c r="N147" s="9">
        <f>Table1[[#This Row],[Cost Price]]*Table1[[#This Row],[Quantity]]</f>
        <v>512000</v>
      </c>
      <c r="O147" s="9">
        <f>Table1[[#This Row],[Revenue]]-Table1[[#This Row],[COGS]]</f>
        <v>128000</v>
      </c>
      <c r="P147" s="6">
        <v>146</v>
      </c>
    </row>
    <row r="148" spans="1:16">
      <c r="A148" s="7" t="s">
        <v>66</v>
      </c>
      <c r="B148" s="7" t="str">
        <f>TEXT(Table1[[#This Row],[Date]],"MMM")</f>
        <v>Mar</v>
      </c>
      <c r="C148" t="s">
        <v>35</v>
      </c>
      <c r="D148" t="s">
        <v>28</v>
      </c>
      <c r="E148" t="s">
        <v>29</v>
      </c>
      <c r="F148" t="s">
        <v>30</v>
      </c>
      <c r="G148" t="s">
        <v>62</v>
      </c>
      <c r="H148" t="s">
        <v>51</v>
      </c>
      <c r="I148" s="9">
        <v>150000</v>
      </c>
      <c r="J148">
        <v>5</v>
      </c>
      <c r="K148" t="s">
        <v>65</v>
      </c>
      <c r="L148" s="9">
        <f t="shared" si="2"/>
        <v>120000</v>
      </c>
      <c r="M148" s="9">
        <f>Table1[[#This Row],[Unit Price]]*Table1[[#This Row],[Quantity]]</f>
        <v>750000</v>
      </c>
      <c r="N148" s="9">
        <f>Table1[[#This Row],[Cost Price]]*Table1[[#This Row],[Quantity]]</f>
        <v>600000</v>
      </c>
      <c r="O148" s="9">
        <f>Table1[[#This Row],[Revenue]]-Table1[[#This Row],[COGS]]</f>
        <v>150000</v>
      </c>
      <c r="P148" s="6">
        <v>147</v>
      </c>
    </row>
    <row r="149" spans="1:16">
      <c r="A149" s="7" t="s">
        <v>135</v>
      </c>
      <c r="B149" s="7" t="str">
        <f>TEXT(Table1[[#This Row],[Date]],"MMM")</f>
        <v>Mar</v>
      </c>
      <c r="C149" t="s">
        <v>35</v>
      </c>
      <c r="D149" t="s">
        <v>45</v>
      </c>
      <c r="E149" t="s">
        <v>41</v>
      </c>
      <c r="F149" t="s">
        <v>30</v>
      </c>
      <c r="G149" t="s">
        <v>71</v>
      </c>
      <c r="H149" t="s">
        <v>51</v>
      </c>
      <c r="I149" s="9">
        <v>250000</v>
      </c>
      <c r="J149">
        <v>5</v>
      </c>
      <c r="K149" t="s">
        <v>69</v>
      </c>
      <c r="L149" s="9">
        <f t="shared" si="2"/>
        <v>200000</v>
      </c>
      <c r="M149" s="9">
        <f>Table1[[#This Row],[Unit Price]]*Table1[[#This Row],[Quantity]]</f>
        <v>1250000</v>
      </c>
      <c r="N149" s="9">
        <f>Table1[[#This Row],[Cost Price]]*Table1[[#This Row],[Quantity]]</f>
        <v>1000000</v>
      </c>
      <c r="O149" s="9">
        <f>Table1[[#This Row],[Revenue]]-Table1[[#This Row],[COGS]]</f>
        <v>250000</v>
      </c>
      <c r="P149" s="6">
        <v>148</v>
      </c>
    </row>
    <row r="150" spans="1:16">
      <c r="A150" s="7" t="s">
        <v>26</v>
      </c>
      <c r="B150" s="7" t="str">
        <f>TEXT(Table1[[#This Row],[Date]],"MMM")</f>
        <v>Jan</v>
      </c>
      <c r="C150" t="s">
        <v>49</v>
      </c>
      <c r="D150" t="s">
        <v>53</v>
      </c>
      <c r="E150" t="s">
        <v>41</v>
      </c>
      <c r="F150" t="s">
        <v>30</v>
      </c>
      <c r="G150" t="s">
        <v>73</v>
      </c>
      <c r="H150" t="s">
        <v>39</v>
      </c>
      <c r="I150" s="9">
        <v>220000</v>
      </c>
      <c r="J150">
        <v>10</v>
      </c>
      <c r="K150" t="s">
        <v>42</v>
      </c>
      <c r="L150" s="9">
        <f t="shared" si="2"/>
        <v>176000</v>
      </c>
      <c r="M150" s="9">
        <f>Table1[[#This Row],[Unit Price]]*Table1[[#This Row],[Quantity]]</f>
        <v>2200000</v>
      </c>
      <c r="N150" s="9">
        <f>Table1[[#This Row],[Cost Price]]*Table1[[#This Row],[Quantity]]</f>
        <v>1760000</v>
      </c>
      <c r="O150" s="9">
        <f>Table1[[#This Row],[Revenue]]-Table1[[#This Row],[COGS]]</f>
        <v>440000</v>
      </c>
      <c r="P150" s="6">
        <v>149</v>
      </c>
    </row>
    <row r="151" spans="1:16">
      <c r="A151" s="7" t="s">
        <v>114</v>
      </c>
      <c r="B151" s="7" t="str">
        <f>TEXT(Table1[[#This Row],[Date]],"MMM")</f>
        <v>Apr</v>
      </c>
      <c r="C151" t="s">
        <v>49</v>
      </c>
      <c r="D151" t="s">
        <v>45</v>
      </c>
      <c r="E151" t="s">
        <v>41</v>
      </c>
      <c r="F151" t="s">
        <v>30</v>
      </c>
      <c r="G151" t="s">
        <v>46</v>
      </c>
      <c r="H151" t="s">
        <v>39</v>
      </c>
      <c r="I151" s="9">
        <v>60000</v>
      </c>
      <c r="J151">
        <v>2</v>
      </c>
      <c r="K151" t="s">
        <v>58</v>
      </c>
      <c r="L151" s="9">
        <f t="shared" si="2"/>
        <v>48000</v>
      </c>
      <c r="M151" s="9">
        <f>Table1[[#This Row],[Unit Price]]*Table1[[#This Row],[Quantity]]</f>
        <v>120000</v>
      </c>
      <c r="N151" s="9">
        <f>Table1[[#This Row],[Cost Price]]*Table1[[#This Row],[Quantity]]</f>
        <v>96000</v>
      </c>
      <c r="O151" s="9">
        <f>Table1[[#This Row],[Revenue]]-Table1[[#This Row],[COGS]]</f>
        <v>24000</v>
      </c>
      <c r="P151" s="6">
        <v>150</v>
      </c>
    </row>
    <row r="152" spans="1:16">
      <c r="A152" s="7" t="s">
        <v>126</v>
      </c>
      <c r="B152" s="7" t="str">
        <f>TEXT(Table1[[#This Row],[Date]],"MMM")</f>
        <v>Jan</v>
      </c>
      <c r="C152" t="s">
        <v>49</v>
      </c>
      <c r="D152" t="s">
        <v>45</v>
      </c>
      <c r="E152" t="s">
        <v>41</v>
      </c>
      <c r="F152" t="s">
        <v>37</v>
      </c>
      <c r="G152" t="s">
        <v>71</v>
      </c>
      <c r="H152" t="s">
        <v>51</v>
      </c>
      <c r="I152" s="9">
        <v>250000</v>
      </c>
      <c r="J152">
        <v>1</v>
      </c>
      <c r="K152" t="s">
        <v>65</v>
      </c>
      <c r="L152" s="9">
        <f t="shared" si="2"/>
        <v>200000</v>
      </c>
      <c r="M152" s="9">
        <f>Table1[[#This Row],[Unit Price]]*Table1[[#This Row],[Quantity]]</f>
        <v>250000</v>
      </c>
      <c r="N152" s="9">
        <f>Table1[[#This Row],[Cost Price]]*Table1[[#This Row],[Quantity]]</f>
        <v>200000</v>
      </c>
      <c r="O152" s="9">
        <f>Table1[[#This Row],[Revenue]]-Table1[[#This Row],[COGS]]</f>
        <v>50000</v>
      </c>
      <c r="P152" s="6">
        <v>151</v>
      </c>
    </row>
    <row r="153" spans="1:16">
      <c r="A153" s="7" t="s">
        <v>117</v>
      </c>
      <c r="B153" s="7" t="str">
        <f>TEXT(Table1[[#This Row],[Date]],"MMM")</f>
        <v>Jan</v>
      </c>
      <c r="C153" t="s">
        <v>27</v>
      </c>
      <c r="D153" t="s">
        <v>28</v>
      </c>
      <c r="E153" t="s">
        <v>29</v>
      </c>
      <c r="F153" t="s">
        <v>30</v>
      </c>
      <c r="G153" t="s">
        <v>54</v>
      </c>
      <c r="H153" t="s">
        <v>39</v>
      </c>
      <c r="I153" s="9">
        <v>180000</v>
      </c>
      <c r="J153">
        <v>8</v>
      </c>
      <c r="K153" t="s">
        <v>69</v>
      </c>
      <c r="L153" s="9">
        <f t="shared" si="2"/>
        <v>144000</v>
      </c>
      <c r="M153" s="9">
        <f>Table1[[#This Row],[Unit Price]]*Table1[[#This Row],[Quantity]]</f>
        <v>1440000</v>
      </c>
      <c r="N153" s="9">
        <f>Table1[[#This Row],[Cost Price]]*Table1[[#This Row],[Quantity]]</f>
        <v>1152000</v>
      </c>
      <c r="O153" s="9">
        <f>Table1[[#This Row],[Revenue]]-Table1[[#This Row],[COGS]]</f>
        <v>288000</v>
      </c>
      <c r="P153" s="6">
        <v>152</v>
      </c>
    </row>
    <row r="154" spans="1:16">
      <c r="A154" s="7" t="s">
        <v>84</v>
      </c>
      <c r="B154" s="7" t="str">
        <f>TEXT(Table1[[#This Row],[Date]],"MMM")</f>
        <v>Jan</v>
      </c>
      <c r="C154" t="s">
        <v>49</v>
      </c>
      <c r="D154" t="s">
        <v>36</v>
      </c>
      <c r="E154" t="s">
        <v>29</v>
      </c>
      <c r="F154" t="s">
        <v>30</v>
      </c>
      <c r="G154" t="s">
        <v>62</v>
      </c>
      <c r="H154" t="s">
        <v>51</v>
      </c>
      <c r="I154" s="9">
        <v>150000</v>
      </c>
      <c r="J154">
        <v>1</v>
      </c>
      <c r="K154" t="s">
        <v>33</v>
      </c>
      <c r="L154" s="9">
        <f t="shared" si="2"/>
        <v>120000</v>
      </c>
      <c r="M154" s="9">
        <f>Table1[[#This Row],[Unit Price]]*Table1[[#This Row],[Quantity]]</f>
        <v>150000</v>
      </c>
      <c r="N154" s="9">
        <f>Table1[[#This Row],[Cost Price]]*Table1[[#This Row],[Quantity]]</f>
        <v>120000</v>
      </c>
      <c r="O154" s="9">
        <f>Table1[[#This Row],[Revenue]]-Table1[[#This Row],[COGS]]</f>
        <v>30000</v>
      </c>
      <c r="P154" s="6">
        <v>153</v>
      </c>
    </row>
    <row r="155" spans="1:16">
      <c r="A155" s="7" t="s">
        <v>136</v>
      </c>
      <c r="B155" s="7" t="str">
        <f>TEXT(Table1[[#This Row],[Date]],"MMM")</f>
        <v>Feb</v>
      </c>
      <c r="C155" t="s">
        <v>49</v>
      </c>
      <c r="D155" t="s">
        <v>53</v>
      </c>
      <c r="E155" t="s">
        <v>29</v>
      </c>
      <c r="F155" t="s">
        <v>30</v>
      </c>
      <c r="G155" t="s">
        <v>38</v>
      </c>
      <c r="H155" t="s">
        <v>39</v>
      </c>
      <c r="I155" s="9">
        <v>30000</v>
      </c>
      <c r="J155">
        <v>6</v>
      </c>
      <c r="K155" t="s">
        <v>42</v>
      </c>
      <c r="L155" s="9">
        <f t="shared" si="2"/>
        <v>24000</v>
      </c>
      <c r="M155" s="9">
        <f>Table1[[#This Row],[Unit Price]]*Table1[[#This Row],[Quantity]]</f>
        <v>180000</v>
      </c>
      <c r="N155" s="9">
        <f>Table1[[#This Row],[Cost Price]]*Table1[[#This Row],[Quantity]]</f>
        <v>144000</v>
      </c>
      <c r="O155" s="9">
        <f>Table1[[#This Row],[Revenue]]-Table1[[#This Row],[COGS]]</f>
        <v>36000</v>
      </c>
      <c r="P155" s="6">
        <v>154</v>
      </c>
    </row>
    <row r="156" spans="1:16">
      <c r="A156" s="7" t="s">
        <v>127</v>
      </c>
      <c r="B156" s="7" t="str">
        <f>TEXT(Table1[[#This Row],[Date]],"MMM")</f>
        <v>Jan</v>
      </c>
      <c r="C156" t="s">
        <v>27</v>
      </c>
      <c r="D156" t="s">
        <v>28</v>
      </c>
      <c r="E156" t="s">
        <v>41</v>
      </c>
      <c r="F156" t="s">
        <v>30</v>
      </c>
      <c r="G156" t="s">
        <v>73</v>
      </c>
      <c r="H156" t="s">
        <v>39</v>
      </c>
      <c r="I156" s="9">
        <v>220000</v>
      </c>
      <c r="J156">
        <v>10</v>
      </c>
      <c r="K156" t="s">
        <v>69</v>
      </c>
      <c r="L156" s="9">
        <f t="shared" si="2"/>
        <v>176000</v>
      </c>
      <c r="M156" s="9">
        <f>Table1[[#This Row],[Unit Price]]*Table1[[#This Row],[Quantity]]</f>
        <v>2200000</v>
      </c>
      <c r="N156" s="9">
        <f>Table1[[#This Row],[Cost Price]]*Table1[[#This Row],[Quantity]]</f>
        <v>1760000</v>
      </c>
      <c r="O156" s="9">
        <f>Table1[[#This Row],[Revenue]]-Table1[[#This Row],[COGS]]</f>
        <v>440000</v>
      </c>
      <c r="P156" s="6">
        <v>155</v>
      </c>
    </row>
    <row r="157" spans="1:16">
      <c r="A157" s="7" t="s">
        <v>98</v>
      </c>
      <c r="B157" s="7" t="str">
        <f>TEXT(Table1[[#This Row],[Date]],"MMM")</f>
        <v>Jan</v>
      </c>
      <c r="C157" t="s">
        <v>27</v>
      </c>
      <c r="D157" t="s">
        <v>28</v>
      </c>
      <c r="E157" t="s">
        <v>29</v>
      </c>
      <c r="F157" t="s">
        <v>37</v>
      </c>
      <c r="G157" t="s">
        <v>67</v>
      </c>
      <c r="H157" t="s">
        <v>51</v>
      </c>
      <c r="I157" s="9">
        <v>420000</v>
      </c>
      <c r="J157">
        <v>1</v>
      </c>
      <c r="K157" t="s">
        <v>42</v>
      </c>
      <c r="L157" s="9">
        <f t="shared" si="2"/>
        <v>336000</v>
      </c>
      <c r="M157" s="9">
        <f>Table1[[#This Row],[Unit Price]]*Table1[[#This Row],[Quantity]]</f>
        <v>420000</v>
      </c>
      <c r="N157" s="9">
        <f>Table1[[#This Row],[Cost Price]]*Table1[[#This Row],[Quantity]]</f>
        <v>336000</v>
      </c>
      <c r="O157" s="9">
        <f>Table1[[#This Row],[Revenue]]-Table1[[#This Row],[COGS]]</f>
        <v>84000</v>
      </c>
      <c r="P157" s="6">
        <v>156</v>
      </c>
    </row>
    <row r="158" spans="1:16">
      <c r="A158" s="7" t="s">
        <v>83</v>
      </c>
      <c r="B158" s="7" t="str">
        <f>TEXT(Table1[[#This Row],[Date]],"MMM")</f>
        <v>Jan</v>
      </c>
      <c r="C158" t="s">
        <v>27</v>
      </c>
      <c r="D158" t="s">
        <v>36</v>
      </c>
      <c r="E158" t="s">
        <v>41</v>
      </c>
      <c r="F158" t="s">
        <v>37</v>
      </c>
      <c r="G158" t="s">
        <v>50</v>
      </c>
      <c r="H158" t="s">
        <v>51</v>
      </c>
      <c r="I158" s="9">
        <v>300000</v>
      </c>
      <c r="J158">
        <v>8</v>
      </c>
      <c r="K158" t="s">
        <v>42</v>
      </c>
      <c r="L158" s="9">
        <f t="shared" si="2"/>
        <v>240000</v>
      </c>
      <c r="M158" s="9">
        <f>Table1[[#This Row],[Unit Price]]*Table1[[#This Row],[Quantity]]</f>
        <v>2400000</v>
      </c>
      <c r="N158" s="9">
        <f>Table1[[#This Row],[Cost Price]]*Table1[[#This Row],[Quantity]]</f>
        <v>1920000</v>
      </c>
      <c r="O158" s="9">
        <f>Table1[[#This Row],[Revenue]]-Table1[[#This Row],[COGS]]</f>
        <v>480000</v>
      </c>
      <c r="P158" s="6">
        <v>157</v>
      </c>
    </row>
    <row r="159" spans="1:16">
      <c r="A159" s="7" t="s">
        <v>79</v>
      </c>
      <c r="B159" s="7" t="str">
        <f>TEXT(Table1[[#This Row],[Date]],"MMM")</f>
        <v>Feb</v>
      </c>
      <c r="C159" t="s">
        <v>49</v>
      </c>
      <c r="D159" t="s">
        <v>53</v>
      </c>
      <c r="E159" t="s">
        <v>41</v>
      </c>
      <c r="F159" t="s">
        <v>30</v>
      </c>
      <c r="G159" t="s">
        <v>71</v>
      </c>
      <c r="H159" t="s">
        <v>51</v>
      </c>
      <c r="I159" s="9">
        <v>250000</v>
      </c>
      <c r="J159">
        <v>3</v>
      </c>
      <c r="K159" t="s">
        <v>33</v>
      </c>
      <c r="L159" s="9">
        <f t="shared" si="2"/>
        <v>200000</v>
      </c>
      <c r="M159" s="9">
        <f>Table1[[#This Row],[Unit Price]]*Table1[[#This Row],[Quantity]]</f>
        <v>750000</v>
      </c>
      <c r="N159" s="9">
        <f>Table1[[#This Row],[Cost Price]]*Table1[[#This Row],[Quantity]]</f>
        <v>600000</v>
      </c>
      <c r="O159" s="9">
        <f>Table1[[#This Row],[Revenue]]-Table1[[#This Row],[COGS]]</f>
        <v>150000</v>
      </c>
      <c r="P159" s="6">
        <v>158</v>
      </c>
    </row>
    <row r="160" spans="1:16">
      <c r="A160" s="7" t="s">
        <v>87</v>
      </c>
      <c r="B160" s="7" t="str">
        <f>TEXT(Table1[[#This Row],[Date]],"MMM")</f>
        <v>Mar</v>
      </c>
      <c r="C160" t="s">
        <v>27</v>
      </c>
      <c r="D160" t="s">
        <v>53</v>
      </c>
      <c r="E160" t="s">
        <v>41</v>
      </c>
      <c r="F160" t="s">
        <v>30</v>
      </c>
      <c r="G160" t="s">
        <v>50</v>
      </c>
      <c r="H160" t="s">
        <v>51</v>
      </c>
      <c r="I160" s="9">
        <v>300000</v>
      </c>
      <c r="J160">
        <v>4</v>
      </c>
      <c r="K160" t="s">
        <v>58</v>
      </c>
      <c r="L160" s="9">
        <f t="shared" si="2"/>
        <v>240000</v>
      </c>
      <c r="M160" s="9">
        <f>Table1[[#This Row],[Unit Price]]*Table1[[#This Row],[Quantity]]</f>
        <v>1200000</v>
      </c>
      <c r="N160" s="9">
        <f>Table1[[#This Row],[Cost Price]]*Table1[[#This Row],[Quantity]]</f>
        <v>960000</v>
      </c>
      <c r="O160" s="9">
        <f>Table1[[#This Row],[Revenue]]-Table1[[#This Row],[COGS]]</f>
        <v>240000</v>
      </c>
      <c r="P160" s="6">
        <v>159</v>
      </c>
    </row>
    <row r="161" spans="1:16">
      <c r="A161" s="7" t="s">
        <v>137</v>
      </c>
      <c r="B161" s="7" t="str">
        <f>TEXT(Table1[[#This Row],[Date]],"MMM")</f>
        <v>Apr</v>
      </c>
      <c r="C161" t="s">
        <v>27</v>
      </c>
      <c r="D161" t="s">
        <v>45</v>
      </c>
      <c r="E161" t="s">
        <v>29</v>
      </c>
      <c r="F161" t="s">
        <v>30</v>
      </c>
      <c r="G161" t="s">
        <v>62</v>
      </c>
      <c r="H161" t="s">
        <v>51</v>
      </c>
      <c r="I161" s="9">
        <v>150000</v>
      </c>
      <c r="J161">
        <v>6</v>
      </c>
      <c r="K161" t="s">
        <v>58</v>
      </c>
      <c r="L161" s="9">
        <f t="shared" si="2"/>
        <v>120000</v>
      </c>
      <c r="M161" s="9">
        <f>Table1[[#This Row],[Unit Price]]*Table1[[#This Row],[Quantity]]</f>
        <v>900000</v>
      </c>
      <c r="N161" s="9">
        <f>Table1[[#This Row],[Cost Price]]*Table1[[#This Row],[Quantity]]</f>
        <v>720000</v>
      </c>
      <c r="O161" s="9">
        <f>Table1[[#This Row],[Revenue]]-Table1[[#This Row],[COGS]]</f>
        <v>180000</v>
      </c>
      <c r="P161" s="6">
        <v>160</v>
      </c>
    </row>
    <row r="162" spans="1:16">
      <c r="A162" s="7" t="s">
        <v>138</v>
      </c>
      <c r="B162" s="7" t="str">
        <f>TEXT(Table1[[#This Row],[Date]],"MMM")</f>
        <v>Apr</v>
      </c>
      <c r="C162" t="s">
        <v>27</v>
      </c>
      <c r="D162" t="s">
        <v>53</v>
      </c>
      <c r="E162" t="s">
        <v>29</v>
      </c>
      <c r="F162" t="s">
        <v>30</v>
      </c>
      <c r="G162" t="s">
        <v>67</v>
      </c>
      <c r="H162" t="s">
        <v>51</v>
      </c>
      <c r="I162" s="9">
        <v>420000</v>
      </c>
      <c r="J162">
        <v>2</v>
      </c>
      <c r="K162" t="s">
        <v>33</v>
      </c>
      <c r="L162" s="9">
        <f t="shared" si="2"/>
        <v>336000</v>
      </c>
      <c r="M162" s="9">
        <f>Table1[[#This Row],[Unit Price]]*Table1[[#This Row],[Quantity]]</f>
        <v>840000</v>
      </c>
      <c r="N162" s="9">
        <f>Table1[[#This Row],[Cost Price]]*Table1[[#This Row],[Quantity]]</f>
        <v>672000</v>
      </c>
      <c r="O162" s="9">
        <f>Table1[[#This Row],[Revenue]]-Table1[[#This Row],[COGS]]</f>
        <v>168000</v>
      </c>
      <c r="P162" s="6">
        <v>161</v>
      </c>
    </row>
    <row r="163" spans="1:16">
      <c r="A163" s="7" t="s">
        <v>139</v>
      </c>
      <c r="B163" s="7" t="str">
        <f>TEXT(Table1[[#This Row],[Date]],"MMM")</f>
        <v>Jan</v>
      </c>
      <c r="C163" t="s">
        <v>44</v>
      </c>
      <c r="D163" t="s">
        <v>36</v>
      </c>
      <c r="E163" t="s">
        <v>29</v>
      </c>
      <c r="F163" t="s">
        <v>30</v>
      </c>
      <c r="G163" t="s">
        <v>73</v>
      </c>
      <c r="H163" t="s">
        <v>39</v>
      </c>
      <c r="I163" s="9">
        <v>220000</v>
      </c>
      <c r="J163">
        <v>1</v>
      </c>
      <c r="K163" t="s">
        <v>42</v>
      </c>
      <c r="L163" s="9">
        <f t="shared" si="2"/>
        <v>176000</v>
      </c>
      <c r="M163" s="9">
        <f>Table1[[#This Row],[Unit Price]]*Table1[[#This Row],[Quantity]]</f>
        <v>220000</v>
      </c>
      <c r="N163" s="9">
        <f>Table1[[#This Row],[Cost Price]]*Table1[[#This Row],[Quantity]]</f>
        <v>176000</v>
      </c>
      <c r="O163" s="9">
        <f>Table1[[#This Row],[Revenue]]-Table1[[#This Row],[COGS]]</f>
        <v>44000</v>
      </c>
      <c r="P163" s="6">
        <v>162</v>
      </c>
    </row>
    <row r="164" spans="1:16">
      <c r="A164" s="7" t="s">
        <v>140</v>
      </c>
      <c r="B164" s="7" t="str">
        <f>TEXT(Table1[[#This Row],[Date]],"MMM")</f>
        <v>Apr</v>
      </c>
      <c r="C164" t="s">
        <v>44</v>
      </c>
      <c r="D164" t="s">
        <v>53</v>
      </c>
      <c r="E164" t="s">
        <v>29</v>
      </c>
      <c r="F164" t="s">
        <v>37</v>
      </c>
      <c r="G164" t="s">
        <v>73</v>
      </c>
      <c r="H164" t="s">
        <v>39</v>
      </c>
      <c r="I164" s="9">
        <v>220000</v>
      </c>
      <c r="J164">
        <v>8</v>
      </c>
      <c r="K164" t="s">
        <v>65</v>
      </c>
      <c r="L164" s="9">
        <f t="shared" si="2"/>
        <v>176000</v>
      </c>
      <c r="M164" s="9">
        <f>Table1[[#This Row],[Unit Price]]*Table1[[#This Row],[Quantity]]</f>
        <v>1760000</v>
      </c>
      <c r="N164" s="9">
        <f>Table1[[#This Row],[Cost Price]]*Table1[[#This Row],[Quantity]]</f>
        <v>1408000</v>
      </c>
      <c r="O164" s="9">
        <f>Table1[[#This Row],[Revenue]]-Table1[[#This Row],[COGS]]</f>
        <v>352000</v>
      </c>
      <c r="P164" s="6">
        <v>163</v>
      </c>
    </row>
    <row r="165" spans="1:16">
      <c r="A165" s="7" t="s">
        <v>102</v>
      </c>
      <c r="B165" s="7" t="str">
        <f>TEXT(Table1[[#This Row],[Date]],"MMM")</f>
        <v>Mar</v>
      </c>
      <c r="C165" t="s">
        <v>49</v>
      </c>
      <c r="D165" t="s">
        <v>45</v>
      </c>
      <c r="E165" t="s">
        <v>29</v>
      </c>
      <c r="F165" t="s">
        <v>37</v>
      </c>
      <c r="G165" t="s">
        <v>38</v>
      </c>
      <c r="H165" t="s">
        <v>39</v>
      </c>
      <c r="I165" s="9">
        <v>30000</v>
      </c>
      <c r="J165">
        <v>10</v>
      </c>
      <c r="K165" t="s">
        <v>69</v>
      </c>
      <c r="L165" s="9">
        <f t="shared" si="2"/>
        <v>24000</v>
      </c>
      <c r="M165" s="9">
        <f>Table1[[#This Row],[Unit Price]]*Table1[[#This Row],[Quantity]]</f>
        <v>300000</v>
      </c>
      <c r="N165" s="9">
        <f>Table1[[#This Row],[Cost Price]]*Table1[[#This Row],[Quantity]]</f>
        <v>240000</v>
      </c>
      <c r="O165" s="9">
        <f>Table1[[#This Row],[Revenue]]-Table1[[#This Row],[COGS]]</f>
        <v>60000</v>
      </c>
      <c r="P165" s="6">
        <v>164</v>
      </c>
    </row>
    <row r="166" spans="1:16">
      <c r="A166" s="7" t="s">
        <v>141</v>
      </c>
      <c r="B166" s="7" t="str">
        <f>TEXT(Table1[[#This Row],[Date]],"MMM")</f>
        <v>Mar</v>
      </c>
      <c r="C166" t="s">
        <v>49</v>
      </c>
      <c r="D166" t="s">
        <v>36</v>
      </c>
      <c r="E166" t="s">
        <v>41</v>
      </c>
      <c r="F166" t="s">
        <v>30</v>
      </c>
      <c r="G166" t="s">
        <v>38</v>
      </c>
      <c r="H166" t="s">
        <v>39</v>
      </c>
      <c r="I166" s="9">
        <v>30000</v>
      </c>
      <c r="J166">
        <v>4</v>
      </c>
      <c r="K166" t="s">
        <v>69</v>
      </c>
      <c r="L166" s="9">
        <f t="shared" si="2"/>
        <v>24000</v>
      </c>
      <c r="M166" s="9">
        <f>Table1[[#This Row],[Unit Price]]*Table1[[#This Row],[Quantity]]</f>
        <v>120000</v>
      </c>
      <c r="N166" s="9">
        <f>Table1[[#This Row],[Cost Price]]*Table1[[#This Row],[Quantity]]</f>
        <v>96000</v>
      </c>
      <c r="O166" s="9">
        <f>Table1[[#This Row],[Revenue]]-Table1[[#This Row],[COGS]]</f>
        <v>24000</v>
      </c>
      <c r="P166" s="6">
        <v>165</v>
      </c>
    </row>
    <row r="167" spans="1:16">
      <c r="A167" s="7" t="s">
        <v>142</v>
      </c>
      <c r="B167" s="7" t="str">
        <f>TEXT(Table1[[#This Row],[Date]],"MMM")</f>
        <v>Apr</v>
      </c>
      <c r="C167" t="s">
        <v>27</v>
      </c>
      <c r="D167" t="s">
        <v>28</v>
      </c>
      <c r="E167" t="s">
        <v>41</v>
      </c>
      <c r="F167" t="s">
        <v>30</v>
      </c>
      <c r="G167" t="s">
        <v>54</v>
      </c>
      <c r="H167" t="s">
        <v>39</v>
      </c>
      <c r="I167" s="9">
        <v>180000</v>
      </c>
      <c r="J167">
        <v>6</v>
      </c>
      <c r="K167" t="s">
        <v>33</v>
      </c>
      <c r="L167" s="9">
        <f t="shared" si="2"/>
        <v>144000</v>
      </c>
      <c r="M167" s="9">
        <f>Table1[[#This Row],[Unit Price]]*Table1[[#This Row],[Quantity]]</f>
        <v>1080000</v>
      </c>
      <c r="N167" s="9">
        <f>Table1[[#This Row],[Cost Price]]*Table1[[#This Row],[Quantity]]</f>
        <v>864000</v>
      </c>
      <c r="O167" s="9">
        <f>Table1[[#This Row],[Revenue]]-Table1[[#This Row],[COGS]]</f>
        <v>216000</v>
      </c>
      <c r="P167" s="6">
        <v>166</v>
      </c>
    </row>
    <row r="168" spans="1:16">
      <c r="A168" s="7" t="s">
        <v>143</v>
      </c>
      <c r="B168" s="7" t="str">
        <f>TEXT(Table1[[#This Row],[Date]],"MMM")</f>
        <v>Apr</v>
      </c>
      <c r="C168" t="s">
        <v>27</v>
      </c>
      <c r="D168" t="s">
        <v>53</v>
      </c>
      <c r="E168" t="s">
        <v>41</v>
      </c>
      <c r="F168" t="s">
        <v>30</v>
      </c>
      <c r="G168" t="s">
        <v>50</v>
      </c>
      <c r="H168" t="s">
        <v>51</v>
      </c>
      <c r="I168" s="9">
        <v>300000</v>
      </c>
      <c r="J168">
        <v>2</v>
      </c>
      <c r="K168" t="s">
        <v>69</v>
      </c>
      <c r="L168" s="9">
        <f t="shared" si="2"/>
        <v>240000</v>
      </c>
      <c r="M168" s="9">
        <f>Table1[[#This Row],[Unit Price]]*Table1[[#This Row],[Quantity]]</f>
        <v>600000</v>
      </c>
      <c r="N168" s="9">
        <f>Table1[[#This Row],[Cost Price]]*Table1[[#This Row],[Quantity]]</f>
        <v>480000</v>
      </c>
      <c r="O168" s="9">
        <f>Table1[[#This Row],[Revenue]]-Table1[[#This Row],[COGS]]</f>
        <v>120000</v>
      </c>
      <c r="P168" s="6">
        <v>167</v>
      </c>
    </row>
    <row r="169" spans="1:16">
      <c r="A169" s="7" t="s">
        <v>139</v>
      </c>
      <c r="B169" s="7" t="str">
        <f>TEXT(Table1[[#This Row],[Date]],"MMM")</f>
        <v>Jan</v>
      </c>
      <c r="C169" t="s">
        <v>35</v>
      </c>
      <c r="D169" t="s">
        <v>36</v>
      </c>
      <c r="E169" t="s">
        <v>29</v>
      </c>
      <c r="F169" t="s">
        <v>30</v>
      </c>
      <c r="G169" t="s">
        <v>62</v>
      </c>
      <c r="H169" t="s">
        <v>51</v>
      </c>
      <c r="I169" s="9">
        <v>150000</v>
      </c>
      <c r="J169">
        <v>9</v>
      </c>
      <c r="K169" t="s">
        <v>33</v>
      </c>
      <c r="L169" s="9">
        <f t="shared" si="2"/>
        <v>120000</v>
      </c>
      <c r="M169" s="9">
        <f>Table1[[#This Row],[Unit Price]]*Table1[[#This Row],[Quantity]]</f>
        <v>1350000</v>
      </c>
      <c r="N169" s="9">
        <f>Table1[[#This Row],[Cost Price]]*Table1[[#This Row],[Quantity]]</f>
        <v>1080000</v>
      </c>
      <c r="O169" s="9">
        <f>Table1[[#This Row],[Revenue]]-Table1[[#This Row],[COGS]]</f>
        <v>270000</v>
      </c>
      <c r="P169" s="6">
        <v>168</v>
      </c>
    </row>
    <row r="170" spans="1:16">
      <c r="A170" s="7" t="s">
        <v>81</v>
      </c>
      <c r="B170" s="7" t="str">
        <f>TEXT(Table1[[#This Row],[Date]],"MMM")</f>
        <v>Mar</v>
      </c>
      <c r="C170" t="s">
        <v>49</v>
      </c>
      <c r="D170" t="s">
        <v>28</v>
      </c>
      <c r="E170" t="s">
        <v>29</v>
      </c>
      <c r="F170" t="s">
        <v>37</v>
      </c>
      <c r="G170" t="s">
        <v>62</v>
      </c>
      <c r="H170" t="s">
        <v>51</v>
      </c>
      <c r="I170" s="9">
        <v>150000</v>
      </c>
      <c r="J170">
        <v>9</v>
      </c>
      <c r="K170" t="s">
        <v>42</v>
      </c>
      <c r="L170" s="9">
        <f t="shared" si="2"/>
        <v>120000</v>
      </c>
      <c r="M170" s="9">
        <f>Table1[[#This Row],[Unit Price]]*Table1[[#This Row],[Quantity]]</f>
        <v>1350000</v>
      </c>
      <c r="N170" s="9">
        <f>Table1[[#This Row],[Cost Price]]*Table1[[#This Row],[Quantity]]</f>
        <v>1080000</v>
      </c>
      <c r="O170" s="9">
        <f>Table1[[#This Row],[Revenue]]-Table1[[#This Row],[COGS]]</f>
        <v>270000</v>
      </c>
      <c r="P170" s="6">
        <v>169</v>
      </c>
    </row>
    <row r="171" spans="1:16">
      <c r="A171" s="7" t="s">
        <v>144</v>
      </c>
      <c r="B171" s="7" t="str">
        <f>TEXT(Table1[[#This Row],[Date]],"MMM")</f>
        <v>Feb</v>
      </c>
      <c r="C171" t="s">
        <v>27</v>
      </c>
      <c r="D171" t="s">
        <v>28</v>
      </c>
      <c r="E171" t="s">
        <v>29</v>
      </c>
      <c r="F171" t="s">
        <v>30</v>
      </c>
      <c r="G171" t="s">
        <v>38</v>
      </c>
      <c r="H171" t="s">
        <v>39</v>
      </c>
      <c r="I171" s="9">
        <v>30000</v>
      </c>
      <c r="J171">
        <v>4</v>
      </c>
      <c r="K171" t="s">
        <v>33</v>
      </c>
      <c r="L171" s="9">
        <f t="shared" si="2"/>
        <v>24000</v>
      </c>
      <c r="M171" s="9">
        <f>Table1[[#This Row],[Unit Price]]*Table1[[#This Row],[Quantity]]</f>
        <v>120000</v>
      </c>
      <c r="N171" s="9">
        <f>Table1[[#This Row],[Cost Price]]*Table1[[#This Row],[Quantity]]</f>
        <v>96000</v>
      </c>
      <c r="O171" s="9">
        <f>Table1[[#This Row],[Revenue]]-Table1[[#This Row],[COGS]]</f>
        <v>24000</v>
      </c>
      <c r="P171" s="6">
        <v>170</v>
      </c>
    </row>
    <row r="172" spans="1:16">
      <c r="A172" s="7" t="s">
        <v>76</v>
      </c>
      <c r="B172" s="7" t="str">
        <f>TEXT(Table1[[#This Row],[Date]],"MMM")</f>
        <v>May</v>
      </c>
      <c r="C172" t="s">
        <v>35</v>
      </c>
      <c r="D172" t="s">
        <v>45</v>
      </c>
      <c r="E172" t="s">
        <v>41</v>
      </c>
      <c r="F172" t="s">
        <v>30</v>
      </c>
      <c r="G172" t="s">
        <v>46</v>
      </c>
      <c r="H172" t="s">
        <v>39</v>
      </c>
      <c r="I172" s="9">
        <v>60000</v>
      </c>
      <c r="J172">
        <v>9</v>
      </c>
      <c r="K172" t="s">
        <v>47</v>
      </c>
      <c r="L172" s="9">
        <f t="shared" si="2"/>
        <v>48000</v>
      </c>
      <c r="M172" s="9">
        <f>Table1[[#This Row],[Unit Price]]*Table1[[#This Row],[Quantity]]</f>
        <v>540000</v>
      </c>
      <c r="N172" s="9">
        <f>Table1[[#This Row],[Cost Price]]*Table1[[#This Row],[Quantity]]</f>
        <v>432000</v>
      </c>
      <c r="O172" s="9">
        <f>Table1[[#This Row],[Revenue]]-Table1[[#This Row],[COGS]]</f>
        <v>108000</v>
      </c>
      <c r="P172" s="6">
        <v>171</v>
      </c>
    </row>
    <row r="173" spans="1:16">
      <c r="A173" s="7" t="s">
        <v>145</v>
      </c>
      <c r="B173" s="7" t="str">
        <f>TEXT(Table1[[#This Row],[Date]],"MMM")</f>
        <v>Jan</v>
      </c>
      <c r="C173" t="s">
        <v>44</v>
      </c>
      <c r="D173" t="s">
        <v>36</v>
      </c>
      <c r="E173" t="s">
        <v>29</v>
      </c>
      <c r="F173" t="s">
        <v>37</v>
      </c>
      <c r="G173" t="s">
        <v>50</v>
      </c>
      <c r="H173" t="s">
        <v>51</v>
      </c>
      <c r="I173" s="9">
        <v>300000</v>
      </c>
      <c r="J173">
        <v>9</v>
      </c>
      <c r="K173" t="s">
        <v>47</v>
      </c>
      <c r="L173" s="9">
        <f t="shared" si="2"/>
        <v>240000</v>
      </c>
      <c r="M173" s="9">
        <f>Table1[[#This Row],[Unit Price]]*Table1[[#This Row],[Quantity]]</f>
        <v>2700000</v>
      </c>
      <c r="N173" s="9">
        <f>Table1[[#This Row],[Cost Price]]*Table1[[#This Row],[Quantity]]</f>
        <v>2160000</v>
      </c>
      <c r="O173" s="9">
        <f>Table1[[#This Row],[Revenue]]-Table1[[#This Row],[COGS]]</f>
        <v>540000</v>
      </c>
      <c r="P173" s="6">
        <v>172</v>
      </c>
    </row>
    <row r="174" spans="1:16">
      <c r="A174" s="7" t="s">
        <v>113</v>
      </c>
      <c r="B174" s="7" t="str">
        <f>TEXT(Table1[[#This Row],[Date]],"MMM")</f>
        <v>Apr</v>
      </c>
      <c r="C174" t="s">
        <v>49</v>
      </c>
      <c r="D174" t="s">
        <v>53</v>
      </c>
      <c r="E174" t="s">
        <v>29</v>
      </c>
      <c r="F174" t="s">
        <v>30</v>
      </c>
      <c r="G174" t="s">
        <v>56</v>
      </c>
      <c r="H174" t="s">
        <v>32</v>
      </c>
      <c r="I174" s="9">
        <v>320000</v>
      </c>
      <c r="J174">
        <v>3</v>
      </c>
      <c r="K174" t="s">
        <v>69</v>
      </c>
      <c r="L174" s="9">
        <f t="shared" si="2"/>
        <v>256000</v>
      </c>
      <c r="M174" s="9">
        <f>Table1[[#This Row],[Unit Price]]*Table1[[#This Row],[Quantity]]</f>
        <v>960000</v>
      </c>
      <c r="N174" s="9">
        <f>Table1[[#This Row],[Cost Price]]*Table1[[#This Row],[Quantity]]</f>
        <v>768000</v>
      </c>
      <c r="O174" s="9">
        <f>Table1[[#This Row],[Revenue]]-Table1[[#This Row],[COGS]]</f>
        <v>192000</v>
      </c>
      <c r="P174" s="6">
        <v>173</v>
      </c>
    </row>
    <row r="175" spans="1:16">
      <c r="A175" s="7" t="s">
        <v>43</v>
      </c>
      <c r="B175" s="7" t="str">
        <f>TEXT(Table1[[#This Row],[Date]],"MMM")</f>
        <v>Apr</v>
      </c>
      <c r="C175" t="s">
        <v>27</v>
      </c>
      <c r="D175" t="s">
        <v>28</v>
      </c>
      <c r="E175" t="s">
        <v>29</v>
      </c>
      <c r="F175" t="s">
        <v>30</v>
      </c>
      <c r="G175" t="s">
        <v>62</v>
      </c>
      <c r="H175" t="s">
        <v>51</v>
      </c>
      <c r="I175" s="9">
        <v>150000</v>
      </c>
      <c r="J175">
        <v>1</v>
      </c>
      <c r="K175" t="s">
        <v>33</v>
      </c>
      <c r="L175" s="9">
        <f t="shared" si="2"/>
        <v>120000</v>
      </c>
      <c r="M175" s="9">
        <f>Table1[[#This Row],[Unit Price]]*Table1[[#This Row],[Quantity]]</f>
        <v>150000</v>
      </c>
      <c r="N175" s="9">
        <f>Table1[[#This Row],[Cost Price]]*Table1[[#This Row],[Quantity]]</f>
        <v>120000</v>
      </c>
      <c r="O175" s="9">
        <f>Table1[[#This Row],[Revenue]]-Table1[[#This Row],[COGS]]</f>
        <v>30000</v>
      </c>
      <c r="P175" s="6">
        <v>174</v>
      </c>
    </row>
    <row r="176" spans="1:16">
      <c r="A176" s="7" t="s">
        <v>137</v>
      </c>
      <c r="B176" s="7" t="str">
        <f>TEXT(Table1[[#This Row],[Date]],"MMM")</f>
        <v>Apr</v>
      </c>
      <c r="C176" t="s">
        <v>49</v>
      </c>
      <c r="D176" t="s">
        <v>36</v>
      </c>
      <c r="E176" t="s">
        <v>41</v>
      </c>
      <c r="F176" t="s">
        <v>30</v>
      </c>
      <c r="G176" t="s">
        <v>50</v>
      </c>
      <c r="H176" t="s">
        <v>51</v>
      </c>
      <c r="I176" s="9">
        <v>300000</v>
      </c>
      <c r="J176">
        <v>9</v>
      </c>
      <c r="K176" t="s">
        <v>47</v>
      </c>
      <c r="L176" s="9">
        <f t="shared" si="2"/>
        <v>240000</v>
      </c>
      <c r="M176" s="9">
        <f>Table1[[#This Row],[Unit Price]]*Table1[[#This Row],[Quantity]]</f>
        <v>2700000</v>
      </c>
      <c r="N176" s="9">
        <f>Table1[[#This Row],[Cost Price]]*Table1[[#This Row],[Quantity]]</f>
        <v>2160000</v>
      </c>
      <c r="O176" s="9">
        <f>Table1[[#This Row],[Revenue]]-Table1[[#This Row],[COGS]]</f>
        <v>540000</v>
      </c>
      <c r="P176" s="6">
        <v>175</v>
      </c>
    </row>
    <row r="177" spans="1:16">
      <c r="A177" s="7" t="s">
        <v>83</v>
      </c>
      <c r="B177" s="7" t="str">
        <f>TEXT(Table1[[#This Row],[Date]],"MMM")</f>
        <v>Jan</v>
      </c>
      <c r="C177" t="s">
        <v>35</v>
      </c>
      <c r="D177" t="s">
        <v>36</v>
      </c>
      <c r="E177" t="s">
        <v>29</v>
      </c>
      <c r="F177" t="s">
        <v>30</v>
      </c>
      <c r="G177" t="s">
        <v>73</v>
      </c>
      <c r="H177" t="s">
        <v>39</v>
      </c>
      <c r="I177" s="9">
        <v>220000</v>
      </c>
      <c r="J177">
        <v>3</v>
      </c>
      <c r="K177" t="s">
        <v>42</v>
      </c>
      <c r="L177" s="9">
        <f t="shared" si="2"/>
        <v>176000</v>
      </c>
      <c r="M177" s="9">
        <f>Table1[[#This Row],[Unit Price]]*Table1[[#This Row],[Quantity]]</f>
        <v>660000</v>
      </c>
      <c r="N177" s="9">
        <f>Table1[[#This Row],[Cost Price]]*Table1[[#This Row],[Quantity]]</f>
        <v>528000</v>
      </c>
      <c r="O177" s="9">
        <f>Table1[[#This Row],[Revenue]]-Table1[[#This Row],[COGS]]</f>
        <v>132000</v>
      </c>
      <c r="P177" s="6">
        <v>176</v>
      </c>
    </row>
    <row r="178" spans="1:16">
      <c r="A178" s="7" t="s">
        <v>116</v>
      </c>
      <c r="B178" s="7" t="str">
        <f>TEXT(Table1[[#This Row],[Date]],"MMM")</f>
        <v>Apr</v>
      </c>
      <c r="C178" t="s">
        <v>27</v>
      </c>
      <c r="D178" t="s">
        <v>45</v>
      </c>
      <c r="E178" t="s">
        <v>41</v>
      </c>
      <c r="F178" t="s">
        <v>30</v>
      </c>
      <c r="G178" t="s">
        <v>73</v>
      </c>
      <c r="H178" t="s">
        <v>39</v>
      </c>
      <c r="I178" s="9">
        <v>220000</v>
      </c>
      <c r="J178">
        <v>9</v>
      </c>
      <c r="K178" t="s">
        <v>69</v>
      </c>
      <c r="L178" s="9">
        <f t="shared" si="2"/>
        <v>176000</v>
      </c>
      <c r="M178" s="9">
        <f>Table1[[#This Row],[Unit Price]]*Table1[[#This Row],[Quantity]]</f>
        <v>1980000</v>
      </c>
      <c r="N178" s="9">
        <f>Table1[[#This Row],[Cost Price]]*Table1[[#This Row],[Quantity]]</f>
        <v>1584000</v>
      </c>
      <c r="O178" s="9">
        <f>Table1[[#This Row],[Revenue]]-Table1[[#This Row],[COGS]]</f>
        <v>396000</v>
      </c>
      <c r="P178" s="6">
        <v>177</v>
      </c>
    </row>
    <row r="179" spans="1:16">
      <c r="A179" s="7" t="s">
        <v>146</v>
      </c>
      <c r="B179" s="7" t="str">
        <f>TEXT(Table1[[#This Row],[Date]],"MMM")</f>
        <v>Jan</v>
      </c>
      <c r="C179" t="s">
        <v>35</v>
      </c>
      <c r="D179" t="s">
        <v>45</v>
      </c>
      <c r="E179" t="s">
        <v>41</v>
      </c>
      <c r="F179" t="s">
        <v>37</v>
      </c>
      <c r="G179" t="s">
        <v>46</v>
      </c>
      <c r="H179" t="s">
        <v>39</v>
      </c>
      <c r="I179" s="9">
        <v>60000</v>
      </c>
      <c r="J179">
        <v>6</v>
      </c>
      <c r="K179" t="s">
        <v>69</v>
      </c>
      <c r="L179" s="9">
        <f t="shared" si="2"/>
        <v>48000</v>
      </c>
      <c r="M179" s="9">
        <f>Table1[[#This Row],[Unit Price]]*Table1[[#This Row],[Quantity]]</f>
        <v>360000</v>
      </c>
      <c r="N179" s="9">
        <f>Table1[[#This Row],[Cost Price]]*Table1[[#This Row],[Quantity]]</f>
        <v>288000</v>
      </c>
      <c r="O179" s="9">
        <f>Table1[[#This Row],[Revenue]]-Table1[[#This Row],[COGS]]</f>
        <v>72000</v>
      </c>
      <c r="P179" s="6">
        <v>178</v>
      </c>
    </row>
    <row r="180" spans="1:16">
      <c r="A180" s="7" t="s">
        <v>89</v>
      </c>
      <c r="B180" s="7" t="str">
        <f>TEXT(Table1[[#This Row],[Date]],"MMM")</f>
        <v>Feb</v>
      </c>
      <c r="C180" t="s">
        <v>49</v>
      </c>
      <c r="D180" t="s">
        <v>45</v>
      </c>
      <c r="E180" t="s">
        <v>29</v>
      </c>
      <c r="F180" t="s">
        <v>37</v>
      </c>
      <c r="G180" t="s">
        <v>38</v>
      </c>
      <c r="H180" t="s">
        <v>39</v>
      </c>
      <c r="I180" s="9">
        <v>30000</v>
      </c>
      <c r="J180">
        <v>10</v>
      </c>
      <c r="K180" t="s">
        <v>58</v>
      </c>
      <c r="L180" s="9">
        <f t="shared" si="2"/>
        <v>24000</v>
      </c>
      <c r="M180" s="9">
        <f>Table1[[#This Row],[Unit Price]]*Table1[[#This Row],[Quantity]]</f>
        <v>300000</v>
      </c>
      <c r="N180" s="9">
        <f>Table1[[#This Row],[Cost Price]]*Table1[[#This Row],[Quantity]]</f>
        <v>240000</v>
      </c>
      <c r="O180" s="9">
        <f>Table1[[#This Row],[Revenue]]-Table1[[#This Row],[COGS]]</f>
        <v>60000</v>
      </c>
      <c r="P180" s="6">
        <v>179</v>
      </c>
    </row>
    <row r="181" spans="1:16">
      <c r="A181" s="7" t="s">
        <v>101</v>
      </c>
      <c r="B181" s="7" t="str">
        <f>TEXT(Table1[[#This Row],[Date]],"MMM")</f>
        <v>Jan</v>
      </c>
      <c r="C181" t="s">
        <v>44</v>
      </c>
      <c r="D181" t="s">
        <v>45</v>
      </c>
      <c r="E181" t="s">
        <v>41</v>
      </c>
      <c r="F181" t="s">
        <v>37</v>
      </c>
      <c r="G181" t="s">
        <v>67</v>
      </c>
      <c r="H181" t="s">
        <v>51</v>
      </c>
      <c r="I181" s="9">
        <v>420000</v>
      </c>
      <c r="J181">
        <v>8</v>
      </c>
      <c r="K181" t="s">
        <v>69</v>
      </c>
      <c r="L181" s="9">
        <f t="shared" si="2"/>
        <v>336000</v>
      </c>
      <c r="M181" s="9">
        <f>Table1[[#This Row],[Unit Price]]*Table1[[#This Row],[Quantity]]</f>
        <v>3360000</v>
      </c>
      <c r="N181" s="9">
        <f>Table1[[#This Row],[Cost Price]]*Table1[[#This Row],[Quantity]]</f>
        <v>2688000</v>
      </c>
      <c r="O181" s="9">
        <f>Table1[[#This Row],[Revenue]]-Table1[[#This Row],[COGS]]</f>
        <v>672000</v>
      </c>
      <c r="P181" s="6">
        <v>180</v>
      </c>
    </row>
    <row r="182" spans="1:16">
      <c r="A182" s="7" t="s">
        <v>60</v>
      </c>
      <c r="B182" s="7" t="str">
        <f>TEXT(Table1[[#This Row],[Date]],"MMM")</f>
        <v>Mar</v>
      </c>
      <c r="C182" t="s">
        <v>44</v>
      </c>
      <c r="D182" t="s">
        <v>45</v>
      </c>
      <c r="E182" t="s">
        <v>41</v>
      </c>
      <c r="F182" t="s">
        <v>30</v>
      </c>
      <c r="G182" t="s">
        <v>46</v>
      </c>
      <c r="H182" t="s">
        <v>39</v>
      </c>
      <c r="I182" s="9">
        <v>60000</v>
      </c>
      <c r="J182">
        <v>9</v>
      </c>
      <c r="K182" t="s">
        <v>33</v>
      </c>
      <c r="L182" s="9">
        <f t="shared" si="2"/>
        <v>48000</v>
      </c>
      <c r="M182" s="9">
        <f>Table1[[#This Row],[Unit Price]]*Table1[[#This Row],[Quantity]]</f>
        <v>540000</v>
      </c>
      <c r="N182" s="9">
        <f>Table1[[#This Row],[Cost Price]]*Table1[[#This Row],[Quantity]]</f>
        <v>432000</v>
      </c>
      <c r="O182" s="9">
        <f>Table1[[#This Row],[Revenue]]-Table1[[#This Row],[COGS]]</f>
        <v>108000</v>
      </c>
      <c r="P182" s="6">
        <v>181</v>
      </c>
    </row>
    <row r="183" spans="1:16">
      <c r="A183" s="7" t="s">
        <v>147</v>
      </c>
      <c r="B183" s="7" t="str">
        <f>TEXT(Table1[[#This Row],[Date]],"MMM")</f>
        <v>Jan</v>
      </c>
      <c r="C183" t="s">
        <v>35</v>
      </c>
      <c r="D183" t="s">
        <v>45</v>
      </c>
      <c r="E183" t="s">
        <v>41</v>
      </c>
      <c r="F183" t="s">
        <v>30</v>
      </c>
      <c r="G183" t="s">
        <v>71</v>
      </c>
      <c r="H183" t="s">
        <v>51</v>
      </c>
      <c r="I183" s="9">
        <v>250000</v>
      </c>
      <c r="J183">
        <v>1</v>
      </c>
      <c r="K183" t="s">
        <v>58</v>
      </c>
      <c r="L183" s="9">
        <f t="shared" si="2"/>
        <v>200000</v>
      </c>
      <c r="M183" s="9">
        <f>Table1[[#This Row],[Unit Price]]*Table1[[#This Row],[Quantity]]</f>
        <v>250000</v>
      </c>
      <c r="N183" s="9">
        <f>Table1[[#This Row],[Cost Price]]*Table1[[#This Row],[Quantity]]</f>
        <v>200000</v>
      </c>
      <c r="O183" s="9">
        <f>Table1[[#This Row],[Revenue]]-Table1[[#This Row],[COGS]]</f>
        <v>50000</v>
      </c>
      <c r="P183" s="6">
        <v>182</v>
      </c>
    </row>
    <row r="184" spans="1:16">
      <c r="A184" s="7" t="s">
        <v>148</v>
      </c>
      <c r="B184" s="7" t="str">
        <f>TEXT(Table1[[#This Row],[Date]],"MMM")</f>
        <v>Feb</v>
      </c>
      <c r="C184" t="s">
        <v>44</v>
      </c>
      <c r="D184" t="s">
        <v>45</v>
      </c>
      <c r="E184" t="s">
        <v>29</v>
      </c>
      <c r="F184" t="s">
        <v>30</v>
      </c>
      <c r="G184" t="s">
        <v>46</v>
      </c>
      <c r="H184" t="s">
        <v>39</v>
      </c>
      <c r="I184" s="9">
        <v>60000</v>
      </c>
      <c r="J184">
        <v>1</v>
      </c>
      <c r="K184" t="s">
        <v>69</v>
      </c>
      <c r="L184" s="9">
        <f t="shared" si="2"/>
        <v>48000</v>
      </c>
      <c r="M184" s="9">
        <f>Table1[[#This Row],[Unit Price]]*Table1[[#This Row],[Quantity]]</f>
        <v>60000</v>
      </c>
      <c r="N184" s="9">
        <f>Table1[[#This Row],[Cost Price]]*Table1[[#This Row],[Quantity]]</f>
        <v>48000</v>
      </c>
      <c r="O184" s="9">
        <f>Table1[[#This Row],[Revenue]]-Table1[[#This Row],[COGS]]</f>
        <v>12000</v>
      </c>
      <c r="P184" s="6">
        <v>183</v>
      </c>
    </row>
    <row r="185" spans="1:16">
      <c r="A185" s="7" t="s">
        <v>106</v>
      </c>
      <c r="B185" s="7" t="str">
        <f>TEXT(Table1[[#This Row],[Date]],"MMM")</f>
        <v>Apr</v>
      </c>
      <c r="C185" t="s">
        <v>44</v>
      </c>
      <c r="D185" t="s">
        <v>53</v>
      </c>
      <c r="E185" t="s">
        <v>29</v>
      </c>
      <c r="F185" t="s">
        <v>30</v>
      </c>
      <c r="G185" t="s">
        <v>67</v>
      </c>
      <c r="H185" t="s">
        <v>51</v>
      </c>
      <c r="I185" s="9">
        <v>420000</v>
      </c>
      <c r="J185">
        <v>8</v>
      </c>
      <c r="K185" t="s">
        <v>69</v>
      </c>
      <c r="L185" s="9">
        <f t="shared" si="2"/>
        <v>336000</v>
      </c>
      <c r="M185" s="9">
        <f>Table1[[#This Row],[Unit Price]]*Table1[[#This Row],[Quantity]]</f>
        <v>3360000</v>
      </c>
      <c r="N185" s="9">
        <f>Table1[[#This Row],[Cost Price]]*Table1[[#This Row],[Quantity]]</f>
        <v>2688000</v>
      </c>
      <c r="O185" s="9">
        <f>Table1[[#This Row],[Revenue]]-Table1[[#This Row],[COGS]]</f>
        <v>672000</v>
      </c>
      <c r="P185" s="6">
        <v>184</v>
      </c>
    </row>
    <row r="186" spans="1:16">
      <c r="A186" s="7" t="s">
        <v>88</v>
      </c>
      <c r="B186" s="7" t="str">
        <f>TEXT(Table1[[#This Row],[Date]],"MMM")</f>
        <v>Feb</v>
      </c>
      <c r="C186" t="s">
        <v>44</v>
      </c>
      <c r="D186" t="s">
        <v>28</v>
      </c>
      <c r="E186" t="s">
        <v>41</v>
      </c>
      <c r="F186" t="s">
        <v>37</v>
      </c>
      <c r="G186" t="s">
        <v>54</v>
      </c>
      <c r="H186" t="s">
        <v>39</v>
      </c>
      <c r="I186" s="9">
        <v>180000</v>
      </c>
      <c r="J186">
        <v>4</v>
      </c>
      <c r="K186" t="s">
        <v>69</v>
      </c>
      <c r="L186" s="9">
        <f t="shared" si="2"/>
        <v>144000</v>
      </c>
      <c r="M186" s="9">
        <f>Table1[[#This Row],[Unit Price]]*Table1[[#This Row],[Quantity]]</f>
        <v>720000</v>
      </c>
      <c r="N186" s="9">
        <f>Table1[[#This Row],[Cost Price]]*Table1[[#This Row],[Quantity]]</f>
        <v>576000</v>
      </c>
      <c r="O186" s="9">
        <f>Table1[[#This Row],[Revenue]]-Table1[[#This Row],[COGS]]</f>
        <v>144000</v>
      </c>
      <c r="P186" s="6">
        <v>185</v>
      </c>
    </row>
    <row r="187" spans="1:16">
      <c r="A187" s="7" t="s">
        <v>68</v>
      </c>
      <c r="B187" s="7" t="str">
        <f>TEXT(Table1[[#This Row],[Date]],"MMM")</f>
        <v>Mar</v>
      </c>
      <c r="C187" t="s">
        <v>35</v>
      </c>
      <c r="D187" t="s">
        <v>45</v>
      </c>
      <c r="E187" t="s">
        <v>29</v>
      </c>
      <c r="F187" t="s">
        <v>37</v>
      </c>
      <c r="G187" t="s">
        <v>54</v>
      </c>
      <c r="H187" t="s">
        <v>39</v>
      </c>
      <c r="I187" s="9">
        <v>180000</v>
      </c>
      <c r="J187">
        <v>7</v>
      </c>
      <c r="K187" t="s">
        <v>69</v>
      </c>
      <c r="L187" s="9">
        <f t="shared" si="2"/>
        <v>144000</v>
      </c>
      <c r="M187" s="9">
        <f>Table1[[#This Row],[Unit Price]]*Table1[[#This Row],[Quantity]]</f>
        <v>1260000</v>
      </c>
      <c r="N187" s="9">
        <f>Table1[[#This Row],[Cost Price]]*Table1[[#This Row],[Quantity]]</f>
        <v>1008000</v>
      </c>
      <c r="O187" s="9">
        <f>Table1[[#This Row],[Revenue]]-Table1[[#This Row],[COGS]]</f>
        <v>252000</v>
      </c>
      <c r="P187" s="6">
        <v>186</v>
      </c>
    </row>
    <row r="188" spans="1:16">
      <c r="A188" s="7" t="s">
        <v>94</v>
      </c>
      <c r="B188" s="7" t="str">
        <f>TEXT(Table1[[#This Row],[Date]],"MMM")</f>
        <v>Jan</v>
      </c>
      <c r="C188" t="s">
        <v>49</v>
      </c>
      <c r="D188" t="s">
        <v>45</v>
      </c>
      <c r="E188" t="s">
        <v>29</v>
      </c>
      <c r="F188" t="s">
        <v>30</v>
      </c>
      <c r="G188" t="s">
        <v>38</v>
      </c>
      <c r="H188" t="s">
        <v>39</v>
      </c>
      <c r="I188" s="9">
        <v>30000</v>
      </c>
      <c r="J188">
        <v>6</v>
      </c>
      <c r="K188" t="s">
        <v>65</v>
      </c>
      <c r="L188" s="9">
        <f t="shared" si="2"/>
        <v>24000</v>
      </c>
      <c r="M188" s="9">
        <f>Table1[[#This Row],[Unit Price]]*Table1[[#This Row],[Quantity]]</f>
        <v>180000</v>
      </c>
      <c r="N188" s="9">
        <f>Table1[[#This Row],[Cost Price]]*Table1[[#This Row],[Quantity]]</f>
        <v>144000</v>
      </c>
      <c r="O188" s="9">
        <f>Table1[[#This Row],[Revenue]]-Table1[[#This Row],[COGS]]</f>
        <v>36000</v>
      </c>
      <c r="P188" s="6">
        <v>187</v>
      </c>
    </row>
    <row r="189" spans="1:16">
      <c r="A189" s="7" t="s">
        <v>85</v>
      </c>
      <c r="B189" s="7" t="str">
        <f>TEXT(Table1[[#This Row],[Date]],"MMM")</f>
        <v>Feb</v>
      </c>
      <c r="C189" t="s">
        <v>35</v>
      </c>
      <c r="D189" t="s">
        <v>28</v>
      </c>
      <c r="E189" t="s">
        <v>29</v>
      </c>
      <c r="F189" t="s">
        <v>30</v>
      </c>
      <c r="G189" t="s">
        <v>54</v>
      </c>
      <c r="H189" t="s">
        <v>39</v>
      </c>
      <c r="I189" s="9">
        <v>180000</v>
      </c>
      <c r="J189">
        <v>4</v>
      </c>
      <c r="K189" t="s">
        <v>42</v>
      </c>
      <c r="L189" s="9">
        <f t="shared" si="2"/>
        <v>144000</v>
      </c>
      <c r="M189" s="9">
        <f>Table1[[#This Row],[Unit Price]]*Table1[[#This Row],[Quantity]]</f>
        <v>720000</v>
      </c>
      <c r="N189" s="9">
        <f>Table1[[#This Row],[Cost Price]]*Table1[[#This Row],[Quantity]]</f>
        <v>576000</v>
      </c>
      <c r="O189" s="9">
        <f>Table1[[#This Row],[Revenue]]-Table1[[#This Row],[COGS]]</f>
        <v>144000</v>
      </c>
      <c r="P189" s="6">
        <v>188</v>
      </c>
    </row>
    <row r="190" spans="1:16">
      <c r="A190" s="7" t="s">
        <v>43</v>
      </c>
      <c r="B190" s="7" t="str">
        <f>TEXT(Table1[[#This Row],[Date]],"MMM")</f>
        <v>Apr</v>
      </c>
      <c r="C190" t="s">
        <v>35</v>
      </c>
      <c r="D190" t="s">
        <v>53</v>
      </c>
      <c r="E190" t="s">
        <v>41</v>
      </c>
      <c r="F190" t="s">
        <v>37</v>
      </c>
      <c r="G190" t="s">
        <v>50</v>
      </c>
      <c r="H190" t="s">
        <v>51</v>
      </c>
      <c r="I190" s="9">
        <v>300000</v>
      </c>
      <c r="J190">
        <v>3</v>
      </c>
      <c r="K190" t="s">
        <v>47</v>
      </c>
      <c r="L190" s="9">
        <f t="shared" si="2"/>
        <v>240000</v>
      </c>
      <c r="M190" s="9">
        <f>Table1[[#This Row],[Unit Price]]*Table1[[#This Row],[Quantity]]</f>
        <v>900000</v>
      </c>
      <c r="N190" s="9">
        <f>Table1[[#This Row],[Cost Price]]*Table1[[#This Row],[Quantity]]</f>
        <v>720000</v>
      </c>
      <c r="O190" s="9">
        <f>Table1[[#This Row],[Revenue]]-Table1[[#This Row],[COGS]]</f>
        <v>180000</v>
      </c>
      <c r="P190" s="6">
        <v>189</v>
      </c>
    </row>
    <row r="191" spans="1:16">
      <c r="A191" s="7" t="s">
        <v>127</v>
      </c>
      <c r="B191" s="7" t="str">
        <f>TEXT(Table1[[#This Row],[Date]],"MMM")</f>
        <v>Jan</v>
      </c>
      <c r="C191" t="s">
        <v>27</v>
      </c>
      <c r="D191" t="s">
        <v>36</v>
      </c>
      <c r="E191" t="s">
        <v>29</v>
      </c>
      <c r="F191" t="s">
        <v>30</v>
      </c>
      <c r="G191" t="s">
        <v>46</v>
      </c>
      <c r="H191" t="s">
        <v>39</v>
      </c>
      <c r="I191" s="9">
        <v>60000</v>
      </c>
      <c r="J191">
        <v>3</v>
      </c>
      <c r="K191" t="s">
        <v>33</v>
      </c>
      <c r="L191" s="9">
        <f t="shared" si="2"/>
        <v>48000</v>
      </c>
      <c r="M191" s="9">
        <f>Table1[[#This Row],[Unit Price]]*Table1[[#This Row],[Quantity]]</f>
        <v>180000</v>
      </c>
      <c r="N191" s="9">
        <f>Table1[[#This Row],[Cost Price]]*Table1[[#This Row],[Quantity]]</f>
        <v>144000</v>
      </c>
      <c r="O191" s="9">
        <f>Table1[[#This Row],[Revenue]]-Table1[[#This Row],[COGS]]</f>
        <v>36000</v>
      </c>
      <c r="P191" s="6">
        <v>190</v>
      </c>
    </row>
    <row r="192" spans="1:16">
      <c r="A192" s="7" t="s">
        <v>85</v>
      </c>
      <c r="B192" s="7" t="str">
        <f>TEXT(Table1[[#This Row],[Date]],"MMM")</f>
        <v>Feb</v>
      </c>
      <c r="C192" t="s">
        <v>35</v>
      </c>
      <c r="D192" t="s">
        <v>28</v>
      </c>
      <c r="E192" t="s">
        <v>41</v>
      </c>
      <c r="F192" t="s">
        <v>30</v>
      </c>
      <c r="G192" t="s">
        <v>73</v>
      </c>
      <c r="H192" t="s">
        <v>39</v>
      </c>
      <c r="I192" s="9">
        <v>220000</v>
      </c>
      <c r="J192">
        <v>1</v>
      </c>
      <c r="K192" t="s">
        <v>47</v>
      </c>
      <c r="L192" s="9">
        <f t="shared" si="2"/>
        <v>176000</v>
      </c>
      <c r="M192" s="9">
        <f>Table1[[#This Row],[Unit Price]]*Table1[[#This Row],[Quantity]]</f>
        <v>220000</v>
      </c>
      <c r="N192" s="9">
        <f>Table1[[#This Row],[Cost Price]]*Table1[[#This Row],[Quantity]]</f>
        <v>176000</v>
      </c>
      <c r="O192" s="9">
        <f>Table1[[#This Row],[Revenue]]-Table1[[#This Row],[COGS]]</f>
        <v>44000</v>
      </c>
      <c r="P192" s="6">
        <v>191</v>
      </c>
    </row>
    <row r="193" spans="1:16">
      <c r="A193" s="7" t="s">
        <v>107</v>
      </c>
      <c r="B193" s="7" t="str">
        <f>TEXT(Table1[[#This Row],[Date]],"MMM")</f>
        <v>Feb</v>
      </c>
      <c r="C193" t="s">
        <v>49</v>
      </c>
      <c r="D193" t="s">
        <v>36</v>
      </c>
      <c r="E193" t="s">
        <v>29</v>
      </c>
      <c r="F193" t="s">
        <v>30</v>
      </c>
      <c r="G193" t="s">
        <v>50</v>
      </c>
      <c r="H193" t="s">
        <v>51</v>
      </c>
      <c r="I193" s="9">
        <v>300000</v>
      </c>
      <c r="J193">
        <v>2</v>
      </c>
      <c r="K193" t="s">
        <v>42</v>
      </c>
      <c r="L193" s="9">
        <f t="shared" si="2"/>
        <v>240000</v>
      </c>
      <c r="M193" s="9">
        <f>Table1[[#This Row],[Unit Price]]*Table1[[#This Row],[Quantity]]</f>
        <v>600000</v>
      </c>
      <c r="N193" s="9">
        <f>Table1[[#This Row],[Cost Price]]*Table1[[#This Row],[Quantity]]</f>
        <v>480000</v>
      </c>
      <c r="O193" s="9">
        <f>Table1[[#This Row],[Revenue]]-Table1[[#This Row],[COGS]]</f>
        <v>120000</v>
      </c>
      <c r="P193" s="6">
        <v>192</v>
      </c>
    </row>
    <row r="194" spans="1:16">
      <c r="A194" s="7" t="s">
        <v>103</v>
      </c>
      <c r="B194" s="7" t="str">
        <f>TEXT(Table1[[#This Row],[Date]],"MMM")</f>
        <v>Mar</v>
      </c>
      <c r="C194" t="s">
        <v>44</v>
      </c>
      <c r="D194" t="s">
        <v>45</v>
      </c>
      <c r="E194" t="s">
        <v>29</v>
      </c>
      <c r="F194" t="s">
        <v>30</v>
      </c>
      <c r="G194" t="s">
        <v>62</v>
      </c>
      <c r="H194" t="s">
        <v>51</v>
      </c>
      <c r="I194" s="9">
        <v>150000</v>
      </c>
      <c r="J194">
        <v>3</v>
      </c>
      <c r="K194" t="s">
        <v>42</v>
      </c>
      <c r="L194" s="9">
        <f t="shared" ref="L194:L257" si="3">I194-I194*0.2</f>
        <v>120000</v>
      </c>
      <c r="M194" s="9">
        <f>Table1[[#This Row],[Unit Price]]*Table1[[#This Row],[Quantity]]</f>
        <v>450000</v>
      </c>
      <c r="N194" s="9">
        <f>Table1[[#This Row],[Cost Price]]*Table1[[#This Row],[Quantity]]</f>
        <v>360000</v>
      </c>
      <c r="O194" s="9">
        <f>Table1[[#This Row],[Revenue]]-Table1[[#This Row],[COGS]]</f>
        <v>90000</v>
      </c>
      <c r="P194" s="6">
        <v>193</v>
      </c>
    </row>
    <row r="195" spans="1:16">
      <c r="A195" s="7" t="s">
        <v>89</v>
      </c>
      <c r="B195" s="7" t="str">
        <f>TEXT(Table1[[#This Row],[Date]],"MMM")</f>
        <v>Feb</v>
      </c>
      <c r="C195" t="s">
        <v>49</v>
      </c>
      <c r="D195" t="s">
        <v>36</v>
      </c>
      <c r="E195" t="s">
        <v>41</v>
      </c>
      <c r="F195" t="s">
        <v>30</v>
      </c>
      <c r="G195" t="s">
        <v>31</v>
      </c>
      <c r="H195" t="s">
        <v>32</v>
      </c>
      <c r="I195" s="9">
        <v>85000</v>
      </c>
      <c r="J195">
        <v>1</v>
      </c>
      <c r="K195" t="s">
        <v>42</v>
      </c>
      <c r="L195" s="9">
        <f t="shared" si="3"/>
        <v>68000</v>
      </c>
      <c r="M195" s="9">
        <f>Table1[[#This Row],[Unit Price]]*Table1[[#This Row],[Quantity]]</f>
        <v>85000</v>
      </c>
      <c r="N195" s="9">
        <f>Table1[[#This Row],[Cost Price]]*Table1[[#This Row],[Quantity]]</f>
        <v>68000</v>
      </c>
      <c r="O195" s="9">
        <f>Table1[[#This Row],[Revenue]]-Table1[[#This Row],[COGS]]</f>
        <v>17000</v>
      </c>
      <c r="P195" s="6">
        <v>194</v>
      </c>
    </row>
    <row r="196" spans="1:16">
      <c r="A196" s="7" t="s">
        <v>101</v>
      </c>
      <c r="B196" s="7" t="str">
        <f>TEXT(Table1[[#This Row],[Date]],"MMM")</f>
        <v>Jan</v>
      </c>
      <c r="C196" t="s">
        <v>44</v>
      </c>
      <c r="D196" t="s">
        <v>36</v>
      </c>
      <c r="E196" t="s">
        <v>29</v>
      </c>
      <c r="F196" t="s">
        <v>37</v>
      </c>
      <c r="G196" t="s">
        <v>38</v>
      </c>
      <c r="H196" t="s">
        <v>39</v>
      </c>
      <c r="I196" s="9">
        <v>30000</v>
      </c>
      <c r="J196">
        <v>6</v>
      </c>
      <c r="K196" t="s">
        <v>33</v>
      </c>
      <c r="L196" s="9">
        <f t="shared" si="3"/>
        <v>24000</v>
      </c>
      <c r="M196" s="9">
        <f>Table1[[#This Row],[Unit Price]]*Table1[[#This Row],[Quantity]]</f>
        <v>180000</v>
      </c>
      <c r="N196" s="9">
        <f>Table1[[#This Row],[Cost Price]]*Table1[[#This Row],[Quantity]]</f>
        <v>144000</v>
      </c>
      <c r="O196" s="9">
        <f>Table1[[#This Row],[Revenue]]-Table1[[#This Row],[COGS]]</f>
        <v>36000</v>
      </c>
      <c r="P196" s="6">
        <v>195</v>
      </c>
    </row>
    <row r="197" spans="1:16">
      <c r="A197" s="7" t="s">
        <v>141</v>
      </c>
      <c r="B197" s="7" t="str">
        <f>TEXT(Table1[[#This Row],[Date]],"MMM")</f>
        <v>Mar</v>
      </c>
      <c r="C197" t="s">
        <v>27</v>
      </c>
      <c r="D197" t="s">
        <v>45</v>
      </c>
      <c r="E197" t="s">
        <v>41</v>
      </c>
      <c r="F197" t="s">
        <v>30</v>
      </c>
      <c r="G197" t="s">
        <v>62</v>
      </c>
      <c r="H197" t="s">
        <v>51</v>
      </c>
      <c r="I197" s="9">
        <v>150000</v>
      </c>
      <c r="J197">
        <v>5</v>
      </c>
      <c r="K197" t="s">
        <v>47</v>
      </c>
      <c r="L197" s="9">
        <f t="shared" si="3"/>
        <v>120000</v>
      </c>
      <c r="M197" s="9">
        <f>Table1[[#This Row],[Unit Price]]*Table1[[#This Row],[Quantity]]</f>
        <v>750000</v>
      </c>
      <c r="N197" s="9">
        <f>Table1[[#This Row],[Cost Price]]*Table1[[#This Row],[Quantity]]</f>
        <v>600000</v>
      </c>
      <c r="O197" s="9">
        <f>Table1[[#This Row],[Revenue]]-Table1[[#This Row],[COGS]]</f>
        <v>150000</v>
      </c>
      <c r="P197" s="6">
        <v>196</v>
      </c>
    </row>
    <row r="198" spans="1:16">
      <c r="A198" s="7" t="s">
        <v>116</v>
      </c>
      <c r="B198" s="7" t="str">
        <f>TEXT(Table1[[#This Row],[Date]],"MMM")</f>
        <v>Apr</v>
      </c>
      <c r="C198" t="s">
        <v>27</v>
      </c>
      <c r="D198" t="s">
        <v>36</v>
      </c>
      <c r="E198" t="s">
        <v>29</v>
      </c>
      <c r="F198" t="s">
        <v>37</v>
      </c>
      <c r="G198" t="s">
        <v>38</v>
      </c>
      <c r="H198" t="s">
        <v>39</v>
      </c>
      <c r="I198" s="9">
        <v>30000</v>
      </c>
      <c r="J198">
        <v>5</v>
      </c>
      <c r="K198" t="s">
        <v>65</v>
      </c>
      <c r="L198" s="9">
        <f t="shared" si="3"/>
        <v>24000</v>
      </c>
      <c r="M198" s="9">
        <f>Table1[[#This Row],[Unit Price]]*Table1[[#This Row],[Quantity]]</f>
        <v>150000</v>
      </c>
      <c r="N198" s="9">
        <f>Table1[[#This Row],[Cost Price]]*Table1[[#This Row],[Quantity]]</f>
        <v>120000</v>
      </c>
      <c r="O198" s="9">
        <f>Table1[[#This Row],[Revenue]]-Table1[[#This Row],[COGS]]</f>
        <v>30000</v>
      </c>
      <c r="P198" s="6">
        <v>197</v>
      </c>
    </row>
    <row r="199" spans="1:16">
      <c r="A199" s="7" t="s">
        <v>149</v>
      </c>
      <c r="B199" s="7" t="str">
        <f>TEXT(Table1[[#This Row],[Date]],"MMM")</f>
        <v>Apr</v>
      </c>
      <c r="C199" t="s">
        <v>35</v>
      </c>
      <c r="D199" t="s">
        <v>36</v>
      </c>
      <c r="E199" t="s">
        <v>29</v>
      </c>
      <c r="F199" t="s">
        <v>37</v>
      </c>
      <c r="G199" t="s">
        <v>54</v>
      </c>
      <c r="H199" t="s">
        <v>39</v>
      </c>
      <c r="I199" s="9">
        <v>180000</v>
      </c>
      <c r="J199">
        <v>9</v>
      </c>
      <c r="K199" t="s">
        <v>69</v>
      </c>
      <c r="L199" s="9">
        <f t="shared" si="3"/>
        <v>144000</v>
      </c>
      <c r="M199" s="9">
        <f>Table1[[#This Row],[Unit Price]]*Table1[[#This Row],[Quantity]]</f>
        <v>1620000</v>
      </c>
      <c r="N199" s="9">
        <f>Table1[[#This Row],[Cost Price]]*Table1[[#This Row],[Quantity]]</f>
        <v>1296000</v>
      </c>
      <c r="O199" s="9">
        <f>Table1[[#This Row],[Revenue]]-Table1[[#This Row],[COGS]]</f>
        <v>324000</v>
      </c>
      <c r="P199" s="6">
        <v>198</v>
      </c>
    </row>
    <row r="200" spans="1:16">
      <c r="A200" s="7" t="s">
        <v>107</v>
      </c>
      <c r="B200" s="7" t="str">
        <f>TEXT(Table1[[#This Row],[Date]],"MMM")</f>
        <v>Feb</v>
      </c>
      <c r="C200" t="s">
        <v>49</v>
      </c>
      <c r="D200" t="s">
        <v>45</v>
      </c>
      <c r="E200" t="s">
        <v>41</v>
      </c>
      <c r="F200" t="s">
        <v>37</v>
      </c>
      <c r="G200" t="s">
        <v>46</v>
      </c>
      <c r="H200" t="s">
        <v>39</v>
      </c>
      <c r="I200" s="9">
        <v>60000</v>
      </c>
      <c r="J200">
        <v>6</v>
      </c>
      <c r="K200" t="s">
        <v>47</v>
      </c>
      <c r="L200" s="9">
        <f t="shared" si="3"/>
        <v>48000</v>
      </c>
      <c r="M200" s="9">
        <f>Table1[[#This Row],[Unit Price]]*Table1[[#This Row],[Quantity]]</f>
        <v>360000</v>
      </c>
      <c r="N200" s="9">
        <f>Table1[[#This Row],[Cost Price]]*Table1[[#This Row],[Quantity]]</f>
        <v>288000</v>
      </c>
      <c r="O200" s="9">
        <f>Table1[[#This Row],[Revenue]]-Table1[[#This Row],[COGS]]</f>
        <v>72000</v>
      </c>
      <c r="P200" s="6">
        <v>199</v>
      </c>
    </row>
    <row r="201" spans="1:16">
      <c r="A201" s="7" t="s">
        <v>102</v>
      </c>
      <c r="B201" s="7" t="str">
        <f>TEXT(Table1[[#This Row],[Date]],"MMM")</f>
        <v>Mar</v>
      </c>
      <c r="C201" t="s">
        <v>49</v>
      </c>
      <c r="D201" t="s">
        <v>36</v>
      </c>
      <c r="E201" t="s">
        <v>29</v>
      </c>
      <c r="F201" t="s">
        <v>37</v>
      </c>
      <c r="G201" t="s">
        <v>71</v>
      </c>
      <c r="H201" t="s">
        <v>51</v>
      </c>
      <c r="I201" s="9">
        <v>250000</v>
      </c>
      <c r="J201">
        <v>10</v>
      </c>
      <c r="K201" t="s">
        <v>42</v>
      </c>
      <c r="L201" s="9">
        <f t="shared" si="3"/>
        <v>200000</v>
      </c>
      <c r="M201" s="9">
        <f>Table1[[#This Row],[Unit Price]]*Table1[[#This Row],[Quantity]]</f>
        <v>2500000</v>
      </c>
      <c r="N201" s="9">
        <f>Table1[[#This Row],[Cost Price]]*Table1[[#This Row],[Quantity]]</f>
        <v>2000000</v>
      </c>
      <c r="O201" s="9">
        <f>Table1[[#This Row],[Revenue]]-Table1[[#This Row],[COGS]]</f>
        <v>500000</v>
      </c>
      <c r="P201" s="6">
        <v>200</v>
      </c>
    </row>
    <row r="202" spans="1:16">
      <c r="A202" s="7" t="s">
        <v>89</v>
      </c>
      <c r="B202" s="7" t="str">
        <f>TEXT(Table1[[#This Row],[Date]],"MMM")</f>
        <v>Feb</v>
      </c>
      <c r="C202" t="s">
        <v>44</v>
      </c>
      <c r="D202" t="s">
        <v>45</v>
      </c>
      <c r="E202" t="s">
        <v>29</v>
      </c>
      <c r="F202" t="s">
        <v>37</v>
      </c>
      <c r="G202" t="s">
        <v>67</v>
      </c>
      <c r="H202" t="s">
        <v>51</v>
      </c>
      <c r="I202" s="9">
        <v>420000</v>
      </c>
      <c r="J202">
        <v>3</v>
      </c>
      <c r="K202" t="s">
        <v>42</v>
      </c>
      <c r="L202" s="9">
        <f t="shared" si="3"/>
        <v>336000</v>
      </c>
      <c r="M202" s="9">
        <f>Table1[[#This Row],[Unit Price]]*Table1[[#This Row],[Quantity]]</f>
        <v>1260000</v>
      </c>
      <c r="N202" s="9">
        <f>Table1[[#This Row],[Cost Price]]*Table1[[#This Row],[Quantity]]</f>
        <v>1008000</v>
      </c>
      <c r="O202" s="9">
        <f>Table1[[#This Row],[Revenue]]-Table1[[#This Row],[COGS]]</f>
        <v>252000</v>
      </c>
      <c r="P202" s="6">
        <v>201</v>
      </c>
    </row>
    <row r="203" spans="1:16">
      <c r="A203" s="7" t="s">
        <v>150</v>
      </c>
      <c r="B203" s="7" t="str">
        <f>TEXT(Table1[[#This Row],[Date]],"MMM")</f>
        <v>Jan</v>
      </c>
      <c r="C203" t="s">
        <v>49</v>
      </c>
      <c r="D203" t="s">
        <v>28</v>
      </c>
      <c r="E203" t="s">
        <v>41</v>
      </c>
      <c r="F203" t="s">
        <v>37</v>
      </c>
      <c r="G203" t="s">
        <v>62</v>
      </c>
      <c r="H203" t="s">
        <v>51</v>
      </c>
      <c r="I203" s="9">
        <v>150000</v>
      </c>
      <c r="J203">
        <v>3</v>
      </c>
      <c r="K203" t="s">
        <v>42</v>
      </c>
      <c r="L203" s="9">
        <f t="shared" si="3"/>
        <v>120000</v>
      </c>
      <c r="M203" s="9">
        <f>Table1[[#This Row],[Unit Price]]*Table1[[#This Row],[Quantity]]</f>
        <v>450000</v>
      </c>
      <c r="N203" s="9">
        <f>Table1[[#This Row],[Cost Price]]*Table1[[#This Row],[Quantity]]</f>
        <v>360000</v>
      </c>
      <c r="O203" s="9">
        <f>Table1[[#This Row],[Revenue]]-Table1[[#This Row],[COGS]]</f>
        <v>90000</v>
      </c>
      <c r="P203" s="6">
        <v>202</v>
      </c>
    </row>
    <row r="204" spans="1:16">
      <c r="A204" s="7" t="s">
        <v>109</v>
      </c>
      <c r="B204" s="7" t="str">
        <f>TEXT(Table1[[#This Row],[Date]],"MMM")</f>
        <v>Mar</v>
      </c>
      <c r="C204" t="s">
        <v>44</v>
      </c>
      <c r="D204" t="s">
        <v>53</v>
      </c>
      <c r="E204" t="s">
        <v>41</v>
      </c>
      <c r="F204" t="s">
        <v>37</v>
      </c>
      <c r="G204" t="s">
        <v>73</v>
      </c>
      <c r="H204" t="s">
        <v>39</v>
      </c>
      <c r="I204" s="9">
        <v>220000</v>
      </c>
      <c r="J204">
        <v>4</v>
      </c>
      <c r="K204" t="s">
        <v>42</v>
      </c>
      <c r="L204" s="9">
        <f t="shared" si="3"/>
        <v>176000</v>
      </c>
      <c r="M204" s="9">
        <f>Table1[[#This Row],[Unit Price]]*Table1[[#This Row],[Quantity]]</f>
        <v>880000</v>
      </c>
      <c r="N204" s="9">
        <f>Table1[[#This Row],[Cost Price]]*Table1[[#This Row],[Quantity]]</f>
        <v>704000</v>
      </c>
      <c r="O204" s="9">
        <f>Table1[[#This Row],[Revenue]]-Table1[[#This Row],[COGS]]</f>
        <v>176000</v>
      </c>
      <c r="P204" s="6">
        <v>203</v>
      </c>
    </row>
    <row r="205" spans="1:16">
      <c r="A205" s="7" t="s">
        <v>84</v>
      </c>
      <c r="B205" s="7" t="str">
        <f>TEXT(Table1[[#This Row],[Date]],"MMM")</f>
        <v>Jan</v>
      </c>
      <c r="C205" t="s">
        <v>44</v>
      </c>
      <c r="D205" t="s">
        <v>36</v>
      </c>
      <c r="E205" t="s">
        <v>41</v>
      </c>
      <c r="F205" t="s">
        <v>37</v>
      </c>
      <c r="G205" t="s">
        <v>31</v>
      </c>
      <c r="H205" t="s">
        <v>32</v>
      </c>
      <c r="I205" s="9">
        <v>85000</v>
      </c>
      <c r="J205">
        <v>10</v>
      </c>
      <c r="K205" t="s">
        <v>42</v>
      </c>
      <c r="L205" s="9">
        <f t="shared" si="3"/>
        <v>68000</v>
      </c>
      <c r="M205" s="9">
        <f>Table1[[#This Row],[Unit Price]]*Table1[[#This Row],[Quantity]]</f>
        <v>850000</v>
      </c>
      <c r="N205" s="9">
        <f>Table1[[#This Row],[Cost Price]]*Table1[[#This Row],[Quantity]]</f>
        <v>680000</v>
      </c>
      <c r="O205" s="9">
        <f>Table1[[#This Row],[Revenue]]-Table1[[#This Row],[COGS]]</f>
        <v>170000</v>
      </c>
      <c r="P205" s="6">
        <v>204</v>
      </c>
    </row>
    <row r="206" spans="1:16">
      <c r="A206" s="7" t="s">
        <v>122</v>
      </c>
      <c r="B206" s="7" t="str">
        <f>TEXT(Table1[[#This Row],[Date]],"MMM")</f>
        <v>Mar</v>
      </c>
      <c r="C206" t="s">
        <v>49</v>
      </c>
      <c r="D206" t="s">
        <v>45</v>
      </c>
      <c r="E206" t="s">
        <v>29</v>
      </c>
      <c r="F206" t="s">
        <v>37</v>
      </c>
      <c r="G206" t="s">
        <v>50</v>
      </c>
      <c r="H206" t="s">
        <v>51</v>
      </c>
      <c r="I206" s="9">
        <v>300000</v>
      </c>
      <c r="J206">
        <v>6</v>
      </c>
      <c r="K206" t="s">
        <v>69</v>
      </c>
      <c r="L206" s="9">
        <f t="shared" si="3"/>
        <v>240000</v>
      </c>
      <c r="M206" s="9">
        <f>Table1[[#This Row],[Unit Price]]*Table1[[#This Row],[Quantity]]</f>
        <v>1800000</v>
      </c>
      <c r="N206" s="9">
        <f>Table1[[#This Row],[Cost Price]]*Table1[[#This Row],[Quantity]]</f>
        <v>1440000</v>
      </c>
      <c r="O206" s="9">
        <f>Table1[[#This Row],[Revenue]]-Table1[[#This Row],[COGS]]</f>
        <v>360000</v>
      </c>
      <c r="P206" s="6">
        <v>205</v>
      </c>
    </row>
    <row r="207" spans="1:16">
      <c r="A207" s="7" t="s">
        <v>151</v>
      </c>
      <c r="B207" s="7" t="str">
        <f>TEXT(Table1[[#This Row],[Date]],"MMM")</f>
        <v>Feb</v>
      </c>
      <c r="C207" t="s">
        <v>27</v>
      </c>
      <c r="D207" t="s">
        <v>28</v>
      </c>
      <c r="E207" t="s">
        <v>29</v>
      </c>
      <c r="F207" t="s">
        <v>30</v>
      </c>
      <c r="G207" t="s">
        <v>50</v>
      </c>
      <c r="H207" t="s">
        <v>51</v>
      </c>
      <c r="I207" s="9">
        <v>300000</v>
      </c>
      <c r="J207">
        <v>8</v>
      </c>
      <c r="K207" t="s">
        <v>65</v>
      </c>
      <c r="L207" s="9">
        <f t="shared" si="3"/>
        <v>240000</v>
      </c>
      <c r="M207" s="9">
        <f>Table1[[#This Row],[Unit Price]]*Table1[[#This Row],[Quantity]]</f>
        <v>2400000</v>
      </c>
      <c r="N207" s="9">
        <f>Table1[[#This Row],[Cost Price]]*Table1[[#This Row],[Quantity]]</f>
        <v>1920000</v>
      </c>
      <c r="O207" s="9">
        <f>Table1[[#This Row],[Revenue]]-Table1[[#This Row],[COGS]]</f>
        <v>480000</v>
      </c>
      <c r="P207" s="6">
        <v>206</v>
      </c>
    </row>
    <row r="208" spans="1:16">
      <c r="A208" s="7" t="s">
        <v>88</v>
      </c>
      <c r="B208" s="7" t="str">
        <f>TEXT(Table1[[#This Row],[Date]],"MMM")</f>
        <v>Feb</v>
      </c>
      <c r="C208" t="s">
        <v>44</v>
      </c>
      <c r="D208" t="s">
        <v>53</v>
      </c>
      <c r="E208" t="s">
        <v>41</v>
      </c>
      <c r="F208" t="s">
        <v>37</v>
      </c>
      <c r="G208" t="s">
        <v>56</v>
      </c>
      <c r="H208" t="s">
        <v>32</v>
      </c>
      <c r="I208" s="9">
        <v>320000</v>
      </c>
      <c r="J208">
        <v>4</v>
      </c>
      <c r="K208" t="s">
        <v>47</v>
      </c>
      <c r="L208" s="9">
        <f t="shared" si="3"/>
        <v>256000</v>
      </c>
      <c r="M208" s="9">
        <f>Table1[[#This Row],[Unit Price]]*Table1[[#This Row],[Quantity]]</f>
        <v>1280000</v>
      </c>
      <c r="N208" s="9">
        <f>Table1[[#This Row],[Cost Price]]*Table1[[#This Row],[Quantity]]</f>
        <v>1024000</v>
      </c>
      <c r="O208" s="9">
        <f>Table1[[#This Row],[Revenue]]-Table1[[#This Row],[COGS]]</f>
        <v>256000</v>
      </c>
      <c r="P208" s="6">
        <v>207</v>
      </c>
    </row>
    <row r="209" spans="1:16">
      <c r="A209" s="7" t="s">
        <v>99</v>
      </c>
      <c r="B209" s="7" t="str">
        <f>TEXT(Table1[[#This Row],[Date]],"MMM")</f>
        <v>Apr</v>
      </c>
      <c r="C209" t="s">
        <v>44</v>
      </c>
      <c r="D209" t="s">
        <v>36</v>
      </c>
      <c r="E209" t="s">
        <v>41</v>
      </c>
      <c r="F209" t="s">
        <v>30</v>
      </c>
      <c r="G209" t="s">
        <v>54</v>
      </c>
      <c r="H209" t="s">
        <v>39</v>
      </c>
      <c r="I209" s="9">
        <v>180000</v>
      </c>
      <c r="J209">
        <v>5</v>
      </c>
      <c r="K209" t="s">
        <v>69</v>
      </c>
      <c r="L209" s="9">
        <f t="shared" si="3"/>
        <v>144000</v>
      </c>
      <c r="M209" s="9">
        <f>Table1[[#This Row],[Unit Price]]*Table1[[#This Row],[Quantity]]</f>
        <v>900000</v>
      </c>
      <c r="N209" s="9">
        <f>Table1[[#This Row],[Cost Price]]*Table1[[#This Row],[Quantity]]</f>
        <v>720000</v>
      </c>
      <c r="O209" s="9">
        <f>Table1[[#This Row],[Revenue]]-Table1[[#This Row],[COGS]]</f>
        <v>180000</v>
      </c>
      <c r="P209" s="6">
        <v>208</v>
      </c>
    </row>
    <row r="210" spans="1:16">
      <c r="A210" s="7" t="s">
        <v>84</v>
      </c>
      <c r="B210" s="7" t="str">
        <f>TEXT(Table1[[#This Row],[Date]],"MMM")</f>
        <v>Jan</v>
      </c>
      <c r="C210" t="s">
        <v>27</v>
      </c>
      <c r="D210" t="s">
        <v>28</v>
      </c>
      <c r="E210" t="s">
        <v>29</v>
      </c>
      <c r="F210" t="s">
        <v>37</v>
      </c>
      <c r="G210" t="s">
        <v>54</v>
      </c>
      <c r="H210" t="s">
        <v>39</v>
      </c>
      <c r="I210" s="9">
        <v>180000</v>
      </c>
      <c r="J210">
        <v>6</v>
      </c>
      <c r="K210" t="s">
        <v>58</v>
      </c>
      <c r="L210" s="9">
        <f t="shared" si="3"/>
        <v>144000</v>
      </c>
      <c r="M210" s="9">
        <f>Table1[[#This Row],[Unit Price]]*Table1[[#This Row],[Quantity]]</f>
        <v>1080000</v>
      </c>
      <c r="N210" s="9">
        <f>Table1[[#This Row],[Cost Price]]*Table1[[#This Row],[Quantity]]</f>
        <v>864000</v>
      </c>
      <c r="O210" s="9">
        <f>Table1[[#This Row],[Revenue]]-Table1[[#This Row],[COGS]]</f>
        <v>216000</v>
      </c>
      <c r="P210" s="6">
        <v>209</v>
      </c>
    </row>
    <row r="211" spans="1:16">
      <c r="A211" s="7" t="s">
        <v>66</v>
      </c>
      <c r="B211" s="7" t="str">
        <f>TEXT(Table1[[#This Row],[Date]],"MMM")</f>
        <v>Mar</v>
      </c>
      <c r="C211" t="s">
        <v>35</v>
      </c>
      <c r="D211" t="s">
        <v>45</v>
      </c>
      <c r="E211" t="s">
        <v>41</v>
      </c>
      <c r="F211" t="s">
        <v>37</v>
      </c>
      <c r="G211" t="s">
        <v>62</v>
      </c>
      <c r="H211" t="s">
        <v>51</v>
      </c>
      <c r="I211" s="9">
        <v>150000</v>
      </c>
      <c r="J211">
        <v>9</v>
      </c>
      <c r="K211" t="s">
        <v>47</v>
      </c>
      <c r="L211" s="9">
        <f t="shared" si="3"/>
        <v>120000</v>
      </c>
      <c r="M211" s="9">
        <f>Table1[[#This Row],[Unit Price]]*Table1[[#This Row],[Quantity]]</f>
        <v>1350000</v>
      </c>
      <c r="N211" s="9">
        <f>Table1[[#This Row],[Cost Price]]*Table1[[#This Row],[Quantity]]</f>
        <v>1080000</v>
      </c>
      <c r="O211" s="9">
        <f>Table1[[#This Row],[Revenue]]-Table1[[#This Row],[COGS]]</f>
        <v>270000</v>
      </c>
      <c r="P211" s="6">
        <v>210</v>
      </c>
    </row>
    <row r="212" spans="1:16">
      <c r="A212" s="7" t="s">
        <v>152</v>
      </c>
      <c r="B212" s="7" t="str">
        <f>TEXT(Table1[[#This Row],[Date]],"MMM")</f>
        <v>Jan</v>
      </c>
      <c r="C212" t="s">
        <v>27</v>
      </c>
      <c r="D212" t="s">
        <v>28</v>
      </c>
      <c r="E212" t="s">
        <v>29</v>
      </c>
      <c r="F212" t="s">
        <v>30</v>
      </c>
      <c r="G212" t="s">
        <v>62</v>
      </c>
      <c r="H212" t="s">
        <v>51</v>
      </c>
      <c r="I212" s="9">
        <v>150000</v>
      </c>
      <c r="J212">
        <v>1</v>
      </c>
      <c r="K212" t="s">
        <v>58</v>
      </c>
      <c r="L212" s="9">
        <f t="shared" si="3"/>
        <v>120000</v>
      </c>
      <c r="M212" s="9">
        <f>Table1[[#This Row],[Unit Price]]*Table1[[#This Row],[Quantity]]</f>
        <v>150000</v>
      </c>
      <c r="N212" s="9">
        <f>Table1[[#This Row],[Cost Price]]*Table1[[#This Row],[Quantity]]</f>
        <v>120000</v>
      </c>
      <c r="O212" s="9">
        <f>Table1[[#This Row],[Revenue]]-Table1[[#This Row],[COGS]]</f>
        <v>30000</v>
      </c>
      <c r="P212" s="6">
        <v>211</v>
      </c>
    </row>
    <row r="213" spans="1:16">
      <c r="A213" s="7" t="s">
        <v>150</v>
      </c>
      <c r="B213" s="7" t="str">
        <f>TEXT(Table1[[#This Row],[Date]],"MMM")</f>
        <v>Jan</v>
      </c>
      <c r="C213" t="s">
        <v>35</v>
      </c>
      <c r="D213" t="s">
        <v>45</v>
      </c>
      <c r="E213" t="s">
        <v>29</v>
      </c>
      <c r="F213" t="s">
        <v>30</v>
      </c>
      <c r="G213" t="s">
        <v>54</v>
      </c>
      <c r="H213" t="s">
        <v>39</v>
      </c>
      <c r="I213" s="9">
        <v>180000</v>
      </c>
      <c r="J213">
        <v>8</v>
      </c>
      <c r="K213" t="s">
        <v>58</v>
      </c>
      <c r="L213" s="9">
        <f t="shared" si="3"/>
        <v>144000</v>
      </c>
      <c r="M213" s="9">
        <f>Table1[[#This Row],[Unit Price]]*Table1[[#This Row],[Quantity]]</f>
        <v>1440000</v>
      </c>
      <c r="N213" s="9">
        <f>Table1[[#This Row],[Cost Price]]*Table1[[#This Row],[Quantity]]</f>
        <v>1152000</v>
      </c>
      <c r="O213" s="9">
        <f>Table1[[#This Row],[Revenue]]-Table1[[#This Row],[COGS]]</f>
        <v>288000</v>
      </c>
      <c r="P213" s="6">
        <v>212</v>
      </c>
    </row>
    <row r="214" spans="1:16">
      <c r="A214" s="7" t="s">
        <v>153</v>
      </c>
      <c r="B214" s="7" t="str">
        <f>TEXT(Table1[[#This Row],[Date]],"MMM")</f>
        <v>Mar</v>
      </c>
      <c r="C214" t="s">
        <v>27</v>
      </c>
      <c r="D214" t="s">
        <v>28</v>
      </c>
      <c r="E214" t="s">
        <v>29</v>
      </c>
      <c r="F214" t="s">
        <v>37</v>
      </c>
      <c r="G214" t="s">
        <v>54</v>
      </c>
      <c r="H214" t="s">
        <v>39</v>
      </c>
      <c r="I214" s="9">
        <v>180000</v>
      </c>
      <c r="J214">
        <v>6</v>
      </c>
      <c r="K214" t="s">
        <v>47</v>
      </c>
      <c r="L214" s="9">
        <f t="shared" si="3"/>
        <v>144000</v>
      </c>
      <c r="M214" s="9">
        <f>Table1[[#This Row],[Unit Price]]*Table1[[#This Row],[Quantity]]</f>
        <v>1080000</v>
      </c>
      <c r="N214" s="9">
        <f>Table1[[#This Row],[Cost Price]]*Table1[[#This Row],[Quantity]]</f>
        <v>864000</v>
      </c>
      <c r="O214" s="9">
        <f>Table1[[#This Row],[Revenue]]-Table1[[#This Row],[COGS]]</f>
        <v>216000</v>
      </c>
      <c r="P214" s="6">
        <v>213</v>
      </c>
    </row>
    <row r="215" spans="1:16">
      <c r="A215" s="7" t="s">
        <v>70</v>
      </c>
      <c r="B215" s="7" t="str">
        <f>TEXT(Table1[[#This Row],[Date]],"MMM")</f>
        <v>Apr</v>
      </c>
      <c r="C215" t="s">
        <v>49</v>
      </c>
      <c r="D215" t="s">
        <v>53</v>
      </c>
      <c r="E215" t="s">
        <v>41</v>
      </c>
      <c r="F215" t="s">
        <v>30</v>
      </c>
      <c r="G215" t="s">
        <v>54</v>
      </c>
      <c r="H215" t="s">
        <v>39</v>
      </c>
      <c r="I215" s="9">
        <v>180000</v>
      </c>
      <c r="J215">
        <v>3</v>
      </c>
      <c r="K215" t="s">
        <v>65</v>
      </c>
      <c r="L215" s="9">
        <f t="shared" si="3"/>
        <v>144000</v>
      </c>
      <c r="M215" s="9">
        <f>Table1[[#This Row],[Unit Price]]*Table1[[#This Row],[Quantity]]</f>
        <v>540000</v>
      </c>
      <c r="N215" s="9">
        <f>Table1[[#This Row],[Cost Price]]*Table1[[#This Row],[Quantity]]</f>
        <v>432000</v>
      </c>
      <c r="O215" s="9">
        <f>Table1[[#This Row],[Revenue]]-Table1[[#This Row],[COGS]]</f>
        <v>108000</v>
      </c>
      <c r="P215" s="6">
        <v>214</v>
      </c>
    </row>
    <row r="216" spans="1:16">
      <c r="A216" s="7" t="s">
        <v>128</v>
      </c>
      <c r="B216" s="7" t="str">
        <f>TEXT(Table1[[#This Row],[Date]],"MMM")</f>
        <v>Mar</v>
      </c>
      <c r="C216" t="s">
        <v>49</v>
      </c>
      <c r="D216" t="s">
        <v>45</v>
      </c>
      <c r="E216" t="s">
        <v>29</v>
      </c>
      <c r="F216" t="s">
        <v>30</v>
      </c>
      <c r="G216" t="s">
        <v>62</v>
      </c>
      <c r="H216" t="s">
        <v>51</v>
      </c>
      <c r="I216" s="9">
        <v>150000</v>
      </c>
      <c r="J216">
        <v>10</v>
      </c>
      <c r="K216" t="s">
        <v>33</v>
      </c>
      <c r="L216" s="9">
        <f t="shared" si="3"/>
        <v>120000</v>
      </c>
      <c r="M216" s="9">
        <f>Table1[[#This Row],[Unit Price]]*Table1[[#This Row],[Quantity]]</f>
        <v>1500000</v>
      </c>
      <c r="N216" s="9">
        <f>Table1[[#This Row],[Cost Price]]*Table1[[#This Row],[Quantity]]</f>
        <v>1200000</v>
      </c>
      <c r="O216" s="9">
        <f>Table1[[#This Row],[Revenue]]-Table1[[#This Row],[COGS]]</f>
        <v>300000</v>
      </c>
      <c r="P216" s="6">
        <v>215</v>
      </c>
    </row>
    <row r="217" spans="1:16">
      <c r="A217" s="7" t="s">
        <v>149</v>
      </c>
      <c r="B217" s="7" t="str">
        <f>TEXT(Table1[[#This Row],[Date]],"MMM")</f>
        <v>Apr</v>
      </c>
      <c r="C217" t="s">
        <v>44</v>
      </c>
      <c r="D217" t="s">
        <v>45</v>
      </c>
      <c r="E217" t="s">
        <v>29</v>
      </c>
      <c r="F217" t="s">
        <v>37</v>
      </c>
      <c r="G217" t="s">
        <v>54</v>
      </c>
      <c r="H217" t="s">
        <v>39</v>
      </c>
      <c r="I217" s="9">
        <v>180000</v>
      </c>
      <c r="J217">
        <v>8</v>
      </c>
      <c r="K217" t="s">
        <v>65</v>
      </c>
      <c r="L217" s="9">
        <f t="shared" si="3"/>
        <v>144000</v>
      </c>
      <c r="M217" s="9">
        <f>Table1[[#This Row],[Unit Price]]*Table1[[#This Row],[Quantity]]</f>
        <v>1440000</v>
      </c>
      <c r="N217" s="9">
        <f>Table1[[#This Row],[Cost Price]]*Table1[[#This Row],[Quantity]]</f>
        <v>1152000</v>
      </c>
      <c r="O217" s="9">
        <f>Table1[[#This Row],[Revenue]]-Table1[[#This Row],[COGS]]</f>
        <v>288000</v>
      </c>
      <c r="P217" s="6">
        <v>216</v>
      </c>
    </row>
    <row r="218" spans="1:16">
      <c r="A218" s="7" t="s">
        <v>85</v>
      </c>
      <c r="B218" s="7" t="str">
        <f>TEXT(Table1[[#This Row],[Date]],"MMM")</f>
        <v>Feb</v>
      </c>
      <c r="C218" t="s">
        <v>27</v>
      </c>
      <c r="D218" t="s">
        <v>45</v>
      </c>
      <c r="E218" t="s">
        <v>29</v>
      </c>
      <c r="F218" t="s">
        <v>37</v>
      </c>
      <c r="G218" t="s">
        <v>50</v>
      </c>
      <c r="H218" t="s">
        <v>51</v>
      </c>
      <c r="I218" s="9">
        <v>300000</v>
      </c>
      <c r="J218">
        <v>8</v>
      </c>
      <c r="K218" t="s">
        <v>47</v>
      </c>
      <c r="L218" s="9">
        <f t="shared" si="3"/>
        <v>240000</v>
      </c>
      <c r="M218" s="9">
        <f>Table1[[#This Row],[Unit Price]]*Table1[[#This Row],[Quantity]]</f>
        <v>2400000</v>
      </c>
      <c r="N218" s="9">
        <f>Table1[[#This Row],[Cost Price]]*Table1[[#This Row],[Quantity]]</f>
        <v>1920000</v>
      </c>
      <c r="O218" s="9">
        <f>Table1[[#This Row],[Revenue]]-Table1[[#This Row],[COGS]]</f>
        <v>480000</v>
      </c>
      <c r="P218" s="6">
        <v>217</v>
      </c>
    </row>
    <row r="219" spans="1:16">
      <c r="A219" s="7" t="s">
        <v>107</v>
      </c>
      <c r="B219" s="7" t="str">
        <f>TEXT(Table1[[#This Row],[Date]],"MMM")</f>
        <v>Feb</v>
      </c>
      <c r="C219" t="s">
        <v>27</v>
      </c>
      <c r="D219" t="s">
        <v>45</v>
      </c>
      <c r="E219" t="s">
        <v>29</v>
      </c>
      <c r="F219" t="s">
        <v>37</v>
      </c>
      <c r="G219" t="s">
        <v>56</v>
      </c>
      <c r="H219" t="s">
        <v>32</v>
      </c>
      <c r="I219" s="9">
        <v>320000</v>
      </c>
      <c r="J219">
        <v>9</v>
      </c>
      <c r="K219" t="s">
        <v>58</v>
      </c>
      <c r="L219" s="9">
        <f t="shared" si="3"/>
        <v>256000</v>
      </c>
      <c r="M219" s="9">
        <f>Table1[[#This Row],[Unit Price]]*Table1[[#This Row],[Quantity]]</f>
        <v>2880000</v>
      </c>
      <c r="N219" s="9">
        <f>Table1[[#This Row],[Cost Price]]*Table1[[#This Row],[Quantity]]</f>
        <v>2304000</v>
      </c>
      <c r="O219" s="9">
        <f>Table1[[#This Row],[Revenue]]-Table1[[#This Row],[COGS]]</f>
        <v>576000</v>
      </c>
      <c r="P219" s="6">
        <v>218</v>
      </c>
    </row>
    <row r="220" spans="1:16">
      <c r="A220" s="7" t="s">
        <v>147</v>
      </c>
      <c r="B220" s="7" t="str">
        <f>TEXT(Table1[[#This Row],[Date]],"MMM")</f>
        <v>Jan</v>
      </c>
      <c r="C220" t="s">
        <v>44</v>
      </c>
      <c r="D220" t="s">
        <v>45</v>
      </c>
      <c r="E220" t="s">
        <v>29</v>
      </c>
      <c r="F220" t="s">
        <v>30</v>
      </c>
      <c r="G220" t="s">
        <v>56</v>
      </c>
      <c r="H220" t="s">
        <v>32</v>
      </c>
      <c r="I220" s="9">
        <v>320000</v>
      </c>
      <c r="J220">
        <v>7</v>
      </c>
      <c r="K220" t="s">
        <v>69</v>
      </c>
      <c r="L220" s="9">
        <f t="shared" si="3"/>
        <v>256000</v>
      </c>
      <c r="M220" s="9">
        <f>Table1[[#This Row],[Unit Price]]*Table1[[#This Row],[Quantity]]</f>
        <v>2240000</v>
      </c>
      <c r="N220" s="9">
        <f>Table1[[#This Row],[Cost Price]]*Table1[[#This Row],[Quantity]]</f>
        <v>1792000</v>
      </c>
      <c r="O220" s="9">
        <f>Table1[[#This Row],[Revenue]]-Table1[[#This Row],[COGS]]</f>
        <v>448000</v>
      </c>
      <c r="P220" s="6">
        <v>219</v>
      </c>
    </row>
    <row r="221" spans="1:16">
      <c r="A221" s="7" t="s">
        <v>64</v>
      </c>
      <c r="B221" s="7" t="str">
        <f>TEXT(Table1[[#This Row],[Date]],"MMM")</f>
        <v>Apr</v>
      </c>
      <c r="C221" t="s">
        <v>35</v>
      </c>
      <c r="D221" t="s">
        <v>53</v>
      </c>
      <c r="E221" t="s">
        <v>29</v>
      </c>
      <c r="F221" t="s">
        <v>30</v>
      </c>
      <c r="G221" t="s">
        <v>62</v>
      </c>
      <c r="H221" t="s">
        <v>51</v>
      </c>
      <c r="I221" s="9">
        <v>150000</v>
      </c>
      <c r="J221">
        <v>7</v>
      </c>
      <c r="K221" t="s">
        <v>42</v>
      </c>
      <c r="L221" s="9">
        <f t="shared" si="3"/>
        <v>120000</v>
      </c>
      <c r="M221" s="9">
        <f>Table1[[#This Row],[Unit Price]]*Table1[[#This Row],[Quantity]]</f>
        <v>1050000</v>
      </c>
      <c r="N221" s="9">
        <f>Table1[[#This Row],[Cost Price]]*Table1[[#This Row],[Quantity]]</f>
        <v>840000</v>
      </c>
      <c r="O221" s="9">
        <f>Table1[[#This Row],[Revenue]]-Table1[[#This Row],[COGS]]</f>
        <v>210000</v>
      </c>
      <c r="P221" s="6">
        <v>220</v>
      </c>
    </row>
    <row r="222" spans="1:16">
      <c r="A222" s="7" t="s">
        <v>127</v>
      </c>
      <c r="B222" s="7" t="str">
        <f>TEXT(Table1[[#This Row],[Date]],"MMM")</f>
        <v>Jan</v>
      </c>
      <c r="C222" t="s">
        <v>35</v>
      </c>
      <c r="D222" t="s">
        <v>53</v>
      </c>
      <c r="E222" t="s">
        <v>29</v>
      </c>
      <c r="F222" t="s">
        <v>37</v>
      </c>
      <c r="G222" t="s">
        <v>73</v>
      </c>
      <c r="H222" t="s">
        <v>39</v>
      </c>
      <c r="I222" s="9">
        <v>220000</v>
      </c>
      <c r="J222">
        <v>6</v>
      </c>
      <c r="K222" t="s">
        <v>69</v>
      </c>
      <c r="L222" s="9">
        <f t="shared" si="3"/>
        <v>176000</v>
      </c>
      <c r="M222" s="9">
        <f>Table1[[#This Row],[Unit Price]]*Table1[[#This Row],[Quantity]]</f>
        <v>1320000</v>
      </c>
      <c r="N222" s="9">
        <f>Table1[[#This Row],[Cost Price]]*Table1[[#This Row],[Quantity]]</f>
        <v>1056000</v>
      </c>
      <c r="O222" s="9">
        <f>Table1[[#This Row],[Revenue]]-Table1[[#This Row],[COGS]]</f>
        <v>264000</v>
      </c>
      <c r="P222" s="6">
        <v>221</v>
      </c>
    </row>
    <row r="223" spans="1:16">
      <c r="A223" s="7" t="s">
        <v>96</v>
      </c>
      <c r="B223" s="7" t="str">
        <f>TEXT(Table1[[#This Row],[Date]],"MMM")</f>
        <v>Mar</v>
      </c>
      <c r="C223" t="s">
        <v>49</v>
      </c>
      <c r="D223" t="s">
        <v>36</v>
      </c>
      <c r="E223" t="s">
        <v>29</v>
      </c>
      <c r="F223" t="s">
        <v>30</v>
      </c>
      <c r="G223" t="s">
        <v>71</v>
      </c>
      <c r="H223" t="s">
        <v>51</v>
      </c>
      <c r="I223" s="9">
        <v>250000</v>
      </c>
      <c r="J223">
        <v>1</v>
      </c>
      <c r="K223" t="s">
        <v>58</v>
      </c>
      <c r="L223" s="9">
        <f t="shared" si="3"/>
        <v>200000</v>
      </c>
      <c r="M223" s="9">
        <f>Table1[[#This Row],[Unit Price]]*Table1[[#This Row],[Quantity]]</f>
        <v>250000</v>
      </c>
      <c r="N223" s="9">
        <f>Table1[[#This Row],[Cost Price]]*Table1[[#This Row],[Quantity]]</f>
        <v>200000</v>
      </c>
      <c r="O223" s="9">
        <f>Table1[[#This Row],[Revenue]]-Table1[[#This Row],[COGS]]</f>
        <v>50000</v>
      </c>
      <c r="P223" s="6">
        <v>222</v>
      </c>
    </row>
    <row r="224" spans="1:16">
      <c r="A224" s="7" t="s">
        <v>129</v>
      </c>
      <c r="B224" s="7" t="str">
        <f>TEXT(Table1[[#This Row],[Date]],"MMM")</f>
        <v>Mar</v>
      </c>
      <c r="C224" t="s">
        <v>27</v>
      </c>
      <c r="D224" t="s">
        <v>36</v>
      </c>
      <c r="E224" t="s">
        <v>29</v>
      </c>
      <c r="F224" t="s">
        <v>30</v>
      </c>
      <c r="G224" t="s">
        <v>46</v>
      </c>
      <c r="H224" t="s">
        <v>39</v>
      </c>
      <c r="I224" s="9">
        <v>60000</v>
      </c>
      <c r="J224">
        <v>4</v>
      </c>
      <c r="K224" t="s">
        <v>42</v>
      </c>
      <c r="L224" s="9">
        <f t="shared" si="3"/>
        <v>48000</v>
      </c>
      <c r="M224" s="9">
        <f>Table1[[#This Row],[Unit Price]]*Table1[[#This Row],[Quantity]]</f>
        <v>240000</v>
      </c>
      <c r="N224" s="9">
        <f>Table1[[#This Row],[Cost Price]]*Table1[[#This Row],[Quantity]]</f>
        <v>192000</v>
      </c>
      <c r="O224" s="9">
        <f>Table1[[#This Row],[Revenue]]-Table1[[#This Row],[COGS]]</f>
        <v>48000</v>
      </c>
      <c r="P224" s="6">
        <v>223</v>
      </c>
    </row>
    <row r="225" spans="1:16">
      <c r="A225" s="7" t="s">
        <v>101</v>
      </c>
      <c r="B225" s="7" t="str">
        <f>TEXT(Table1[[#This Row],[Date]],"MMM")</f>
        <v>Jan</v>
      </c>
      <c r="C225" t="s">
        <v>49</v>
      </c>
      <c r="D225" t="s">
        <v>36</v>
      </c>
      <c r="E225" t="s">
        <v>29</v>
      </c>
      <c r="F225" t="s">
        <v>30</v>
      </c>
      <c r="G225" t="s">
        <v>31</v>
      </c>
      <c r="H225" t="s">
        <v>32</v>
      </c>
      <c r="I225" s="9">
        <v>85000</v>
      </c>
      <c r="J225">
        <v>9</v>
      </c>
      <c r="K225" t="s">
        <v>42</v>
      </c>
      <c r="L225" s="9">
        <f t="shared" si="3"/>
        <v>68000</v>
      </c>
      <c r="M225" s="9">
        <f>Table1[[#This Row],[Unit Price]]*Table1[[#This Row],[Quantity]]</f>
        <v>765000</v>
      </c>
      <c r="N225" s="9">
        <f>Table1[[#This Row],[Cost Price]]*Table1[[#This Row],[Quantity]]</f>
        <v>612000</v>
      </c>
      <c r="O225" s="9">
        <f>Table1[[#This Row],[Revenue]]-Table1[[#This Row],[COGS]]</f>
        <v>153000</v>
      </c>
      <c r="P225" s="6">
        <v>224</v>
      </c>
    </row>
    <row r="226" spans="1:16">
      <c r="A226" s="7" t="s">
        <v>141</v>
      </c>
      <c r="B226" s="7" t="str">
        <f>TEXT(Table1[[#This Row],[Date]],"MMM")</f>
        <v>Mar</v>
      </c>
      <c r="C226" t="s">
        <v>27</v>
      </c>
      <c r="D226" t="s">
        <v>28</v>
      </c>
      <c r="E226" t="s">
        <v>29</v>
      </c>
      <c r="F226" t="s">
        <v>30</v>
      </c>
      <c r="G226" t="s">
        <v>54</v>
      </c>
      <c r="H226" t="s">
        <v>39</v>
      </c>
      <c r="I226" s="9">
        <v>180000</v>
      </c>
      <c r="J226">
        <v>5</v>
      </c>
      <c r="K226" t="s">
        <v>33</v>
      </c>
      <c r="L226" s="9">
        <f t="shared" si="3"/>
        <v>144000</v>
      </c>
      <c r="M226" s="9">
        <f>Table1[[#This Row],[Unit Price]]*Table1[[#This Row],[Quantity]]</f>
        <v>900000</v>
      </c>
      <c r="N226" s="9">
        <f>Table1[[#This Row],[Cost Price]]*Table1[[#This Row],[Quantity]]</f>
        <v>720000</v>
      </c>
      <c r="O226" s="9">
        <f>Table1[[#This Row],[Revenue]]-Table1[[#This Row],[COGS]]</f>
        <v>180000</v>
      </c>
      <c r="P226" s="6">
        <v>225</v>
      </c>
    </row>
    <row r="227" spans="1:16">
      <c r="A227" s="7" t="s">
        <v>61</v>
      </c>
      <c r="B227" s="7" t="str">
        <f>TEXT(Table1[[#This Row],[Date]],"MMM")</f>
        <v>Jan</v>
      </c>
      <c r="C227" t="s">
        <v>27</v>
      </c>
      <c r="D227" t="s">
        <v>36</v>
      </c>
      <c r="E227" t="s">
        <v>29</v>
      </c>
      <c r="F227" t="s">
        <v>37</v>
      </c>
      <c r="G227" t="s">
        <v>62</v>
      </c>
      <c r="H227" t="s">
        <v>51</v>
      </c>
      <c r="I227" s="9">
        <v>150000</v>
      </c>
      <c r="J227">
        <v>4</v>
      </c>
      <c r="K227" t="s">
        <v>33</v>
      </c>
      <c r="L227" s="9">
        <f t="shared" si="3"/>
        <v>120000</v>
      </c>
      <c r="M227" s="9">
        <f>Table1[[#This Row],[Unit Price]]*Table1[[#This Row],[Quantity]]</f>
        <v>600000</v>
      </c>
      <c r="N227" s="9">
        <f>Table1[[#This Row],[Cost Price]]*Table1[[#This Row],[Quantity]]</f>
        <v>480000</v>
      </c>
      <c r="O227" s="9">
        <f>Table1[[#This Row],[Revenue]]-Table1[[#This Row],[COGS]]</f>
        <v>120000</v>
      </c>
      <c r="P227" s="6">
        <v>226</v>
      </c>
    </row>
    <row r="228" spans="1:16">
      <c r="A228" s="7" t="s">
        <v>154</v>
      </c>
      <c r="B228" s="7" t="str">
        <f>TEXT(Table1[[#This Row],[Date]],"MMM")</f>
        <v>Feb</v>
      </c>
      <c r="C228" t="s">
        <v>49</v>
      </c>
      <c r="D228" t="s">
        <v>36</v>
      </c>
      <c r="E228" t="s">
        <v>29</v>
      </c>
      <c r="F228" t="s">
        <v>30</v>
      </c>
      <c r="G228" t="s">
        <v>62</v>
      </c>
      <c r="H228" t="s">
        <v>51</v>
      </c>
      <c r="I228" s="9">
        <v>150000</v>
      </c>
      <c r="J228">
        <v>4</v>
      </c>
      <c r="K228" t="s">
        <v>47</v>
      </c>
      <c r="L228" s="9">
        <f t="shared" si="3"/>
        <v>120000</v>
      </c>
      <c r="M228" s="9">
        <f>Table1[[#This Row],[Unit Price]]*Table1[[#This Row],[Quantity]]</f>
        <v>600000</v>
      </c>
      <c r="N228" s="9">
        <f>Table1[[#This Row],[Cost Price]]*Table1[[#This Row],[Quantity]]</f>
        <v>480000</v>
      </c>
      <c r="O228" s="9">
        <f>Table1[[#This Row],[Revenue]]-Table1[[#This Row],[COGS]]</f>
        <v>120000</v>
      </c>
      <c r="P228" s="6">
        <v>227</v>
      </c>
    </row>
    <row r="229" spans="1:16">
      <c r="A229" s="7" t="s">
        <v>106</v>
      </c>
      <c r="B229" s="7" t="str">
        <f>TEXT(Table1[[#This Row],[Date]],"MMM")</f>
        <v>Apr</v>
      </c>
      <c r="C229" t="s">
        <v>35</v>
      </c>
      <c r="D229" t="s">
        <v>36</v>
      </c>
      <c r="E229" t="s">
        <v>41</v>
      </c>
      <c r="F229" t="s">
        <v>30</v>
      </c>
      <c r="G229" t="s">
        <v>38</v>
      </c>
      <c r="H229" t="s">
        <v>39</v>
      </c>
      <c r="I229" s="9">
        <v>30000</v>
      </c>
      <c r="J229">
        <v>2</v>
      </c>
      <c r="K229" t="s">
        <v>47</v>
      </c>
      <c r="L229" s="9">
        <f t="shared" si="3"/>
        <v>24000</v>
      </c>
      <c r="M229" s="9">
        <f>Table1[[#This Row],[Unit Price]]*Table1[[#This Row],[Quantity]]</f>
        <v>60000</v>
      </c>
      <c r="N229" s="9">
        <f>Table1[[#This Row],[Cost Price]]*Table1[[#This Row],[Quantity]]</f>
        <v>48000</v>
      </c>
      <c r="O229" s="9">
        <f>Table1[[#This Row],[Revenue]]-Table1[[#This Row],[COGS]]</f>
        <v>12000</v>
      </c>
      <c r="P229" s="6">
        <v>228</v>
      </c>
    </row>
    <row r="230" spans="1:16">
      <c r="A230" s="7" t="s">
        <v>155</v>
      </c>
      <c r="B230" s="7" t="str">
        <f>TEXT(Table1[[#This Row],[Date]],"MMM")</f>
        <v>Apr</v>
      </c>
      <c r="C230" t="s">
        <v>44</v>
      </c>
      <c r="D230" t="s">
        <v>53</v>
      </c>
      <c r="E230" t="s">
        <v>41</v>
      </c>
      <c r="F230" t="s">
        <v>30</v>
      </c>
      <c r="G230" t="s">
        <v>54</v>
      </c>
      <c r="H230" t="s">
        <v>39</v>
      </c>
      <c r="I230" s="9">
        <v>180000</v>
      </c>
      <c r="J230">
        <v>6</v>
      </c>
      <c r="K230" t="s">
        <v>65</v>
      </c>
      <c r="L230" s="9">
        <f t="shared" si="3"/>
        <v>144000</v>
      </c>
      <c r="M230" s="9">
        <f>Table1[[#This Row],[Unit Price]]*Table1[[#This Row],[Quantity]]</f>
        <v>1080000</v>
      </c>
      <c r="N230" s="9">
        <f>Table1[[#This Row],[Cost Price]]*Table1[[#This Row],[Quantity]]</f>
        <v>864000</v>
      </c>
      <c r="O230" s="9">
        <f>Table1[[#This Row],[Revenue]]-Table1[[#This Row],[COGS]]</f>
        <v>216000</v>
      </c>
      <c r="P230" s="6">
        <v>229</v>
      </c>
    </row>
    <row r="231" spans="1:16">
      <c r="A231" s="7" t="s">
        <v>108</v>
      </c>
      <c r="B231" s="7" t="str">
        <f>TEXT(Table1[[#This Row],[Date]],"MMM")</f>
        <v>Apr</v>
      </c>
      <c r="C231" t="s">
        <v>49</v>
      </c>
      <c r="D231" t="s">
        <v>45</v>
      </c>
      <c r="E231" t="s">
        <v>41</v>
      </c>
      <c r="F231" t="s">
        <v>37</v>
      </c>
      <c r="G231" t="s">
        <v>46</v>
      </c>
      <c r="H231" t="s">
        <v>39</v>
      </c>
      <c r="I231" s="9">
        <v>60000</v>
      </c>
      <c r="J231">
        <v>9</v>
      </c>
      <c r="K231" t="s">
        <v>69</v>
      </c>
      <c r="L231" s="9">
        <f t="shared" si="3"/>
        <v>48000</v>
      </c>
      <c r="M231" s="9">
        <f>Table1[[#This Row],[Unit Price]]*Table1[[#This Row],[Quantity]]</f>
        <v>540000</v>
      </c>
      <c r="N231" s="9">
        <f>Table1[[#This Row],[Cost Price]]*Table1[[#This Row],[Quantity]]</f>
        <v>432000</v>
      </c>
      <c r="O231" s="9">
        <f>Table1[[#This Row],[Revenue]]-Table1[[#This Row],[COGS]]</f>
        <v>108000</v>
      </c>
      <c r="P231" s="6">
        <v>230</v>
      </c>
    </row>
    <row r="232" spans="1:16">
      <c r="A232" s="7" t="s">
        <v>75</v>
      </c>
      <c r="B232" s="7" t="str">
        <f>TEXT(Table1[[#This Row],[Date]],"MMM")</f>
        <v>Mar</v>
      </c>
      <c r="C232" t="s">
        <v>44</v>
      </c>
      <c r="D232" t="s">
        <v>28</v>
      </c>
      <c r="E232" t="s">
        <v>29</v>
      </c>
      <c r="F232" t="s">
        <v>30</v>
      </c>
      <c r="G232" t="s">
        <v>62</v>
      </c>
      <c r="H232" t="s">
        <v>51</v>
      </c>
      <c r="I232" s="9">
        <v>150000</v>
      </c>
      <c r="J232">
        <v>3</v>
      </c>
      <c r="K232" t="s">
        <v>42</v>
      </c>
      <c r="L232" s="9">
        <f t="shared" si="3"/>
        <v>120000</v>
      </c>
      <c r="M232" s="9">
        <f>Table1[[#This Row],[Unit Price]]*Table1[[#This Row],[Quantity]]</f>
        <v>450000</v>
      </c>
      <c r="N232" s="9">
        <f>Table1[[#This Row],[Cost Price]]*Table1[[#This Row],[Quantity]]</f>
        <v>360000</v>
      </c>
      <c r="O232" s="9">
        <f>Table1[[#This Row],[Revenue]]-Table1[[#This Row],[COGS]]</f>
        <v>90000</v>
      </c>
      <c r="P232" s="6">
        <v>231</v>
      </c>
    </row>
    <row r="233" spans="1:16">
      <c r="A233" s="7" t="s">
        <v>93</v>
      </c>
      <c r="B233" s="7" t="str">
        <f>TEXT(Table1[[#This Row],[Date]],"MMM")</f>
        <v>Apr</v>
      </c>
      <c r="C233" t="s">
        <v>49</v>
      </c>
      <c r="D233" t="s">
        <v>36</v>
      </c>
      <c r="E233" t="s">
        <v>29</v>
      </c>
      <c r="F233" t="s">
        <v>30</v>
      </c>
      <c r="G233" t="s">
        <v>31</v>
      </c>
      <c r="H233" t="s">
        <v>32</v>
      </c>
      <c r="I233" s="9">
        <v>85000</v>
      </c>
      <c r="J233">
        <v>3</v>
      </c>
      <c r="K233" t="s">
        <v>47</v>
      </c>
      <c r="L233" s="9">
        <f t="shared" si="3"/>
        <v>68000</v>
      </c>
      <c r="M233" s="9">
        <f>Table1[[#This Row],[Unit Price]]*Table1[[#This Row],[Quantity]]</f>
        <v>255000</v>
      </c>
      <c r="N233" s="9">
        <f>Table1[[#This Row],[Cost Price]]*Table1[[#This Row],[Quantity]]</f>
        <v>204000</v>
      </c>
      <c r="O233" s="9">
        <f>Table1[[#This Row],[Revenue]]-Table1[[#This Row],[COGS]]</f>
        <v>51000</v>
      </c>
      <c r="P233" s="6">
        <v>232</v>
      </c>
    </row>
    <row r="234" spans="1:16">
      <c r="A234" s="7" t="s">
        <v>143</v>
      </c>
      <c r="B234" s="7" t="str">
        <f>TEXT(Table1[[#This Row],[Date]],"MMM")</f>
        <v>Apr</v>
      </c>
      <c r="C234" t="s">
        <v>35</v>
      </c>
      <c r="D234" t="s">
        <v>28</v>
      </c>
      <c r="E234" t="s">
        <v>41</v>
      </c>
      <c r="F234" t="s">
        <v>37</v>
      </c>
      <c r="G234" t="s">
        <v>38</v>
      </c>
      <c r="H234" t="s">
        <v>39</v>
      </c>
      <c r="I234" s="9">
        <v>30000</v>
      </c>
      <c r="J234">
        <v>3</v>
      </c>
      <c r="K234" t="s">
        <v>58</v>
      </c>
      <c r="L234" s="9">
        <f t="shared" si="3"/>
        <v>24000</v>
      </c>
      <c r="M234" s="9">
        <f>Table1[[#This Row],[Unit Price]]*Table1[[#This Row],[Quantity]]</f>
        <v>90000</v>
      </c>
      <c r="N234" s="9">
        <f>Table1[[#This Row],[Cost Price]]*Table1[[#This Row],[Quantity]]</f>
        <v>72000</v>
      </c>
      <c r="O234" s="9">
        <f>Table1[[#This Row],[Revenue]]-Table1[[#This Row],[COGS]]</f>
        <v>18000</v>
      </c>
      <c r="P234" s="6">
        <v>233</v>
      </c>
    </row>
    <row r="235" spans="1:16">
      <c r="A235" s="7" t="s">
        <v>52</v>
      </c>
      <c r="B235" s="7" t="str">
        <f>TEXT(Table1[[#This Row],[Date]],"MMM")</f>
        <v>Mar</v>
      </c>
      <c r="C235" t="s">
        <v>35</v>
      </c>
      <c r="D235" t="s">
        <v>45</v>
      </c>
      <c r="E235" t="s">
        <v>41</v>
      </c>
      <c r="F235" t="s">
        <v>30</v>
      </c>
      <c r="G235" t="s">
        <v>31</v>
      </c>
      <c r="H235" t="s">
        <v>32</v>
      </c>
      <c r="I235" s="9">
        <v>85000</v>
      </c>
      <c r="J235">
        <v>2</v>
      </c>
      <c r="K235" t="s">
        <v>33</v>
      </c>
      <c r="L235" s="9">
        <f t="shared" si="3"/>
        <v>68000</v>
      </c>
      <c r="M235" s="9">
        <f>Table1[[#This Row],[Unit Price]]*Table1[[#This Row],[Quantity]]</f>
        <v>170000</v>
      </c>
      <c r="N235" s="9">
        <f>Table1[[#This Row],[Cost Price]]*Table1[[#This Row],[Quantity]]</f>
        <v>136000</v>
      </c>
      <c r="O235" s="9">
        <f>Table1[[#This Row],[Revenue]]-Table1[[#This Row],[COGS]]</f>
        <v>34000</v>
      </c>
      <c r="P235" s="6">
        <v>234</v>
      </c>
    </row>
    <row r="236" spans="1:16">
      <c r="A236" s="7" t="s">
        <v>145</v>
      </c>
      <c r="B236" s="7" t="str">
        <f>TEXT(Table1[[#This Row],[Date]],"MMM")</f>
        <v>Jan</v>
      </c>
      <c r="C236" t="s">
        <v>27</v>
      </c>
      <c r="D236" t="s">
        <v>53</v>
      </c>
      <c r="E236" t="s">
        <v>41</v>
      </c>
      <c r="F236" t="s">
        <v>30</v>
      </c>
      <c r="G236" t="s">
        <v>38</v>
      </c>
      <c r="H236" t="s">
        <v>39</v>
      </c>
      <c r="I236" s="9">
        <v>30000</v>
      </c>
      <c r="J236">
        <v>6</v>
      </c>
      <c r="K236" t="s">
        <v>33</v>
      </c>
      <c r="L236" s="9">
        <f t="shared" si="3"/>
        <v>24000</v>
      </c>
      <c r="M236" s="9">
        <f>Table1[[#This Row],[Unit Price]]*Table1[[#This Row],[Quantity]]</f>
        <v>180000</v>
      </c>
      <c r="N236" s="9">
        <f>Table1[[#This Row],[Cost Price]]*Table1[[#This Row],[Quantity]]</f>
        <v>144000</v>
      </c>
      <c r="O236" s="9">
        <f>Table1[[#This Row],[Revenue]]-Table1[[#This Row],[COGS]]</f>
        <v>36000</v>
      </c>
      <c r="P236" s="6">
        <v>235</v>
      </c>
    </row>
    <row r="237" spans="1:16">
      <c r="A237" s="7" t="s">
        <v>123</v>
      </c>
      <c r="B237" s="7" t="str">
        <f>TEXT(Table1[[#This Row],[Date]],"MMM")</f>
        <v>Apr</v>
      </c>
      <c r="C237" t="s">
        <v>27</v>
      </c>
      <c r="D237" t="s">
        <v>53</v>
      </c>
      <c r="E237" t="s">
        <v>41</v>
      </c>
      <c r="F237" t="s">
        <v>30</v>
      </c>
      <c r="G237" t="s">
        <v>56</v>
      </c>
      <c r="H237" t="s">
        <v>32</v>
      </c>
      <c r="I237" s="9">
        <v>320000</v>
      </c>
      <c r="J237">
        <v>1</v>
      </c>
      <c r="K237" t="s">
        <v>33</v>
      </c>
      <c r="L237" s="9">
        <f t="shared" si="3"/>
        <v>256000</v>
      </c>
      <c r="M237" s="9">
        <f>Table1[[#This Row],[Unit Price]]*Table1[[#This Row],[Quantity]]</f>
        <v>320000</v>
      </c>
      <c r="N237" s="9">
        <f>Table1[[#This Row],[Cost Price]]*Table1[[#This Row],[Quantity]]</f>
        <v>256000</v>
      </c>
      <c r="O237" s="9">
        <f>Table1[[#This Row],[Revenue]]-Table1[[#This Row],[COGS]]</f>
        <v>64000</v>
      </c>
      <c r="P237" s="6">
        <v>236</v>
      </c>
    </row>
    <row r="238" spans="1:16">
      <c r="A238" s="7" t="s">
        <v>116</v>
      </c>
      <c r="B238" s="7" t="str">
        <f>TEXT(Table1[[#This Row],[Date]],"MMM")</f>
        <v>Apr</v>
      </c>
      <c r="C238" t="s">
        <v>44</v>
      </c>
      <c r="D238" t="s">
        <v>36</v>
      </c>
      <c r="E238" t="s">
        <v>29</v>
      </c>
      <c r="F238" t="s">
        <v>37</v>
      </c>
      <c r="G238" t="s">
        <v>67</v>
      </c>
      <c r="H238" t="s">
        <v>51</v>
      </c>
      <c r="I238" s="9">
        <v>420000</v>
      </c>
      <c r="J238">
        <v>5</v>
      </c>
      <c r="K238" t="s">
        <v>65</v>
      </c>
      <c r="L238" s="9">
        <f t="shared" si="3"/>
        <v>336000</v>
      </c>
      <c r="M238" s="9">
        <f>Table1[[#This Row],[Unit Price]]*Table1[[#This Row],[Quantity]]</f>
        <v>2100000</v>
      </c>
      <c r="N238" s="9">
        <f>Table1[[#This Row],[Cost Price]]*Table1[[#This Row],[Quantity]]</f>
        <v>1680000</v>
      </c>
      <c r="O238" s="9">
        <f>Table1[[#This Row],[Revenue]]-Table1[[#This Row],[COGS]]</f>
        <v>420000</v>
      </c>
      <c r="P238" s="6">
        <v>237</v>
      </c>
    </row>
    <row r="239" spans="1:16">
      <c r="A239" s="7" t="s">
        <v>137</v>
      </c>
      <c r="B239" s="7" t="str">
        <f>TEXT(Table1[[#This Row],[Date]],"MMM")</f>
        <v>Apr</v>
      </c>
      <c r="C239" t="s">
        <v>27</v>
      </c>
      <c r="D239" t="s">
        <v>53</v>
      </c>
      <c r="E239" t="s">
        <v>29</v>
      </c>
      <c r="F239" t="s">
        <v>37</v>
      </c>
      <c r="G239" t="s">
        <v>38</v>
      </c>
      <c r="H239" t="s">
        <v>39</v>
      </c>
      <c r="I239" s="9">
        <v>30000</v>
      </c>
      <c r="J239">
        <v>9</v>
      </c>
      <c r="K239" t="s">
        <v>69</v>
      </c>
      <c r="L239" s="9">
        <f t="shared" si="3"/>
        <v>24000</v>
      </c>
      <c r="M239" s="9">
        <f>Table1[[#This Row],[Unit Price]]*Table1[[#This Row],[Quantity]]</f>
        <v>270000</v>
      </c>
      <c r="N239" s="9">
        <f>Table1[[#This Row],[Cost Price]]*Table1[[#This Row],[Quantity]]</f>
        <v>216000</v>
      </c>
      <c r="O239" s="9">
        <f>Table1[[#This Row],[Revenue]]-Table1[[#This Row],[COGS]]</f>
        <v>54000</v>
      </c>
      <c r="P239" s="6">
        <v>238</v>
      </c>
    </row>
    <row r="240" spans="1:16">
      <c r="A240" s="7" t="s">
        <v>147</v>
      </c>
      <c r="B240" s="7" t="str">
        <f>TEXT(Table1[[#This Row],[Date]],"MMM")</f>
        <v>Jan</v>
      </c>
      <c r="C240" t="s">
        <v>44</v>
      </c>
      <c r="D240" t="s">
        <v>53</v>
      </c>
      <c r="E240" t="s">
        <v>29</v>
      </c>
      <c r="F240" t="s">
        <v>30</v>
      </c>
      <c r="G240" t="s">
        <v>46</v>
      </c>
      <c r="H240" t="s">
        <v>39</v>
      </c>
      <c r="I240" s="9">
        <v>60000</v>
      </c>
      <c r="J240">
        <v>8</v>
      </c>
      <c r="K240" t="s">
        <v>65</v>
      </c>
      <c r="L240" s="9">
        <f t="shared" si="3"/>
        <v>48000</v>
      </c>
      <c r="M240" s="9">
        <f>Table1[[#This Row],[Unit Price]]*Table1[[#This Row],[Quantity]]</f>
        <v>480000</v>
      </c>
      <c r="N240" s="9">
        <f>Table1[[#This Row],[Cost Price]]*Table1[[#This Row],[Quantity]]</f>
        <v>384000</v>
      </c>
      <c r="O240" s="9">
        <f>Table1[[#This Row],[Revenue]]-Table1[[#This Row],[COGS]]</f>
        <v>96000</v>
      </c>
      <c r="P240" s="6">
        <v>239</v>
      </c>
    </row>
    <row r="241" spans="1:16">
      <c r="A241" s="7" t="s">
        <v>145</v>
      </c>
      <c r="B241" s="7" t="str">
        <f>TEXT(Table1[[#This Row],[Date]],"MMM")</f>
        <v>Jan</v>
      </c>
      <c r="C241" t="s">
        <v>27</v>
      </c>
      <c r="D241" t="s">
        <v>45</v>
      </c>
      <c r="E241" t="s">
        <v>29</v>
      </c>
      <c r="F241" t="s">
        <v>30</v>
      </c>
      <c r="G241" t="s">
        <v>50</v>
      </c>
      <c r="H241" t="s">
        <v>51</v>
      </c>
      <c r="I241" s="9">
        <v>300000</v>
      </c>
      <c r="J241">
        <v>2</v>
      </c>
      <c r="K241" t="s">
        <v>47</v>
      </c>
      <c r="L241" s="9">
        <f t="shared" si="3"/>
        <v>240000</v>
      </c>
      <c r="M241" s="9">
        <f>Table1[[#This Row],[Unit Price]]*Table1[[#This Row],[Quantity]]</f>
        <v>600000</v>
      </c>
      <c r="N241" s="9">
        <f>Table1[[#This Row],[Cost Price]]*Table1[[#This Row],[Quantity]]</f>
        <v>480000</v>
      </c>
      <c r="O241" s="9">
        <f>Table1[[#This Row],[Revenue]]-Table1[[#This Row],[COGS]]</f>
        <v>120000</v>
      </c>
      <c r="P241" s="6">
        <v>240</v>
      </c>
    </row>
    <row r="242" spans="1:16">
      <c r="A242" s="7" t="s">
        <v>96</v>
      </c>
      <c r="B242" s="7" t="str">
        <f>TEXT(Table1[[#This Row],[Date]],"MMM")</f>
        <v>Mar</v>
      </c>
      <c r="C242" t="s">
        <v>44</v>
      </c>
      <c r="D242" t="s">
        <v>28</v>
      </c>
      <c r="E242" t="s">
        <v>29</v>
      </c>
      <c r="F242" t="s">
        <v>30</v>
      </c>
      <c r="G242" t="s">
        <v>73</v>
      </c>
      <c r="H242" t="s">
        <v>39</v>
      </c>
      <c r="I242" s="9">
        <v>220000</v>
      </c>
      <c r="J242">
        <v>7</v>
      </c>
      <c r="K242" t="s">
        <v>47</v>
      </c>
      <c r="L242" s="9">
        <f t="shared" si="3"/>
        <v>176000</v>
      </c>
      <c r="M242" s="9">
        <f>Table1[[#This Row],[Unit Price]]*Table1[[#This Row],[Quantity]]</f>
        <v>1540000</v>
      </c>
      <c r="N242" s="9">
        <f>Table1[[#This Row],[Cost Price]]*Table1[[#This Row],[Quantity]]</f>
        <v>1232000</v>
      </c>
      <c r="O242" s="9">
        <f>Table1[[#This Row],[Revenue]]-Table1[[#This Row],[COGS]]</f>
        <v>308000</v>
      </c>
      <c r="P242" s="6">
        <v>241</v>
      </c>
    </row>
    <row r="243" spans="1:16">
      <c r="A243" s="7" t="s">
        <v>95</v>
      </c>
      <c r="B243" s="7" t="str">
        <f>TEXT(Table1[[#This Row],[Date]],"MMM")</f>
        <v>Feb</v>
      </c>
      <c r="C243" t="s">
        <v>49</v>
      </c>
      <c r="D243" t="s">
        <v>36</v>
      </c>
      <c r="E243" t="s">
        <v>41</v>
      </c>
      <c r="F243" t="s">
        <v>37</v>
      </c>
      <c r="G243" t="s">
        <v>50</v>
      </c>
      <c r="H243" t="s">
        <v>51</v>
      </c>
      <c r="I243" s="9">
        <v>300000</v>
      </c>
      <c r="J243">
        <v>8</v>
      </c>
      <c r="K243" t="s">
        <v>33</v>
      </c>
      <c r="L243" s="9">
        <f t="shared" si="3"/>
        <v>240000</v>
      </c>
      <c r="M243" s="9">
        <f>Table1[[#This Row],[Unit Price]]*Table1[[#This Row],[Quantity]]</f>
        <v>2400000</v>
      </c>
      <c r="N243" s="9">
        <f>Table1[[#This Row],[Cost Price]]*Table1[[#This Row],[Quantity]]</f>
        <v>1920000</v>
      </c>
      <c r="O243" s="9">
        <f>Table1[[#This Row],[Revenue]]-Table1[[#This Row],[COGS]]</f>
        <v>480000</v>
      </c>
      <c r="P243" s="6">
        <v>242</v>
      </c>
    </row>
    <row r="244" spans="1:16">
      <c r="A244" s="7" t="s">
        <v>72</v>
      </c>
      <c r="B244" s="7" t="str">
        <f>TEXT(Table1[[#This Row],[Date]],"MMM")</f>
        <v>Feb</v>
      </c>
      <c r="C244" t="s">
        <v>35</v>
      </c>
      <c r="D244" t="s">
        <v>36</v>
      </c>
      <c r="E244" t="s">
        <v>41</v>
      </c>
      <c r="F244" t="s">
        <v>37</v>
      </c>
      <c r="G244" t="s">
        <v>67</v>
      </c>
      <c r="H244" t="s">
        <v>51</v>
      </c>
      <c r="I244" s="9">
        <v>420000</v>
      </c>
      <c r="J244">
        <v>10</v>
      </c>
      <c r="K244" t="s">
        <v>58</v>
      </c>
      <c r="L244" s="9">
        <f t="shared" si="3"/>
        <v>336000</v>
      </c>
      <c r="M244" s="9">
        <f>Table1[[#This Row],[Unit Price]]*Table1[[#This Row],[Quantity]]</f>
        <v>4200000</v>
      </c>
      <c r="N244" s="9">
        <f>Table1[[#This Row],[Cost Price]]*Table1[[#This Row],[Quantity]]</f>
        <v>3360000</v>
      </c>
      <c r="O244" s="9">
        <f>Table1[[#This Row],[Revenue]]-Table1[[#This Row],[COGS]]</f>
        <v>840000</v>
      </c>
      <c r="P244" s="6">
        <v>243</v>
      </c>
    </row>
    <row r="245" spans="1:16">
      <c r="A245" s="7" t="s">
        <v>108</v>
      </c>
      <c r="B245" s="7" t="str">
        <f>TEXT(Table1[[#This Row],[Date]],"MMM")</f>
        <v>Apr</v>
      </c>
      <c r="C245" t="s">
        <v>35</v>
      </c>
      <c r="D245" t="s">
        <v>53</v>
      </c>
      <c r="E245" t="s">
        <v>41</v>
      </c>
      <c r="F245" t="s">
        <v>30</v>
      </c>
      <c r="G245" t="s">
        <v>50</v>
      </c>
      <c r="H245" t="s">
        <v>51</v>
      </c>
      <c r="I245" s="9">
        <v>300000</v>
      </c>
      <c r="J245">
        <v>2</v>
      </c>
      <c r="K245" t="s">
        <v>58</v>
      </c>
      <c r="L245" s="9">
        <f t="shared" si="3"/>
        <v>240000</v>
      </c>
      <c r="M245" s="9">
        <f>Table1[[#This Row],[Unit Price]]*Table1[[#This Row],[Quantity]]</f>
        <v>600000</v>
      </c>
      <c r="N245" s="9">
        <f>Table1[[#This Row],[Cost Price]]*Table1[[#This Row],[Quantity]]</f>
        <v>480000</v>
      </c>
      <c r="O245" s="9">
        <f>Table1[[#This Row],[Revenue]]-Table1[[#This Row],[COGS]]</f>
        <v>120000</v>
      </c>
      <c r="P245" s="6">
        <v>244</v>
      </c>
    </row>
    <row r="246" spans="1:16">
      <c r="A246" s="7" t="s">
        <v>144</v>
      </c>
      <c r="B246" s="7" t="str">
        <f>TEXT(Table1[[#This Row],[Date]],"MMM")</f>
        <v>Feb</v>
      </c>
      <c r="C246" t="s">
        <v>35</v>
      </c>
      <c r="D246" t="s">
        <v>36</v>
      </c>
      <c r="E246" t="s">
        <v>41</v>
      </c>
      <c r="F246" t="s">
        <v>30</v>
      </c>
      <c r="G246" t="s">
        <v>73</v>
      </c>
      <c r="H246" t="s">
        <v>39</v>
      </c>
      <c r="I246" s="9">
        <v>220000</v>
      </c>
      <c r="J246">
        <v>3</v>
      </c>
      <c r="K246" t="s">
        <v>47</v>
      </c>
      <c r="L246" s="9">
        <f t="shared" si="3"/>
        <v>176000</v>
      </c>
      <c r="M246" s="9">
        <f>Table1[[#This Row],[Unit Price]]*Table1[[#This Row],[Quantity]]</f>
        <v>660000</v>
      </c>
      <c r="N246" s="9">
        <f>Table1[[#This Row],[Cost Price]]*Table1[[#This Row],[Quantity]]</f>
        <v>528000</v>
      </c>
      <c r="O246" s="9">
        <f>Table1[[#This Row],[Revenue]]-Table1[[#This Row],[COGS]]</f>
        <v>132000</v>
      </c>
      <c r="P246" s="6">
        <v>245</v>
      </c>
    </row>
    <row r="247" spans="1:16">
      <c r="A247" s="7" t="s">
        <v>88</v>
      </c>
      <c r="B247" s="7" t="str">
        <f>TEXT(Table1[[#This Row],[Date]],"MMM")</f>
        <v>Feb</v>
      </c>
      <c r="C247" t="s">
        <v>35</v>
      </c>
      <c r="D247" t="s">
        <v>45</v>
      </c>
      <c r="E247" t="s">
        <v>41</v>
      </c>
      <c r="F247" t="s">
        <v>37</v>
      </c>
      <c r="G247" t="s">
        <v>31</v>
      </c>
      <c r="H247" t="s">
        <v>32</v>
      </c>
      <c r="I247" s="9">
        <v>85000</v>
      </c>
      <c r="J247">
        <v>6</v>
      </c>
      <c r="K247" t="s">
        <v>42</v>
      </c>
      <c r="L247" s="9">
        <f t="shared" si="3"/>
        <v>68000</v>
      </c>
      <c r="M247" s="9">
        <f>Table1[[#This Row],[Unit Price]]*Table1[[#This Row],[Quantity]]</f>
        <v>510000</v>
      </c>
      <c r="N247" s="9">
        <f>Table1[[#This Row],[Cost Price]]*Table1[[#This Row],[Quantity]]</f>
        <v>408000</v>
      </c>
      <c r="O247" s="9">
        <f>Table1[[#This Row],[Revenue]]-Table1[[#This Row],[COGS]]</f>
        <v>102000</v>
      </c>
      <c r="P247" s="6">
        <v>246</v>
      </c>
    </row>
    <row r="248" spans="1:16">
      <c r="A248" s="7" t="s">
        <v>124</v>
      </c>
      <c r="B248" s="7" t="str">
        <f>TEXT(Table1[[#This Row],[Date]],"MMM")</f>
        <v>Feb</v>
      </c>
      <c r="C248" t="s">
        <v>49</v>
      </c>
      <c r="D248" t="s">
        <v>53</v>
      </c>
      <c r="E248" t="s">
        <v>41</v>
      </c>
      <c r="F248" t="s">
        <v>30</v>
      </c>
      <c r="G248" t="s">
        <v>56</v>
      </c>
      <c r="H248" t="s">
        <v>32</v>
      </c>
      <c r="I248" s="9">
        <v>320000</v>
      </c>
      <c r="J248">
        <v>10</v>
      </c>
      <c r="K248" t="s">
        <v>69</v>
      </c>
      <c r="L248" s="9">
        <f t="shared" si="3"/>
        <v>256000</v>
      </c>
      <c r="M248" s="9">
        <f>Table1[[#This Row],[Unit Price]]*Table1[[#This Row],[Quantity]]</f>
        <v>3200000</v>
      </c>
      <c r="N248" s="9">
        <f>Table1[[#This Row],[Cost Price]]*Table1[[#This Row],[Quantity]]</f>
        <v>2560000</v>
      </c>
      <c r="O248" s="9">
        <f>Table1[[#This Row],[Revenue]]-Table1[[#This Row],[COGS]]</f>
        <v>640000</v>
      </c>
      <c r="P248" s="6">
        <v>247</v>
      </c>
    </row>
    <row r="249" spans="1:16">
      <c r="A249" s="7" t="s">
        <v>94</v>
      </c>
      <c r="B249" s="7" t="str">
        <f>TEXT(Table1[[#This Row],[Date]],"MMM")</f>
        <v>Jan</v>
      </c>
      <c r="C249" t="s">
        <v>35</v>
      </c>
      <c r="D249" t="s">
        <v>28</v>
      </c>
      <c r="E249" t="s">
        <v>41</v>
      </c>
      <c r="F249" t="s">
        <v>30</v>
      </c>
      <c r="G249" t="s">
        <v>50</v>
      </c>
      <c r="H249" t="s">
        <v>51</v>
      </c>
      <c r="I249" s="9">
        <v>300000</v>
      </c>
      <c r="J249">
        <v>2</v>
      </c>
      <c r="K249" t="s">
        <v>42</v>
      </c>
      <c r="L249" s="9">
        <f t="shared" si="3"/>
        <v>240000</v>
      </c>
      <c r="M249" s="9">
        <f>Table1[[#This Row],[Unit Price]]*Table1[[#This Row],[Quantity]]</f>
        <v>600000</v>
      </c>
      <c r="N249" s="9">
        <f>Table1[[#This Row],[Cost Price]]*Table1[[#This Row],[Quantity]]</f>
        <v>480000</v>
      </c>
      <c r="O249" s="9">
        <f>Table1[[#This Row],[Revenue]]-Table1[[#This Row],[COGS]]</f>
        <v>120000</v>
      </c>
      <c r="P249" s="6">
        <v>248</v>
      </c>
    </row>
    <row r="250" spans="1:16">
      <c r="A250" s="7" t="s">
        <v>102</v>
      </c>
      <c r="B250" s="7" t="str">
        <f>TEXT(Table1[[#This Row],[Date]],"MMM")</f>
        <v>Mar</v>
      </c>
      <c r="C250" t="s">
        <v>44</v>
      </c>
      <c r="D250" t="s">
        <v>28</v>
      </c>
      <c r="E250" t="s">
        <v>41</v>
      </c>
      <c r="F250" t="s">
        <v>37</v>
      </c>
      <c r="G250" t="s">
        <v>38</v>
      </c>
      <c r="H250" t="s">
        <v>39</v>
      </c>
      <c r="I250" s="9">
        <v>30000</v>
      </c>
      <c r="J250">
        <v>6</v>
      </c>
      <c r="K250" t="s">
        <v>69</v>
      </c>
      <c r="L250" s="9">
        <f t="shared" si="3"/>
        <v>24000</v>
      </c>
      <c r="M250" s="9">
        <f>Table1[[#This Row],[Unit Price]]*Table1[[#This Row],[Quantity]]</f>
        <v>180000</v>
      </c>
      <c r="N250" s="9">
        <f>Table1[[#This Row],[Cost Price]]*Table1[[#This Row],[Quantity]]</f>
        <v>144000</v>
      </c>
      <c r="O250" s="9">
        <f>Table1[[#This Row],[Revenue]]-Table1[[#This Row],[COGS]]</f>
        <v>36000</v>
      </c>
      <c r="P250" s="6">
        <v>249</v>
      </c>
    </row>
    <row r="251" spans="1:16">
      <c r="A251" s="7" t="s">
        <v>156</v>
      </c>
      <c r="B251" s="7" t="str">
        <f>TEXT(Table1[[#This Row],[Date]],"MMM")</f>
        <v>Feb</v>
      </c>
      <c r="C251" t="s">
        <v>44</v>
      </c>
      <c r="D251" t="s">
        <v>28</v>
      </c>
      <c r="E251" t="s">
        <v>41</v>
      </c>
      <c r="F251" t="s">
        <v>37</v>
      </c>
      <c r="G251" t="s">
        <v>46</v>
      </c>
      <c r="H251" t="s">
        <v>39</v>
      </c>
      <c r="I251" s="9">
        <v>60000</v>
      </c>
      <c r="J251">
        <v>2</v>
      </c>
      <c r="K251" t="s">
        <v>47</v>
      </c>
      <c r="L251" s="9">
        <f t="shared" si="3"/>
        <v>48000</v>
      </c>
      <c r="M251" s="9">
        <f>Table1[[#This Row],[Unit Price]]*Table1[[#This Row],[Quantity]]</f>
        <v>120000</v>
      </c>
      <c r="N251" s="9">
        <f>Table1[[#This Row],[Cost Price]]*Table1[[#This Row],[Quantity]]</f>
        <v>96000</v>
      </c>
      <c r="O251" s="9">
        <f>Table1[[#This Row],[Revenue]]-Table1[[#This Row],[COGS]]</f>
        <v>24000</v>
      </c>
      <c r="P251" s="6">
        <v>250</v>
      </c>
    </row>
    <row r="252" spans="1:16">
      <c r="A252" s="7" t="s">
        <v>94</v>
      </c>
      <c r="B252" s="7" t="str">
        <f>TEXT(Table1[[#This Row],[Date]],"MMM")</f>
        <v>Jan</v>
      </c>
      <c r="C252" t="s">
        <v>49</v>
      </c>
      <c r="D252" t="s">
        <v>45</v>
      </c>
      <c r="E252" t="s">
        <v>29</v>
      </c>
      <c r="F252" t="s">
        <v>30</v>
      </c>
      <c r="G252" t="s">
        <v>73</v>
      </c>
      <c r="H252" t="s">
        <v>39</v>
      </c>
      <c r="I252" s="9">
        <v>220000</v>
      </c>
      <c r="J252">
        <v>5</v>
      </c>
      <c r="K252" t="s">
        <v>33</v>
      </c>
      <c r="L252" s="9">
        <f t="shared" si="3"/>
        <v>176000</v>
      </c>
      <c r="M252" s="9">
        <f>Table1[[#This Row],[Unit Price]]*Table1[[#This Row],[Quantity]]</f>
        <v>1100000</v>
      </c>
      <c r="N252" s="9">
        <f>Table1[[#This Row],[Cost Price]]*Table1[[#This Row],[Quantity]]</f>
        <v>880000</v>
      </c>
      <c r="O252" s="9">
        <f>Table1[[#This Row],[Revenue]]-Table1[[#This Row],[COGS]]</f>
        <v>220000</v>
      </c>
      <c r="P252" s="6">
        <v>251</v>
      </c>
    </row>
    <row r="253" spans="1:16">
      <c r="A253" s="7" t="s">
        <v>107</v>
      </c>
      <c r="B253" s="7" t="str">
        <f>TEXT(Table1[[#This Row],[Date]],"MMM")</f>
        <v>Feb</v>
      </c>
      <c r="C253" t="s">
        <v>27</v>
      </c>
      <c r="D253" t="s">
        <v>53</v>
      </c>
      <c r="E253" t="s">
        <v>29</v>
      </c>
      <c r="F253" t="s">
        <v>37</v>
      </c>
      <c r="G253" t="s">
        <v>54</v>
      </c>
      <c r="H253" t="s">
        <v>39</v>
      </c>
      <c r="I253" s="9">
        <v>180000</v>
      </c>
      <c r="J253">
        <v>6</v>
      </c>
      <c r="K253" t="s">
        <v>69</v>
      </c>
      <c r="L253" s="9">
        <f t="shared" si="3"/>
        <v>144000</v>
      </c>
      <c r="M253" s="9">
        <f>Table1[[#This Row],[Unit Price]]*Table1[[#This Row],[Quantity]]</f>
        <v>1080000</v>
      </c>
      <c r="N253" s="9">
        <f>Table1[[#This Row],[Cost Price]]*Table1[[#This Row],[Quantity]]</f>
        <v>864000</v>
      </c>
      <c r="O253" s="9">
        <f>Table1[[#This Row],[Revenue]]-Table1[[#This Row],[COGS]]</f>
        <v>216000</v>
      </c>
      <c r="P253" s="6">
        <v>252</v>
      </c>
    </row>
    <row r="254" spans="1:16">
      <c r="A254" s="7" t="s">
        <v>78</v>
      </c>
      <c r="B254" s="7" t="str">
        <f>TEXT(Table1[[#This Row],[Date]],"MMM")</f>
        <v>Apr</v>
      </c>
      <c r="C254" t="s">
        <v>49</v>
      </c>
      <c r="D254" t="s">
        <v>28</v>
      </c>
      <c r="E254" t="s">
        <v>29</v>
      </c>
      <c r="F254" t="s">
        <v>30</v>
      </c>
      <c r="G254" t="s">
        <v>71</v>
      </c>
      <c r="H254" t="s">
        <v>51</v>
      </c>
      <c r="I254" s="9">
        <v>250000</v>
      </c>
      <c r="J254">
        <v>4</v>
      </c>
      <c r="K254" t="s">
        <v>58</v>
      </c>
      <c r="L254" s="9">
        <f t="shared" si="3"/>
        <v>200000</v>
      </c>
      <c r="M254" s="9">
        <f>Table1[[#This Row],[Unit Price]]*Table1[[#This Row],[Quantity]]</f>
        <v>1000000</v>
      </c>
      <c r="N254" s="9">
        <f>Table1[[#This Row],[Cost Price]]*Table1[[#This Row],[Quantity]]</f>
        <v>800000</v>
      </c>
      <c r="O254" s="9">
        <f>Table1[[#This Row],[Revenue]]-Table1[[#This Row],[COGS]]</f>
        <v>200000</v>
      </c>
      <c r="P254" s="6">
        <v>253</v>
      </c>
    </row>
    <row r="255" spans="1:16">
      <c r="A255" s="7" t="s">
        <v>55</v>
      </c>
      <c r="B255" s="7" t="str">
        <f>TEXT(Table1[[#This Row],[Date]],"MMM")</f>
        <v>Mar</v>
      </c>
      <c r="C255" t="s">
        <v>49</v>
      </c>
      <c r="D255" t="s">
        <v>45</v>
      </c>
      <c r="E255" t="s">
        <v>41</v>
      </c>
      <c r="F255" t="s">
        <v>30</v>
      </c>
      <c r="G255" t="s">
        <v>31</v>
      </c>
      <c r="H255" t="s">
        <v>32</v>
      </c>
      <c r="I255" s="9">
        <v>85000</v>
      </c>
      <c r="J255">
        <v>10</v>
      </c>
      <c r="K255" t="s">
        <v>42</v>
      </c>
      <c r="L255" s="9">
        <f t="shared" si="3"/>
        <v>68000</v>
      </c>
      <c r="M255" s="9">
        <f>Table1[[#This Row],[Unit Price]]*Table1[[#This Row],[Quantity]]</f>
        <v>850000</v>
      </c>
      <c r="N255" s="9">
        <f>Table1[[#This Row],[Cost Price]]*Table1[[#This Row],[Quantity]]</f>
        <v>680000</v>
      </c>
      <c r="O255" s="9">
        <f>Table1[[#This Row],[Revenue]]-Table1[[#This Row],[COGS]]</f>
        <v>170000</v>
      </c>
      <c r="P255" s="6">
        <v>254</v>
      </c>
    </row>
    <row r="256" spans="1:16">
      <c r="A256" s="7" t="s">
        <v>129</v>
      </c>
      <c r="B256" s="7" t="str">
        <f>TEXT(Table1[[#This Row],[Date]],"MMM")</f>
        <v>Mar</v>
      </c>
      <c r="C256" t="s">
        <v>27</v>
      </c>
      <c r="D256" t="s">
        <v>36</v>
      </c>
      <c r="E256" t="s">
        <v>29</v>
      </c>
      <c r="F256" t="s">
        <v>30</v>
      </c>
      <c r="G256" t="s">
        <v>50</v>
      </c>
      <c r="H256" t="s">
        <v>51</v>
      </c>
      <c r="I256" s="9">
        <v>300000</v>
      </c>
      <c r="J256">
        <v>6</v>
      </c>
      <c r="K256" t="s">
        <v>42</v>
      </c>
      <c r="L256" s="9">
        <f t="shared" si="3"/>
        <v>240000</v>
      </c>
      <c r="M256" s="9">
        <f>Table1[[#This Row],[Unit Price]]*Table1[[#This Row],[Quantity]]</f>
        <v>1800000</v>
      </c>
      <c r="N256" s="9">
        <f>Table1[[#This Row],[Cost Price]]*Table1[[#This Row],[Quantity]]</f>
        <v>1440000</v>
      </c>
      <c r="O256" s="9">
        <f>Table1[[#This Row],[Revenue]]-Table1[[#This Row],[COGS]]</f>
        <v>360000</v>
      </c>
      <c r="P256" s="6">
        <v>255</v>
      </c>
    </row>
    <row r="257" spans="1:16">
      <c r="A257" s="7" t="s">
        <v>117</v>
      </c>
      <c r="B257" s="7" t="str">
        <f>TEXT(Table1[[#This Row],[Date]],"MMM")</f>
        <v>Jan</v>
      </c>
      <c r="C257" t="s">
        <v>49</v>
      </c>
      <c r="D257" t="s">
        <v>36</v>
      </c>
      <c r="E257" t="s">
        <v>41</v>
      </c>
      <c r="F257" t="s">
        <v>37</v>
      </c>
      <c r="G257" t="s">
        <v>73</v>
      </c>
      <c r="H257" t="s">
        <v>39</v>
      </c>
      <c r="I257" s="9">
        <v>220000</v>
      </c>
      <c r="J257">
        <v>3</v>
      </c>
      <c r="K257" t="s">
        <v>33</v>
      </c>
      <c r="L257" s="9">
        <f t="shared" si="3"/>
        <v>176000</v>
      </c>
      <c r="M257" s="9">
        <f>Table1[[#This Row],[Unit Price]]*Table1[[#This Row],[Quantity]]</f>
        <v>660000</v>
      </c>
      <c r="N257" s="9">
        <f>Table1[[#This Row],[Cost Price]]*Table1[[#This Row],[Quantity]]</f>
        <v>528000</v>
      </c>
      <c r="O257" s="9">
        <f>Table1[[#This Row],[Revenue]]-Table1[[#This Row],[COGS]]</f>
        <v>132000</v>
      </c>
      <c r="P257" s="6">
        <v>256</v>
      </c>
    </row>
    <row r="258" spans="1:16">
      <c r="A258" s="7" t="s">
        <v>100</v>
      </c>
      <c r="B258" s="7" t="str">
        <f>TEXT(Table1[[#This Row],[Date]],"MMM")</f>
        <v>Jan</v>
      </c>
      <c r="C258" t="s">
        <v>49</v>
      </c>
      <c r="D258" t="s">
        <v>45</v>
      </c>
      <c r="E258" t="s">
        <v>29</v>
      </c>
      <c r="F258" t="s">
        <v>37</v>
      </c>
      <c r="G258" t="s">
        <v>38</v>
      </c>
      <c r="H258" t="s">
        <v>39</v>
      </c>
      <c r="I258" s="9">
        <v>30000</v>
      </c>
      <c r="J258">
        <v>8</v>
      </c>
      <c r="K258" t="s">
        <v>69</v>
      </c>
      <c r="L258" s="9">
        <f t="shared" ref="L258:L321" si="4">I258-I258*0.2</f>
        <v>24000</v>
      </c>
      <c r="M258" s="9">
        <f>Table1[[#This Row],[Unit Price]]*Table1[[#This Row],[Quantity]]</f>
        <v>240000</v>
      </c>
      <c r="N258" s="9">
        <f>Table1[[#This Row],[Cost Price]]*Table1[[#This Row],[Quantity]]</f>
        <v>192000</v>
      </c>
      <c r="O258" s="9">
        <f>Table1[[#This Row],[Revenue]]-Table1[[#This Row],[COGS]]</f>
        <v>48000</v>
      </c>
      <c r="P258" s="6">
        <v>257</v>
      </c>
    </row>
    <row r="259" spans="1:16">
      <c r="A259" s="7" t="s">
        <v>153</v>
      </c>
      <c r="B259" s="7" t="str">
        <f>TEXT(Table1[[#This Row],[Date]],"MMM")</f>
        <v>Mar</v>
      </c>
      <c r="C259" t="s">
        <v>49</v>
      </c>
      <c r="D259" t="s">
        <v>28</v>
      </c>
      <c r="E259" t="s">
        <v>41</v>
      </c>
      <c r="F259" t="s">
        <v>30</v>
      </c>
      <c r="G259" t="s">
        <v>31</v>
      </c>
      <c r="H259" t="s">
        <v>32</v>
      </c>
      <c r="I259" s="9">
        <v>85000</v>
      </c>
      <c r="J259">
        <v>2</v>
      </c>
      <c r="K259" t="s">
        <v>33</v>
      </c>
      <c r="L259" s="9">
        <f t="shared" si="4"/>
        <v>68000</v>
      </c>
      <c r="M259" s="9">
        <f>Table1[[#This Row],[Unit Price]]*Table1[[#This Row],[Quantity]]</f>
        <v>170000</v>
      </c>
      <c r="N259" s="9">
        <f>Table1[[#This Row],[Cost Price]]*Table1[[#This Row],[Quantity]]</f>
        <v>136000</v>
      </c>
      <c r="O259" s="9">
        <f>Table1[[#This Row],[Revenue]]-Table1[[#This Row],[COGS]]</f>
        <v>34000</v>
      </c>
      <c r="P259" s="6">
        <v>258</v>
      </c>
    </row>
    <row r="260" spans="1:16">
      <c r="A260" s="7" t="s">
        <v>136</v>
      </c>
      <c r="B260" s="7" t="str">
        <f>TEXT(Table1[[#This Row],[Date]],"MMM")</f>
        <v>Feb</v>
      </c>
      <c r="C260" t="s">
        <v>44</v>
      </c>
      <c r="D260" t="s">
        <v>53</v>
      </c>
      <c r="E260" t="s">
        <v>29</v>
      </c>
      <c r="F260" t="s">
        <v>37</v>
      </c>
      <c r="G260" t="s">
        <v>62</v>
      </c>
      <c r="H260" t="s">
        <v>51</v>
      </c>
      <c r="I260" s="9">
        <v>150000</v>
      </c>
      <c r="J260">
        <v>3</v>
      </c>
      <c r="K260" t="s">
        <v>58</v>
      </c>
      <c r="L260" s="9">
        <f t="shared" si="4"/>
        <v>120000</v>
      </c>
      <c r="M260" s="9">
        <f>Table1[[#This Row],[Unit Price]]*Table1[[#This Row],[Quantity]]</f>
        <v>450000</v>
      </c>
      <c r="N260" s="9">
        <f>Table1[[#This Row],[Cost Price]]*Table1[[#This Row],[Quantity]]</f>
        <v>360000</v>
      </c>
      <c r="O260" s="9">
        <f>Table1[[#This Row],[Revenue]]-Table1[[#This Row],[COGS]]</f>
        <v>90000</v>
      </c>
      <c r="P260" s="6">
        <v>259</v>
      </c>
    </row>
    <row r="261" spans="1:16">
      <c r="A261" s="7" t="s">
        <v>60</v>
      </c>
      <c r="B261" s="7" t="str">
        <f>TEXT(Table1[[#This Row],[Date]],"MMM")</f>
        <v>Mar</v>
      </c>
      <c r="C261" t="s">
        <v>35</v>
      </c>
      <c r="D261" t="s">
        <v>53</v>
      </c>
      <c r="E261" t="s">
        <v>29</v>
      </c>
      <c r="F261" t="s">
        <v>37</v>
      </c>
      <c r="G261" t="s">
        <v>31</v>
      </c>
      <c r="H261" t="s">
        <v>32</v>
      </c>
      <c r="I261" s="9">
        <v>85000</v>
      </c>
      <c r="J261">
        <v>1</v>
      </c>
      <c r="K261" t="s">
        <v>65</v>
      </c>
      <c r="L261" s="9">
        <f t="shared" si="4"/>
        <v>68000</v>
      </c>
      <c r="M261" s="9">
        <f>Table1[[#This Row],[Unit Price]]*Table1[[#This Row],[Quantity]]</f>
        <v>85000</v>
      </c>
      <c r="N261" s="9">
        <f>Table1[[#This Row],[Cost Price]]*Table1[[#This Row],[Quantity]]</f>
        <v>68000</v>
      </c>
      <c r="O261" s="9">
        <f>Table1[[#This Row],[Revenue]]-Table1[[#This Row],[COGS]]</f>
        <v>17000</v>
      </c>
      <c r="P261" s="6">
        <v>260</v>
      </c>
    </row>
    <row r="262" spans="1:16">
      <c r="A262" s="7" t="s">
        <v>124</v>
      </c>
      <c r="B262" s="7" t="str">
        <f>TEXT(Table1[[#This Row],[Date]],"MMM")</f>
        <v>Feb</v>
      </c>
      <c r="C262" t="s">
        <v>44</v>
      </c>
      <c r="D262" t="s">
        <v>28</v>
      </c>
      <c r="E262" t="s">
        <v>41</v>
      </c>
      <c r="F262" t="s">
        <v>37</v>
      </c>
      <c r="G262" t="s">
        <v>71</v>
      </c>
      <c r="H262" t="s">
        <v>51</v>
      </c>
      <c r="I262" s="9">
        <v>250000</v>
      </c>
      <c r="J262">
        <v>3</v>
      </c>
      <c r="K262" t="s">
        <v>69</v>
      </c>
      <c r="L262" s="9">
        <f t="shared" si="4"/>
        <v>200000</v>
      </c>
      <c r="M262" s="9">
        <f>Table1[[#This Row],[Unit Price]]*Table1[[#This Row],[Quantity]]</f>
        <v>750000</v>
      </c>
      <c r="N262" s="9">
        <f>Table1[[#This Row],[Cost Price]]*Table1[[#This Row],[Quantity]]</f>
        <v>600000</v>
      </c>
      <c r="O262" s="9">
        <f>Table1[[#This Row],[Revenue]]-Table1[[#This Row],[COGS]]</f>
        <v>150000</v>
      </c>
      <c r="P262" s="6">
        <v>261</v>
      </c>
    </row>
    <row r="263" spans="1:16">
      <c r="A263" s="7" t="s">
        <v>157</v>
      </c>
      <c r="B263" s="7" t="str">
        <f>TEXT(Table1[[#This Row],[Date]],"MMM")</f>
        <v>Apr</v>
      </c>
      <c r="C263" t="s">
        <v>35</v>
      </c>
      <c r="D263" t="s">
        <v>28</v>
      </c>
      <c r="E263" t="s">
        <v>41</v>
      </c>
      <c r="F263" t="s">
        <v>37</v>
      </c>
      <c r="G263" t="s">
        <v>67</v>
      </c>
      <c r="H263" t="s">
        <v>51</v>
      </c>
      <c r="I263" s="9">
        <v>420000</v>
      </c>
      <c r="J263">
        <v>2</v>
      </c>
      <c r="K263" t="s">
        <v>33</v>
      </c>
      <c r="L263" s="9">
        <f t="shared" si="4"/>
        <v>336000</v>
      </c>
      <c r="M263" s="9">
        <f>Table1[[#This Row],[Unit Price]]*Table1[[#This Row],[Quantity]]</f>
        <v>840000</v>
      </c>
      <c r="N263" s="9">
        <f>Table1[[#This Row],[Cost Price]]*Table1[[#This Row],[Quantity]]</f>
        <v>672000</v>
      </c>
      <c r="O263" s="9">
        <f>Table1[[#This Row],[Revenue]]-Table1[[#This Row],[COGS]]</f>
        <v>168000</v>
      </c>
      <c r="P263" s="6">
        <v>262</v>
      </c>
    </row>
    <row r="264" spans="1:16">
      <c r="A264" s="7" t="s">
        <v>52</v>
      </c>
      <c r="B264" s="7" t="str">
        <f>TEXT(Table1[[#This Row],[Date]],"MMM")</f>
        <v>Mar</v>
      </c>
      <c r="C264" t="s">
        <v>27</v>
      </c>
      <c r="D264" t="s">
        <v>45</v>
      </c>
      <c r="E264" t="s">
        <v>29</v>
      </c>
      <c r="F264" t="s">
        <v>30</v>
      </c>
      <c r="G264" t="s">
        <v>62</v>
      </c>
      <c r="H264" t="s">
        <v>51</v>
      </c>
      <c r="I264" s="9">
        <v>150000</v>
      </c>
      <c r="J264">
        <v>9</v>
      </c>
      <c r="K264" t="s">
        <v>47</v>
      </c>
      <c r="L264" s="9">
        <f t="shared" si="4"/>
        <v>120000</v>
      </c>
      <c r="M264" s="9">
        <f>Table1[[#This Row],[Unit Price]]*Table1[[#This Row],[Quantity]]</f>
        <v>1350000</v>
      </c>
      <c r="N264" s="9">
        <f>Table1[[#This Row],[Cost Price]]*Table1[[#This Row],[Quantity]]</f>
        <v>1080000</v>
      </c>
      <c r="O264" s="9">
        <f>Table1[[#This Row],[Revenue]]-Table1[[#This Row],[COGS]]</f>
        <v>270000</v>
      </c>
      <c r="P264" s="6">
        <v>263</v>
      </c>
    </row>
    <row r="265" spans="1:16">
      <c r="A265" s="7" t="s">
        <v>126</v>
      </c>
      <c r="B265" s="7" t="str">
        <f>TEXT(Table1[[#This Row],[Date]],"MMM")</f>
        <v>Jan</v>
      </c>
      <c r="C265" t="s">
        <v>49</v>
      </c>
      <c r="D265" t="s">
        <v>53</v>
      </c>
      <c r="E265" t="s">
        <v>29</v>
      </c>
      <c r="F265" t="s">
        <v>37</v>
      </c>
      <c r="G265" t="s">
        <v>38</v>
      </c>
      <c r="H265" t="s">
        <v>39</v>
      </c>
      <c r="I265" s="9">
        <v>30000</v>
      </c>
      <c r="J265">
        <v>9</v>
      </c>
      <c r="K265" t="s">
        <v>42</v>
      </c>
      <c r="L265" s="9">
        <f t="shared" si="4"/>
        <v>24000</v>
      </c>
      <c r="M265" s="9">
        <f>Table1[[#This Row],[Unit Price]]*Table1[[#This Row],[Quantity]]</f>
        <v>270000</v>
      </c>
      <c r="N265" s="9">
        <f>Table1[[#This Row],[Cost Price]]*Table1[[#This Row],[Quantity]]</f>
        <v>216000</v>
      </c>
      <c r="O265" s="9">
        <f>Table1[[#This Row],[Revenue]]-Table1[[#This Row],[COGS]]</f>
        <v>54000</v>
      </c>
      <c r="P265" s="6">
        <v>264</v>
      </c>
    </row>
    <row r="266" spans="1:16">
      <c r="A266" s="7" t="s">
        <v>143</v>
      </c>
      <c r="B266" s="7" t="str">
        <f>TEXT(Table1[[#This Row],[Date]],"MMM")</f>
        <v>Apr</v>
      </c>
      <c r="C266" t="s">
        <v>35</v>
      </c>
      <c r="D266" t="s">
        <v>36</v>
      </c>
      <c r="E266" t="s">
        <v>41</v>
      </c>
      <c r="F266" t="s">
        <v>37</v>
      </c>
      <c r="G266" t="s">
        <v>73</v>
      </c>
      <c r="H266" t="s">
        <v>39</v>
      </c>
      <c r="I266" s="9">
        <v>220000</v>
      </c>
      <c r="J266">
        <v>6</v>
      </c>
      <c r="K266" t="s">
        <v>69</v>
      </c>
      <c r="L266" s="9">
        <f t="shared" si="4"/>
        <v>176000</v>
      </c>
      <c r="M266" s="9">
        <f>Table1[[#This Row],[Unit Price]]*Table1[[#This Row],[Quantity]]</f>
        <v>1320000</v>
      </c>
      <c r="N266" s="9">
        <f>Table1[[#This Row],[Cost Price]]*Table1[[#This Row],[Quantity]]</f>
        <v>1056000</v>
      </c>
      <c r="O266" s="9">
        <f>Table1[[#This Row],[Revenue]]-Table1[[#This Row],[COGS]]</f>
        <v>264000</v>
      </c>
      <c r="P266" s="6">
        <v>265</v>
      </c>
    </row>
    <row r="267" spans="1:16">
      <c r="A267" s="7" t="s">
        <v>137</v>
      </c>
      <c r="B267" s="7" t="str">
        <f>TEXT(Table1[[#This Row],[Date]],"MMM")</f>
        <v>Apr</v>
      </c>
      <c r="C267" t="s">
        <v>49</v>
      </c>
      <c r="D267" t="s">
        <v>45</v>
      </c>
      <c r="E267" t="s">
        <v>41</v>
      </c>
      <c r="F267" t="s">
        <v>37</v>
      </c>
      <c r="G267" t="s">
        <v>38</v>
      </c>
      <c r="H267" t="s">
        <v>39</v>
      </c>
      <c r="I267" s="9">
        <v>30000</v>
      </c>
      <c r="J267">
        <v>3</v>
      </c>
      <c r="K267" t="s">
        <v>69</v>
      </c>
      <c r="L267" s="9">
        <f t="shared" si="4"/>
        <v>24000</v>
      </c>
      <c r="M267" s="9">
        <f>Table1[[#This Row],[Unit Price]]*Table1[[#This Row],[Quantity]]</f>
        <v>90000</v>
      </c>
      <c r="N267" s="9">
        <f>Table1[[#This Row],[Cost Price]]*Table1[[#This Row],[Quantity]]</f>
        <v>72000</v>
      </c>
      <c r="O267" s="9">
        <f>Table1[[#This Row],[Revenue]]-Table1[[#This Row],[COGS]]</f>
        <v>18000</v>
      </c>
      <c r="P267" s="6">
        <v>266</v>
      </c>
    </row>
    <row r="268" spans="1:16">
      <c r="A268" s="7" t="s">
        <v>136</v>
      </c>
      <c r="B268" s="7" t="str">
        <f>TEXT(Table1[[#This Row],[Date]],"MMM")</f>
        <v>Feb</v>
      </c>
      <c r="C268" t="s">
        <v>27</v>
      </c>
      <c r="D268" t="s">
        <v>45</v>
      </c>
      <c r="E268" t="s">
        <v>29</v>
      </c>
      <c r="F268" t="s">
        <v>30</v>
      </c>
      <c r="G268" t="s">
        <v>67</v>
      </c>
      <c r="H268" t="s">
        <v>51</v>
      </c>
      <c r="I268" s="9">
        <v>420000</v>
      </c>
      <c r="J268">
        <v>10</v>
      </c>
      <c r="K268" t="s">
        <v>42</v>
      </c>
      <c r="L268" s="9">
        <f t="shared" si="4"/>
        <v>336000</v>
      </c>
      <c r="M268" s="9">
        <f>Table1[[#This Row],[Unit Price]]*Table1[[#This Row],[Quantity]]</f>
        <v>4200000</v>
      </c>
      <c r="N268" s="9">
        <f>Table1[[#This Row],[Cost Price]]*Table1[[#This Row],[Quantity]]</f>
        <v>3360000</v>
      </c>
      <c r="O268" s="9">
        <f>Table1[[#This Row],[Revenue]]-Table1[[#This Row],[COGS]]</f>
        <v>840000</v>
      </c>
      <c r="P268" s="6">
        <v>267</v>
      </c>
    </row>
    <row r="269" spans="1:16">
      <c r="A269" s="7" t="s">
        <v>149</v>
      </c>
      <c r="B269" s="7" t="str">
        <f>TEXT(Table1[[#This Row],[Date]],"MMM")</f>
        <v>Apr</v>
      </c>
      <c r="C269" t="s">
        <v>49</v>
      </c>
      <c r="D269" t="s">
        <v>53</v>
      </c>
      <c r="E269" t="s">
        <v>41</v>
      </c>
      <c r="F269" t="s">
        <v>30</v>
      </c>
      <c r="G269" t="s">
        <v>38</v>
      </c>
      <c r="H269" t="s">
        <v>39</v>
      </c>
      <c r="I269" s="9">
        <v>30000</v>
      </c>
      <c r="J269">
        <v>2</v>
      </c>
      <c r="K269" t="s">
        <v>65</v>
      </c>
      <c r="L269" s="9">
        <f t="shared" si="4"/>
        <v>24000</v>
      </c>
      <c r="M269" s="9">
        <f>Table1[[#This Row],[Unit Price]]*Table1[[#This Row],[Quantity]]</f>
        <v>60000</v>
      </c>
      <c r="N269" s="9">
        <f>Table1[[#This Row],[Cost Price]]*Table1[[#This Row],[Quantity]]</f>
        <v>48000</v>
      </c>
      <c r="O269" s="9">
        <f>Table1[[#This Row],[Revenue]]-Table1[[#This Row],[COGS]]</f>
        <v>12000</v>
      </c>
      <c r="P269" s="6">
        <v>268</v>
      </c>
    </row>
    <row r="270" spans="1:16">
      <c r="A270" s="7" t="s">
        <v>88</v>
      </c>
      <c r="B270" s="7" t="str">
        <f>TEXT(Table1[[#This Row],[Date]],"MMM")</f>
        <v>Feb</v>
      </c>
      <c r="C270" t="s">
        <v>35</v>
      </c>
      <c r="D270" t="s">
        <v>28</v>
      </c>
      <c r="E270" t="s">
        <v>41</v>
      </c>
      <c r="F270" t="s">
        <v>37</v>
      </c>
      <c r="G270" t="s">
        <v>62</v>
      </c>
      <c r="H270" t="s">
        <v>51</v>
      </c>
      <c r="I270" s="9">
        <v>150000</v>
      </c>
      <c r="J270">
        <v>5</v>
      </c>
      <c r="K270" t="s">
        <v>42</v>
      </c>
      <c r="L270" s="9">
        <f t="shared" si="4"/>
        <v>120000</v>
      </c>
      <c r="M270" s="9">
        <f>Table1[[#This Row],[Unit Price]]*Table1[[#This Row],[Quantity]]</f>
        <v>750000</v>
      </c>
      <c r="N270" s="9">
        <f>Table1[[#This Row],[Cost Price]]*Table1[[#This Row],[Quantity]]</f>
        <v>600000</v>
      </c>
      <c r="O270" s="9">
        <f>Table1[[#This Row],[Revenue]]-Table1[[#This Row],[COGS]]</f>
        <v>150000</v>
      </c>
      <c r="P270" s="6">
        <v>269</v>
      </c>
    </row>
    <row r="271" spans="1:16">
      <c r="A271" s="7" t="s">
        <v>106</v>
      </c>
      <c r="B271" s="7" t="str">
        <f>TEXT(Table1[[#This Row],[Date]],"MMM")</f>
        <v>Apr</v>
      </c>
      <c r="C271" t="s">
        <v>44</v>
      </c>
      <c r="D271" t="s">
        <v>53</v>
      </c>
      <c r="E271" t="s">
        <v>29</v>
      </c>
      <c r="F271" t="s">
        <v>37</v>
      </c>
      <c r="G271" t="s">
        <v>62</v>
      </c>
      <c r="H271" t="s">
        <v>51</v>
      </c>
      <c r="I271" s="9">
        <v>150000</v>
      </c>
      <c r="J271">
        <v>10</v>
      </c>
      <c r="K271" t="s">
        <v>65</v>
      </c>
      <c r="L271" s="9">
        <f t="shared" si="4"/>
        <v>120000</v>
      </c>
      <c r="M271" s="9">
        <f>Table1[[#This Row],[Unit Price]]*Table1[[#This Row],[Quantity]]</f>
        <v>1500000</v>
      </c>
      <c r="N271" s="9">
        <f>Table1[[#This Row],[Cost Price]]*Table1[[#This Row],[Quantity]]</f>
        <v>1200000</v>
      </c>
      <c r="O271" s="9">
        <f>Table1[[#This Row],[Revenue]]-Table1[[#This Row],[COGS]]</f>
        <v>300000</v>
      </c>
      <c r="P271" s="6">
        <v>270</v>
      </c>
    </row>
    <row r="272" spans="1:16">
      <c r="A272" s="7" t="s">
        <v>158</v>
      </c>
      <c r="B272" s="7" t="str">
        <f>TEXT(Table1[[#This Row],[Date]],"MMM")</f>
        <v>Jan</v>
      </c>
      <c r="C272" t="s">
        <v>27</v>
      </c>
      <c r="D272" t="s">
        <v>53</v>
      </c>
      <c r="E272" t="s">
        <v>41</v>
      </c>
      <c r="F272" t="s">
        <v>30</v>
      </c>
      <c r="G272" t="s">
        <v>54</v>
      </c>
      <c r="H272" t="s">
        <v>39</v>
      </c>
      <c r="I272" s="9">
        <v>180000</v>
      </c>
      <c r="J272">
        <v>3</v>
      </c>
      <c r="K272" t="s">
        <v>42</v>
      </c>
      <c r="L272" s="9">
        <f t="shared" si="4"/>
        <v>144000</v>
      </c>
      <c r="M272" s="9">
        <f>Table1[[#This Row],[Unit Price]]*Table1[[#This Row],[Quantity]]</f>
        <v>540000</v>
      </c>
      <c r="N272" s="9">
        <f>Table1[[#This Row],[Cost Price]]*Table1[[#This Row],[Quantity]]</f>
        <v>432000</v>
      </c>
      <c r="O272" s="9">
        <f>Table1[[#This Row],[Revenue]]-Table1[[#This Row],[COGS]]</f>
        <v>108000</v>
      </c>
      <c r="P272" s="6">
        <v>271</v>
      </c>
    </row>
    <row r="273" spans="1:16">
      <c r="A273" s="7" t="s">
        <v>159</v>
      </c>
      <c r="B273" s="7" t="str">
        <f>TEXT(Table1[[#This Row],[Date]],"MMM")</f>
        <v>Feb</v>
      </c>
      <c r="C273" t="s">
        <v>35</v>
      </c>
      <c r="D273" t="s">
        <v>45</v>
      </c>
      <c r="E273" t="s">
        <v>41</v>
      </c>
      <c r="F273" t="s">
        <v>30</v>
      </c>
      <c r="G273" t="s">
        <v>38</v>
      </c>
      <c r="H273" t="s">
        <v>39</v>
      </c>
      <c r="I273" s="9">
        <v>30000</v>
      </c>
      <c r="J273">
        <v>10</v>
      </c>
      <c r="K273" t="s">
        <v>47</v>
      </c>
      <c r="L273" s="9">
        <f t="shared" si="4"/>
        <v>24000</v>
      </c>
      <c r="M273" s="9">
        <f>Table1[[#This Row],[Unit Price]]*Table1[[#This Row],[Quantity]]</f>
        <v>300000</v>
      </c>
      <c r="N273" s="9">
        <f>Table1[[#This Row],[Cost Price]]*Table1[[#This Row],[Quantity]]</f>
        <v>240000</v>
      </c>
      <c r="O273" s="9">
        <f>Table1[[#This Row],[Revenue]]-Table1[[#This Row],[COGS]]</f>
        <v>60000</v>
      </c>
      <c r="P273" s="6">
        <v>272</v>
      </c>
    </row>
    <row r="274" spans="1:16">
      <c r="A274" s="7" t="s">
        <v>160</v>
      </c>
      <c r="B274" s="7" t="str">
        <f>TEXT(Table1[[#This Row],[Date]],"MMM")</f>
        <v>Jan</v>
      </c>
      <c r="C274" t="s">
        <v>35</v>
      </c>
      <c r="D274" t="s">
        <v>28</v>
      </c>
      <c r="E274" t="s">
        <v>29</v>
      </c>
      <c r="F274" t="s">
        <v>30</v>
      </c>
      <c r="G274" t="s">
        <v>67</v>
      </c>
      <c r="H274" t="s">
        <v>51</v>
      </c>
      <c r="I274" s="9">
        <v>420000</v>
      </c>
      <c r="J274">
        <v>2</v>
      </c>
      <c r="K274" t="s">
        <v>47</v>
      </c>
      <c r="L274" s="9">
        <f t="shared" si="4"/>
        <v>336000</v>
      </c>
      <c r="M274" s="9">
        <f>Table1[[#This Row],[Unit Price]]*Table1[[#This Row],[Quantity]]</f>
        <v>840000</v>
      </c>
      <c r="N274" s="9">
        <f>Table1[[#This Row],[Cost Price]]*Table1[[#This Row],[Quantity]]</f>
        <v>672000</v>
      </c>
      <c r="O274" s="9">
        <f>Table1[[#This Row],[Revenue]]-Table1[[#This Row],[COGS]]</f>
        <v>168000</v>
      </c>
      <c r="P274" s="6">
        <v>273</v>
      </c>
    </row>
    <row r="275" spans="1:16">
      <c r="A275" s="7" t="s">
        <v>128</v>
      </c>
      <c r="B275" s="7" t="str">
        <f>TEXT(Table1[[#This Row],[Date]],"MMM")</f>
        <v>Mar</v>
      </c>
      <c r="C275" t="s">
        <v>44</v>
      </c>
      <c r="D275" t="s">
        <v>28</v>
      </c>
      <c r="E275" t="s">
        <v>41</v>
      </c>
      <c r="F275" t="s">
        <v>30</v>
      </c>
      <c r="G275" t="s">
        <v>56</v>
      </c>
      <c r="H275" t="s">
        <v>32</v>
      </c>
      <c r="I275" s="9">
        <v>320000</v>
      </c>
      <c r="J275">
        <v>1</v>
      </c>
      <c r="K275" t="s">
        <v>58</v>
      </c>
      <c r="L275" s="9">
        <f t="shared" si="4"/>
        <v>256000</v>
      </c>
      <c r="M275" s="9">
        <f>Table1[[#This Row],[Unit Price]]*Table1[[#This Row],[Quantity]]</f>
        <v>320000</v>
      </c>
      <c r="N275" s="9">
        <f>Table1[[#This Row],[Cost Price]]*Table1[[#This Row],[Quantity]]</f>
        <v>256000</v>
      </c>
      <c r="O275" s="9">
        <f>Table1[[#This Row],[Revenue]]-Table1[[#This Row],[COGS]]</f>
        <v>64000</v>
      </c>
      <c r="P275" s="6">
        <v>274</v>
      </c>
    </row>
    <row r="276" spans="1:16">
      <c r="A276" s="7" t="s">
        <v>161</v>
      </c>
      <c r="B276" s="7" t="str">
        <f>TEXT(Table1[[#This Row],[Date]],"MMM")</f>
        <v>Mar</v>
      </c>
      <c r="C276" t="s">
        <v>49</v>
      </c>
      <c r="D276" t="s">
        <v>36</v>
      </c>
      <c r="E276" t="s">
        <v>29</v>
      </c>
      <c r="F276" t="s">
        <v>30</v>
      </c>
      <c r="G276" t="s">
        <v>62</v>
      </c>
      <c r="H276" t="s">
        <v>51</v>
      </c>
      <c r="I276" s="9">
        <v>150000</v>
      </c>
      <c r="J276">
        <v>2</v>
      </c>
      <c r="K276" t="s">
        <v>47</v>
      </c>
      <c r="L276" s="9">
        <f t="shared" si="4"/>
        <v>120000</v>
      </c>
      <c r="M276" s="9">
        <f>Table1[[#This Row],[Unit Price]]*Table1[[#This Row],[Quantity]]</f>
        <v>300000</v>
      </c>
      <c r="N276" s="9">
        <f>Table1[[#This Row],[Cost Price]]*Table1[[#This Row],[Quantity]]</f>
        <v>240000</v>
      </c>
      <c r="O276" s="9">
        <f>Table1[[#This Row],[Revenue]]-Table1[[#This Row],[COGS]]</f>
        <v>60000</v>
      </c>
      <c r="P276" s="6">
        <v>275</v>
      </c>
    </row>
    <row r="277" spans="1:16">
      <c r="A277" s="7" t="s">
        <v>43</v>
      </c>
      <c r="B277" s="7" t="str">
        <f>TEXT(Table1[[#This Row],[Date]],"MMM")</f>
        <v>Apr</v>
      </c>
      <c r="C277" t="s">
        <v>35</v>
      </c>
      <c r="D277" t="s">
        <v>36</v>
      </c>
      <c r="E277" t="s">
        <v>41</v>
      </c>
      <c r="F277" t="s">
        <v>37</v>
      </c>
      <c r="G277" t="s">
        <v>38</v>
      </c>
      <c r="H277" t="s">
        <v>39</v>
      </c>
      <c r="I277" s="9">
        <v>30000</v>
      </c>
      <c r="J277">
        <v>9</v>
      </c>
      <c r="K277" t="s">
        <v>69</v>
      </c>
      <c r="L277" s="9">
        <f t="shared" si="4"/>
        <v>24000</v>
      </c>
      <c r="M277" s="9">
        <f>Table1[[#This Row],[Unit Price]]*Table1[[#This Row],[Quantity]]</f>
        <v>270000</v>
      </c>
      <c r="N277" s="9">
        <f>Table1[[#This Row],[Cost Price]]*Table1[[#This Row],[Quantity]]</f>
        <v>216000</v>
      </c>
      <c r="O277" s="9">
        <f>Table1[[#This Row],[Revenue]]-Table1[[#This Row],[COGS]]</f>
        <v>54000</v>
      </c>
      <c r="P277" s="6">
        <v>276</v>
      </c>
    </row>
    <row r="278" spans="1:16">
      <c r="A278" s="7" t="s">
        <v>79</v>
      </c>
      <c r="B278" s="7" t="str">
        <f>TEXT(Table1[[#This Row],[Date]],"MMM")</f>
        <v>Feb</v>
      </c>
      <c r="C278" t="s">
        <v>27</v>
      </c>
      <c r="D278" t="s">
        <v>36</v>
      </c>
      <c r="E278" t="s">
        <v>29</v>
      </c>
      <c r="F278" t="s">
        <v>30</v>
      </c>
      <c r="G278" t="s">
        <v>31</v>
      </c>
      <c r="H278" t="s">
        <v>32</v>
      </c>
      <c r="I278" s="9">
        <v>85000</v>
      </c>
      <c r="J278">
        <v>7</v>
      </c>
      <c r="K278" t="s">
        <v>58</v>
      </c>
      <c r="L278" s="9">
        <f t="shared" si="4"/>
        <v>68000</v>
      </c>
      <c r="M278" s="9">
        <f>Table1[[#This Row],[Unit Price]]*Table1[[#This Row],[Quantity]]</f>
        <v>595000</v>
      </c>
      <c r="N278" s="9">
        <f>Table1[[#This Row],[Cost Price]]*Table1[[#This Row],[Quantity]]</f>
        <v>476000</v>
      </c>
      <c r="O278" s="9">
        <f>Table1[[#This Row],[Revenue]]-Table1[[#This Row],[COGS]]</f>
        <v>119000</v>
      </c>
      <c r="P278" s="6">
        <v>277</v>
      </c>
    </row>
    <row r="279" spans="1:16">
      <c r="A279" s="7" t="s">
        <v>159</v>
      </c>
      <c r="B279" s="7" t="str">
        <f>TEXT(Table1[[#This Row],[Date]],"MMM")</f>
        <v>Feb</v>
      </c>
      <c r="C279" t="s">
        <v>49</v>
      </c>
      <c r="D279" t="s">
        <v>28</v>
      </c>
      <c r="E279" t="s">
        <v>41</v>
      </c>
      <c r="F279" t="s">
        <v>30</v>
      </c>
      <c r="G279" t="s">
        <v>62</v>
      </c>
      <c r="H279" t="s">
        <v>51</v>
      </c>
      <c r="I279" s="9">
        <v>150000</v>
      </c>
      <c r="J279">
        <v>5</v>
      </c>
      <c r="K279" t="s">
        <v>42</v>
      </c>
      <c r="L279" s="9">
        <f t="shared" si="4"/>
        <v>120000</v>
      </c>
      <c r="M279" s="9">
        <f>Table1[[#This Row],[Unit Price]]*Table1[[#This Row],[Quantity]]</f>
        <v>750000</v>
      </c>
      <c r="N279" s="9">
        <f>Table1[[#This Row],[Cost Price]]*Table1[[#This Row],[Quantity]]</f>
        <v>600000</v>
      </c>
      <c r="O279" s="9">
        <f>Table1[[#This Row],[Revenue]]-Table1[[#This Row],[COGS]]</f>
        <v>150000</v>
      </c>
      <c r="P279" s="6">
        <v>278</v>
      </c>
    </row>
    <row r="280" spans="1:16">
      <c r="A280" s="7" t="s">
        <v>84</v>
      </c>
      <c r="B280" s="7" t="str">
        <f>TEXT(Table1[[#This Row],[Date]],"MMM")</f>
        <v>Jan</v>
      </c>
      <c r="C280" t="s">
        <v>27</v>
      </c>
      <c r="D280" t="s">
        <v>45</v>
      </c>
      <c r="E280" t="s">
        <v>29</v>
      </c>
      <c r="F280" t="s">
        <v>37</v>
      </c>
      <c r="G280" t="s">
        <v>56</v>
      </c>
      <c r="H280" t="s">
        <v>32</v>
      </c>
      <c r="I280" s="9">
        <v>320000</v>
      </c>
      <c r="J280">
        <v>9</v>
      </c>
      <c r="K280" t="s">
        <v>33</v>
      </c>
      <c r="L280" s="9">
        <f t="shared" si="4"/>
        <v>256000</v>
      </c>
      <c r="M280" s="9">
        <f>Table1[[#This Row],[Unit Price]]*Table1[[#This Row],[Quantity]]</f>
        <v>2880000</v>
      </c>
      <c r="N280" s="9">
        <f>Table1[[#This Row],[Cost Price]]*Table1[[#This Row],[Quantity]]</f>
        <v>2304000</v>
      </c>
      <c r="O280" s="9">
        <f>Table1[[#This Row],[Revenue]]-Table1[[#This Row],[COGS]]</f>
        <v>576000</v>
      </c>
      <c r="P280" s="6">
        <v>279</v>
      </c>
    </row>
    <row r="281" spans="1:16">
      <c r="A281" s="7" t="s">
        <v>120</v>
      </c>
      <c r="B281" s="7" t="str">
        <f>TEXT(Table1[[#This Row],[Date]],"MMM")</f>
        <v>Mar</v>
      </c>
      <c r="C281" t="s">
        <v>49</v>
      </c>
      <c r="D281" t="s">
        <v>36</v>
      </c>
      <c r="E281" t="s">
        <v>29</v>
      </c>
      <c r="F281" t="s">
        <v>30</v>
      </c>
      <c r="G281" t="s">
        <v>56</v>
      </c>
      <c r="H281" t="s">
        <v>32</v>
      </c>
      <c r="I281" s="9">
        <v>320000</v>
      </c>
      <c r="J281">
        <v>10</v>
      </c>
      <c r="K281" t="s">
        <v>58</v>
      </c>
      <c r="L281" s="9">
        <f t="shared" si="4"/>
        <v>256000</v>
      </c>
      <c r="M281" s="9">
        <f>Table1[[#This Row],[Unit Price]]*Table1[[#This Row],[Quantity]]</f>
        <v>3200000</v>
      </c>
      <c r="N281" s="9">
        <f>Table1[[#This Row],[Cost Price]]*Table1[[#This Row],[Quantity]]</f>
        <v>2560000</v>
      </c>
      <c r="O281" s="9">
        <f>Table1[[#This Row],[Revenue]]-Table1[[#This Row],[COGS]]</f>
        <v>640000</v>
      </c>
      <c r="P281" s="6">
        <v>280</v>
      </c>
    </row>
    <row r="282" spans="1:16">
      <c r="A282" s="7" t="s">
        <v>94</v>
      </c>
      <c r="B282" s="7" t="str">
        <f>TEXT(Table1[[#This Row],[Date]],"MMM")</f>
        <v>Jan</v>
      </c>
      <c r="C282" t="s">
        <v>49</v>
      </c>
      <c r="D282" t="s">
        <v>45</v>
      </c>
      <c r="E282" t="s">
        <v>41</v>
      </c>
      <c r="F282" t="s">
        <v>30</v>
      </c>
      <c r="G282" t="s">
        <v>31</v>
      </c>
      <c r="H282" t="s">
        <v>32</v>
      </c>
      <c r="I282" s="9">
        <v>85000</v>
      </c>
      <c r="J282">
        <v>7</v>
      </c>
      <c r="K282" t="s">
        <v>58</v>
      </c>
      <c r="L282" s="9">
        <f t="shared" si="4"/>
        <v>68000</v>
      </c>
      <c r="M282" s="9">
        <f>Table1[[#This Row],[Unit Price]]*Table1[[#This Row],[Quantity]]</f>
        <v>595000</v>
      </c>
      <c r="N282" s="9">
        <f>Table1[[#This Row],[Cost Price]]*Table1[[#This Row],[Quantity]]</f>
        <v>476000</v>
      </c>
      <c r="O282" s="9">
        <f>Table1[[#This Row],[Revenue]]-Table1[[#This Row],[COGS]]</f>
        <v>119000</v>
      </c>
      <c r="P282" s="6">
        <v>281</v>
      </c>
    </row>
    <row r="283" spans="1:16">
      <c r="A283" s="7" t="s">
        <v>113</v>
      </c>
      <c r="B283" s="7" t="str">
        <f>TEXT(Table1[[#This Row],[Date]],"MMM")</f>
        <v>Apr</v>
      </c>
      <c r="C283" t="s">
        <v>44</v>
      </c>
      <c r="D283" t="s">
        <v>45</v>
      </c>
      <c r="E283" t="s">
        <v>29</v>
      </c>
      <c r="F283" t="s">
        <v>30</v>
      </c>
      <c r="G283" t="s">
        <v>46</v>
      </c>
      <c r="H283" t="s">
        <v>39</v>
      </c>
      <c r="I283" s="9">
        <v>60000</v>
      </c>
      <c r="J283">
        <v>4</v>
      </c>
      <c r="K283" t="s">
        <v>58</v>
      </c>
      <c r="L283" s="9">
        <f t="shared" si="4"/>
        <v>48000</v>
      </c>
      <c r="M283" s="9">
        <f>Table1[[#This Row],[Unit Price]]*Table1[[#This Row],[Quantity]]</f>
        <v>240000</v>
      </c>
      <c r="N283" s="9">
        <f>Table1[[#This Row],[Cost Price]]*Table1[[#This Row],[Quantity]]</f>
        <v>192000</v>
      </c>
      <c r="O283" s="9">
        <f>Table1[[#This Row],[Revenue]]-Table1[[#This Row],[COGS]]</f>
        <v>48000</v>
      </c>
      <c r="P283" s="6">
        <v>282</v>
      </c>
    </row>
    <row r="284" spans="1:16">
      <c r="A284" s="7" t="s">
        <v>77</v>
      </c>
      <c r="B284" s="7" t="str">
        <f>TEXT(Table1[[#This Row],[Date]],"MMM")</f>
        <v>Apr</v>
      </c>
      <c r="C284" t="s">
        <v>35</v>
      </c>
      <c r="D284" t="s">
        <v>45</v>
      </c>
      <c r="E284" t="s">
        <v>29</v>
      </c>
      <c r="F284" t="s">
        <v>37</v>
      </c>
      <c r="G284" t="s">
        <v>46</v>
      </c>
      <c r="H284" t="s">
        <v>39</v>
      </c>
      <c r="I284" s="9">
        <v>60000</v>
      </c>
      <c r="J284">
        <v>7</v>
      </c>
      <c r="K284" t="s">
        <v>42</v>
      </c>
      <c r="L284" s="9">
        <f t="shared" si="4"/>
        <v>48000</v>
      </c>
      <c r="M284" s="9">
        <f>Table1[[#This Row],[Unit Price]]*Table1[[#This Row],[Quantity]]</f>
        <v>420000</v>
      </c>
      <c r="N284" s="9">
        <f>Table1[[#This Row],[Cost Price]]*Table1[[#This Row],[Quantity]]</f>
        <v>336000</v>
      </c>
      <c r="O284" s="9">
        <f>Table1[[#This Row],[Revenue]]-Table1[[#This Row],[COGS]]</f>
        <v>84000</v>
      </c>
      <c r="P284" s="6">
        <v>283</v>
      </c>
    </row>
    <row r="285" spans="1:16">
      <c r="A285" s="7" t="s">
        <v>162</v>
      </c>
      <c r="B285" s="7" t="str">
        <f>TEXT(Table1[[#This Row],[Date]],"MMM")</f>
        <v>Apr</v>
      </c>
      <c r="C285" t="s">
        <v>44</v>
      </c>
      <c r="D285" t="s">
        <v>36</v>
      </c>
      <c r="E285" t="s">
        <v>41</v>
      </c>
      <c r="F285" t="s">
        <v>30</v>
      </c>
      <c r="G285" t="s">
        <v>62</v>
      </c>
      <c r="H285" t="s">
        <v>51</v>
      </c>
      <c r="I285" s="9">
        <v>150000</v>
      </c>
      <c r="J285">
        <v>7</v>
      </c>
      <c r="K285" t="s">
        <v>69</v>
      </c>
      <c r="L285" s="9">
        <f t="shared" si="4"/>
        <v>120000</v>
      </c>
      <c r="M285" s="9">
        <f>Table1[[#This Row],[Unit Price]]*Table1[[#This Row],[Quantity]]</f>
        <v>1050000</v>
      </c>
      <c r="N285" s="9">
        <f>Table1[[#This Row],[Cost Price]]*Table1[[#This Row],[Quantity]]</f>
        <v>840000</v>
      </c>
      <c r="O285" s="9">
        <f>Table1[[#This Row],[Revenue]]-Table1[[#This Row],[COGS]]</f>
        <v>210000</v>
      </c>
      <c r="P285" s="6">
        <v>284</v>
      </c>
    </row>
    <row r="286" spans="1:16">
      <c r="A286" s="7" t="s">
        <v>163</v>
      </c>
      <c r="B286" s="7" t="str">
        <f>TEXT(Table1[[#This Row],[Date]],"MMM")</f>
        <v>Apr</v>
      </c>
      <c r="C286" t="s">
        <v>27</v>
      </c>
      <c r="D286" t="s">
        <v>36</v>
      </c>
      <c r="E286" t="s">
        <v>29</v>
      </c>
      <c r="F286" t="s">
        <v>30</v>
      </c>
      <c r="G286" t="s">
        <v>31</v>
      </c>
      <c r="H286" t="s">
        <v>32</v>
      </c>
      <c r="I286" s="9">
        <v>85000</v>
      </c>
      <c r="J286">
        <v>3</v>
      </c>
      <c r="K286" t="s">
        <v>42</v>
      </c>
      <c r="L286" s="9">
        <f t="shared" si="4"/>
        <v>68000</v>
      </c>
      <c r="M286" s="9">
        <f>Table1[[#This Row],[Unit Price]]*Table1[[#This Row],[Quantity]]</f>
        <v>255000</v>
      </c>
      <c r="N286" s="9">
        <f>Table1[[#This Row],[Cost Price]]*Table1[[#This Row],[Quantity]]</f>
        <v>204000</v>
      </c>
      <c r="O286" s="9">
        <f>Table1[[#This Row],[Revenue]]-Table1[[#This Row],[COGS]]</f>
        <v>51000</v>
      </c>
      <c r="P286" s="6">
        <v>285</v>
      </c>
    </row>
    <row r="287" spans="1:16">
      <c r="A287" s="7" t="s">
        <v>102</v>
      </c>
      <c r="B287" s="7" t="str">
        <f>TEXT(Table1[[#This Row],[Date]],"MMM")</f>
        <v>Mar</v>
      </c>
      <c r="C287" t="s">
        <v>44</v>
      </c>
      <c r="D287" t="s">
        <v>53</v>
      </c>
      <c r="E287" t="s">
        <v>29</v>
      </c>
      <c r="F287" t="s">
        <v>30</v>
      </c>
      <c r="G287" t="s">
        <v>31</v>
      </c>
      <c r="H287" t="s">
        <v>32</v>
      </c>
      <c r="I287" s="9">
        <v>85000</v>
      </c>
      <c r="J287">
        <v>10</v>
      </c>
      <c r="K287" t="s">
        <v>47</v>
      </c>
      <c r="L287" s="9">
        <f t="shared" si="4"/>
        <v>68000</v>
      </c>
      <c r="M287" s="9">
        <f>Table1[[#This Row],[Unit Price]]*Table1[[#This Row],[Quantity]]</f>
        <v>850000</v>
      </c>
      <c r="N287" s="9">
        <f>Table1[[#This Row],[Cost Price]]*Table1[[#This Row],[Quantity]]</f>
        <v>680000</v>
      </c>
      <c r="O287" s="9">
        <f>Table1[[#This Row],[Revenue]]-Table1[[#This Row],[COGS]]</f>
        <v>170000</v>
      </c>
      <c r="P287" s="6">
        <v>286</v>
      </c>
    </row>
    <row r="288" spans="1:16">
      <c r="A288" s="7" t="s">
        <v>163</v>
      </c>
      <c r="B288" s="7" t="str">
        <f>TEXT(Table1[[#This Row],[Date]],"MMM")</f>
        <v>Apr</v>
      </c>
      <c r="C288" t="s">
        <v>35</v>
      </c>
      <c r="D288" t="s">
        <v>36</v>
      </c>
      <c r="E288" t="s">
        <v>41</v>
      </c>
      <c r="F288" t="s">
        <v>37</v>
      </c>
      <c r="G288" t="s">
        <v>50</v>
      </c>
      <c r="H288" t="s">
        <v>51</v>
      </c>
      <c r="I288" s="9">
        <v>300000</v>
      </c>
      <c r="J288">
        <v>10</v>
      </c>
      <c r="K288" t="s">
        <v>42</v>
      </c>
      <c r="L288" s="9">
        <f t="shared" si="4"/>
        <v>240000</v>
      </c>
      <c r="M288" s="9">
        <f>Table1[[#This Row],[Unit Price]]*Table1[[#This Row],[Quantity]]</f>
        <v>3000000</v>
      </c>
      <c r="N288" s="9">
        <f>Table1[[#This Row],[Cost Price]]*Table1[[#This Row],[Quantity]]</f>
        <v>2400000</v>
      </c>
      <c r="O288" s="9">
        <f>Table1[[#This Row],[Revenue]]-Table1[[#This Row],[COGS]]</f>
        <v>600000</v>
      </c>
      <c r="P288" s="6">
        <v>287</v>
      </c>
    </row>
    <row r="289" spans="1:16">
      <c r="A289" s="7" t="s">
        <v>122</v>
      </c>
      <c r="B289" s="7" t="str">
        <f>TEXT(Table1[[#This Row],[Date]],"MMM")</f>
        <v>Mar</v>
      </c>
      <c r="C289" t="s">
        <v>44</v>
      </c>
      <c r="D289" t="s">
        <v>53</v>
      </c>
      <c r="E289" t="s">
        <v>29</v>
      </c>
      <c r="F289" t="s">
        <v>37</v>
      </c>
      <c r="G289" t="s">
        <v>46</v>
      </c>
      <c r="H289" t="s">
        <v>39</v>
      </c>
      <c r="I289" s="9">
        <v>60000</v>
      </c>
      <c r="J289">
        <v>3</v>
      </c>
      <c r="K289" t="s">
        <v>33</v>
      </c>
      <c r="L289" s="9">
        <f t="shared" si="4"/>
        <v>48000</v>
      </c>
      <c r="M289" s="9">
        <f>Table1[[#This Row],[Unit Price]]*Table1[[#This Row],[Quantity]]</f>
        <v>180000</v>
      </c>
      <c r="N289" s="9">
        <f>Table1[[#This Row],[Cost Price]]*Table1[[#This Row],[Quantity]]</f>
        <v>144000</v>
      </c>
      <c r="O289" s="9">
        <f>Table1[[#This Row],[Revenue]]-Table1[[#This Row],[COGS]]</f>
        <v>36000</v>
      </c>
      <c r="P289" s="6">
        <v>288</v>
      </c>
    </row>
    <row r="290" spans="1:16">
      <c r="A290" s="7" t="s">
        <v>40</v>
      </c>
      <c r="B290" s="7" t="str">
        <f>TEXT(Table1[[#This Row],[Date]],"MMM")</f>
        <v>Feb</v>
      </c>
      <c r="C290" t="s">
        <v>35</v>
      </c>
      <c r="D290" t="s">
        <v>28</v>
      </c>
      <c r="E290" t="s">
        <v>41</v>
      </c>
      <c r="F290" t="s">
        <v>30</v>
      </c>
      <c r="G290" t="s">
        <v>46</v>
      </c>
      <c r="H290" t="s">
        <v>39</v>
      </c>
      <c r="I290" s="9">
        <v>60000</v>
      </c>
      <c r="J290">
        <v>3</v>
      </c>
      <c r="K290" t="s">
        <v>42</v>
      </c>
      <c r="L290" s="9">
        <f t="shared" si="4"/>
        <v>48000</v>
      </c>
      <c r="M290" s="9">
        <f>Table1[[#This Row],[Unit Price]]*Table1[[#This Row],[Quantity]]</f>
        <v>180000</v>
      </c>
      <c r="N290" s="9">
        <f>Table1[[#This Row],[Cost Price]]*Table1[[#This Row],[Quantity]]</f>
        <v>144000</v>
      </c>
      <c r="O290" s="9">
        <f>Table1[[#This Row],[Revenue]]-Table1[[#This Row],[COGS]]</f>
        <v>36000</v>
      </c>
      <c r="P290" s="6">
        <v>289</v>
      </c>
    </row>
    <row r="291" spans="1:16">
      <c r="A291" s="7" t="s">
        <v>63</v>
      </c>
      <c r="B291" s="7" t="str">
        <f>TEXT(Table1[[#This Row],[Date]],"MMM")</f>
        <v>Jan</v>
      </c>
      <c r="C291" t="s">
        <v>27</v>
      </c>
      <c r="D291" t="s">
        <v>36</v>
      </c>
      <c r="E291" t="s">
        <v>29</v>
      </c>
      <c r="F291" t="s">
        <v>30</v>
      </c>
      <c r="G291" t="s">
        <v>31</v>
      </c>
      <c r="H291" t="s">
        <v>32</v>
      </c>
      <c r="I291" s="9">
        <v>85000</v>
      </c>
      <c r="J291">
        <v>6</v>
      </c>
      <c r="K291" t="s">
        <v>42</v>
      </c>
      <c r="L291" s="9">
        <f t="shared" si="4"/>
        <v>68000</v>
      </c>
      <c r="M291" s="9">
        <f>Table1[[#This Row],[Unit Price]]*Table1[[#This Row],[Quantity]]</f>
        <v>510000</v>
      </c>
      <c r="N291" s="9">
        <f>Table1[[#This Row],[Cost Price]]*Table1[[#This Row],[Quantity]]</f>
        <v>408000</v>
      </c>
      <c r="O291" s="9">
        <f>Table1[[#This Row],[Revenue]]-Table1[[#This Row],[COGS]]</f>
        <v>102000</v>
      </c>
      <c r="P291" s="6">
        <v>290</v>
      </c>
    </row>
    <row r="292" spans="1:16">
      <c r="A292" s="7" t="s">
        <v>155</v>
      </c>
      <c r="B292" s="7" t="str">
        <f>TEXT(Table1[[#This Row],[Date]],"MMM")</f>
        <v>Apr</v>
      </c>
      <c r="C292" t="s">
        <v>35</v>
      </c>
      <c r="D292" t="s">
        <v>45</v>
      </c>
      <c r="E292" t="s">
        <v>41</v>
      </c>
      <c r="F292" t="s">
        <v>37</v>
      </c>
      <c r="G292" t="s">
        <v>67</v>
      </c>
      <c r="H292" t="s">
        <v>51</v>
      </c>
      <c r="I292" s="9">
        <v>420000</v>
      </c>
      <c r="J292">
        <v>2</v>
      </c>
      <c r="K292" t="s">
        <v>65</v>
      </c>
      <c r="L292" s="9">
        <f t="shared" si="4"/>
        <v>336000</v>
      </c>
      <c r="M292" s="9">
        <f>Table1[[#This Row],[Unit Price]]*Table1[[#This Row],[Quantity]]</f>
        <v>840000</v>
      </c>
      <c r="N292" s="9">
        <f>Table1[[#This Row],[Cost Price]]*Table1[[#This Row],[Quantity]]</f>
        <v>672000</v>
      </c>
      <c r="O292" s="9">
        <f>Table1[[#This Row],[Revenue]]-Table1[[#This Row],[COGS]]</f>
        <v>168000</v>
      </c>
      <c r="P292" s="6">
        <v>291</v>
      </c>
    </row>
    <row r="293" spans="1:16">
      <c r="A293" s="7" t="s">
        <v>154</v>
      </c>
      <c r="B293" s="7" t="str">
        <f>TEXT(Table1[[#This Row],[Date]],"MMM")</f>
        <v>Feb</v>
      </c>
      <c r="C293" t="s">
        <v>49</v>
      </c>
      <c r="D293" t="s">
        <v>53</v>
      </c>
      <c r="E293" t="s">
        <v>29</v>
      </c>
      <c r="F293" t="s">
        <v>37</v>
      </c>
      <c r="G293" t="s">
        <v>71</v>
      </c>
      <c r="H293" t="s">
        <v>51</v>
      </c>
      <c r="I293" s="9">
        <v>250000</v>
      </c>
      <c r="J293">
        <v>6</v>
      </c>
      <c r="K293" t="s">
        <v>69</v>
      </c>
      <c r="L293" s="9">
        <f t="shared" si="4"/>
        <v>200000</v>
      </c>
      <c r="M293" s="9">
        <f>Table1[[#This Row],[Unit Price]]*Table1[[#This Row],[Quantity]]</f>
        <v>1500000</v>
      </c>
      <c r="N293" s="9">
        <f>Table1[[#This Row],[Cost Price]]*Table1[[#This Row],[Quantity]]</f>
        <v>1200000</v>
      </c>
      <c r="O293" s="9">
        <f>Table1[[#This Row],[Revenue]]-Table1[[#This Row],[COGS]]</f>
        <v>300000</v>
      </c>
      <c r="P293" s="6">
        <v>292</v>
      </c>
    </row>
    <row r="294" spans="1:16">
      <c r="A294" s="7" t="s">
        <v>153</v>
      </c>
      <c r="B294" s="7" t="str">
        <f>TEXT(Table1[[#This Row],[Date]],"MMM")</f>
        <v>Mar</v>
      </c>
      <c r="C294" t="s">
        <v>49</v>
      </c>
      <c r="D294" t="s">
        <v>28</v>
      </c>
      <c r="E294" t="s">
        <v>29</v>
      </c>
      <c r="F294" t="s">
        <v>30</v>
      </c>
      <c r="G294" t="s">
        <v>62</v>
      </c>
      <c r="H294" t="s">
        <v>51</v>
      </c>
      <c r="I294" s="9">
        <v>150000</v>
      </c>
      <c r="J294">
        <v>8</v>
      </c>
      <c r="K294" t="s">
        <v>42</v>
      </c>
      <c r="L294" s="9">
        <f t="shared" si="4"/>
        <v>120000</v>
      </c>
      <c r="M294" s="9">
        <f>Table1[[#This Row],[Unit Price]]*Table1[[#This Row],[Quantity]]</f>
        <v>1200000</v>
      </c>
      <c r="N294" s="9">
        <f>Table1[[#This Row],[Cost Price]]*Table1[[#This Row],[Quantity]]</f>
        <v>960000</v>
      </c>
      <c r="O294" s="9">
        <f>Table1[[#This Row],[Revenue]]-Table1[[#This Row],[COGS]]</f>
        <v>240000</v>
      </c>
      <c r="P294" s="6">
        <v>293</v>
      </c>
    </row>
    <row r="295" spans="1:16">
      <c r="A295" s="7" t="s">
        <v>123</v>
      </c>
      <c r="B295" s="7" t="str">
        <f>TEXT(Table1[[#This Row],[Date]],"MMM")</f>
        <v>Apr</v>
      </c>
      <c r="C295" t="s">
        <v>35</v>
      </c>
      <c r="D295" t="s">
        <v>45</v>
      </c>
      <c r="E295" t="s">
        <v>41</v>
      </c>
      <c r="F295" t="s">
        <v>30</v>
      </c>
      <c r="G295" t="s">
        <v>62</v>
      </c>
      <c r="H295" t="s">
        <v>51</v>
      </c>
      <c r="I295" s="9">
        <v>150000</v>
      </c>
      <c r="J295">
        <v>10</v>
      </c>
      <c r="K295" t="s">
        <v>42</v>
      </c>
      <c r="L295" s="9">
        <f t="shared" si="4"/>
        <v>120000</v>
      </c>
      <c r="M295" s="9">
        <f>Table1[[#This Row],[Unit Price]]*Table1[[#This Row],[Quantity]]</f>
        <v>1500000</v>
      </c>
      <c r="N295" s="9">
        <f>Table1[[#This Row],[Cost Price]]*Table1[[#This Row],[Quantity]]</f>
        <v>1200000</v>
      </c>
      <c r="O295" s="9">
        <f>Table1[[#This Row],[Revenue]]-Table1[[#This Row],[COGS]]</f>
        <v>300000</v>
      </c>
      <c r="P295" s="6">
        <v>294</v>
      </c>
    </row>
    <row r="296" spans="1:16">
      <c r="A296" s="7" t="s">
        <v>163</v>
      </c>
      <c r="B296" s="7" t="str">
        <f>TEXT(Table1[[#This Row],[Date]],"MMM")</f>
        <v>Apr</v>
      </c>
      <c r="C296" t="s">
        <v>35</v>
      </c>
      <c r="D296" t="s">
        <v>45</v>
      </c>
      <c r="E296" t="s">
        <v>29</v>
      </c>
      <c r="F296" t="s">
        <v>30</v>
      </c>
      <c r="G296" t="s">
        <v>71</v>
      </c>
      <c r="H296" t="s">
        <v>51</v>
      </c>
      <c r="I296" s="9">
        <v>250000</v>
      </c>
      <c r="J296">
        <v>5</v>
      </c>
      <c r="K296" t="s">
        <v>69</v>
      </c>
      <c r="L296" s="9">
        <f t="shared" si="4"/>
        <v>200000</v>
      </c>
      <c r="M296" s="9">
        <f>Table1[[#This Row],[Unit Price]]*Table1[[#This Row],[Quantity]]</f>
        <v>1250000</v>
      </c>
      <c r="N296" s="9">
        <f>Table1[[#This Row],[Cost Price]]*Table1[[#This Row],[Quantity]]</f>
        <v>1000000</v>
      </c>
      <c r="O296" s="9">
        <f>Table1[[#This Row],[Revenue]]-Table1[[#This Row],[COGS]]</f>
        <v>250000</v>
      </c>
      <c r="P296" s="6">
        <v>295</v>
      </c>
    </row>
    <row r="297" spans="1:16">
      <c r="A297" s="7" t="s">
        <v>119</v>
      </c>
      <c r="B297" s="7" t="str">
        <f>TEXT(Table1[[#This Row],[Date]],"MMM")</f>
        <v>Feb</v>
      </c>
      <c r="C297" t="s">
        <v>27</v>
      </c>
      <c r="D297" t="s">
        <v>45</v>
      </c>
      <c r="E297" t="s">
        <v>29</v>
      </c>
      <c r="F297" t="s">
        <v>37</v>
      </c>
      <c r="G297" t="s">
        <v>56</v>
      </c>
      <c r="H297" t="s">
        <v>32</v>
      </c>
      <c r="I297" s="9">
        <v>320000</v>
      </c>
      <c r="J297">
        <v>9</v>
      </c>
      <c r="K297" t="s">
        <v>33</v>
      </c>
      <c r="L297" s="9">
        <f t="shared" si="4"/>
        <v>256000</v>
      </c>
      <c r="M297" s="9">
        <f>Table1[[#This Row],[Unit Price]]*Table1[[#This Row],[Quantity]]</f>
        <v>2880000</v>
      </c>
      <c r="N297" s="9">
        <f>Table1[[#This Row],[Cost Price]]*Table1[[#This Row],[Quantity]]</f>
        <v>2304000</v>
      </c>
      <c r="O297" s="9">
        <f>Table1[[#This Row],[Revenue]]-Table1[[#This Row],[COGS]]</f>
        <v>576000</v>
      </c>
      <c r="P297" s="6">
        <v>296</v>
      </c>
    </row>
    <row r="298" spans="1:16">
      <c r="A298" s="7" t="s">
        <v>102</v>
      </c>
      <c r="B298" s="7" t="str">
        <f>TEXT(Table1[[#This Row],[Date]],"MMM")</f>
        <v>Mar</v>
      </c>
      <c r="C298" t="s">
        <v>27</v>
      </c>
      <c r="D298" t="s">
        <v>28</v>
      </c>
      <c r="E298" t="s">
        <v>41</v>
      </c>
      <c r="F298" t="s">
        <v>37</v>
      </c>
      <c r="G298" t="s">
        <v>54</v>
      </c>
      <c r="H298" t="s">
        <v>39</v>
      </c>
      <c r="I298" s="9">
        <v>180000</v>
      </c>
      <c r="J298">
        <v>10</v>
      </c>
      <c r="K298" t="s">
        <v>69</v>
      </c>
      <c r="L298" s="9">
        <f t="shared" si="4"/>
        <v>144000</v>
      </c>
      <c r="M298" s="9">
        <f>Table1[[#This Row],[Unit Price]]*Table1[[#This Row],[Quantity]]</f>
        <v>1800000</v>
      </c>
      <c r="N298" s="9">
        <f>Table1[[#This Row],[Cost Price]]*Table1[[#This Row],[Quantity]]</f>
        <v>1440000</v>
      </c>
      <c r="O298" s="9">
        <f>Table1[[#This Row],[Revenue]]-Table1[[#This Row],[COGS]]</f>
        <v>360000</v>
      </c>
      <c r="P298" s="6">
        <v>297</v>
      </c>
    </row>
    <row r="299" spans="1:16">
      <c r="A299" s="7" t="s">
        <v>144</v>
      </c>
      <c r="B299" s="7" t="str">
        <f>TEXT(Table1[[#This Row],[Date]],"MMM")</f>
        <v>Feb</v>
      </c>
      <c r="C299" t="s">
        <v>27</v>
      </c>
      <c r="D299" t="s">
        <v>45</v>
      </c>
      <c r="E299" t="s">
        <v>41</v>
      </c>
      <c r="F299" t="s">
        <v>37</v>
      </c>
      <c r="G299" t="s">
        <v>46</v>
      </c>
      <c r="H299" t="s">
        <v>39</v>
      </c>
      <c r="I299" s="9">
        <v>60000</v>
      </c>
      <c r="J299">
        <v>6</v>
      </c>
      <c r="K299" t="s">
        <v>65</v>
      </c>
      <c r="L299" s="9">
        <f t="shared" si="4"/>
        <v>48000</v>
      </c>
      <c r="M299" s="9">
        <f>Table1[[#This Row],[Unit Price]]*Table1[[#This Row],[Quantity]]</f>
        <v>360000</v>
      </c>
      <c r="N299" s="9">
        <f>Table1[[#This Row],[Cost Price]]*Table1[[#This Row],[Quantity]]</f>
        <v>288000</v>
      </c>
      <c r="O299" s="9">
        <f>Table1[[#This Row],[Revenue]]-Table1[[#This Row],[COGS]]</f>
        <v>72000</v>
      </c>
      <c r="P299" s="6">
        <v>298</v>
      </c>
    </row>
    <row r="300" spans="1:16">
      <c r="A300" s="7" t="s">
        <v>126</v>
      </c>
      <c r="B300" s="7" t="str">
        <f>TEXT(Table1[[#This Row],[Date]],"MMM")</f>
        <v>Jan</v>
      </c>
      <c r="C300" t="s">
        <v>27</v>
      </c>
      <c r="D300" t="s">
        <v>45</v>
      </c>
      <c r="E300" t="s">
        <v>41</v>
      </c>
      <c r="F300" t="s">
        <v>30</v>
      </c>
      <c r="G300" t="s">
        <v>62</v>
      </c>
      <c r="H300" t="s">
        <v>51</v>
      </c>
      <c r="I300" s="9">
        <v>150000</v>
      </c>
      <c r="J300">
        <v>10</v>
      </c>
      <c r="K300" t="s">
        <v>47</v>
      </c>
      <c r="L300" s="9">
        <f t="shared" si="4"/>
        <v>120000</v>
      </c>
      <c r="M300" s="9">
        <f>Table1[[#This Row],[Unit Price]]*Table1[[#This Row],[Quantity]]</f>
        <v>1500000</v>
      </c>
      <c r="N300" s="9">
        <f>Table1[[#This Row],[Cost Price]]*Table1[[#This Row],[Quantity]]</f>
        <v>1200000</v>
      </c>
      <c r="O300" s="9">
        <f>Table1[[#This Row],[Revenue]]-Table1[[#This Row],[COGS]]</f>
        <v>300000</v>
      </c>
      <c r="P300" s="6">
        <v>299</v>
      </c>
    </row>
    <row r="301" spans="1:16">
      <c r="A301" s="7" t="s">
        <v>79</v>
      </c>
      <c r="B301" s="7" t="str">
        <f>TEXT(Table1[[#This Row],[Date]],"MMM")</f>
        <v>Feb</v>
      </c>
      <c r="C301" t="s">
        <v>35</v>
      </c>
      <c r="D301" t="s">
        <v>28</v>
      </c>
      <c r="E301" t="s">
        <v>29</v>
      </c>
      <c r="F301" t="s">
        <v>30</v>
      </c>
      <c r="G301" t="s">
        <v>71</v>
      </c>
      <c r="H301" t="s">
        <v>51</v>
      </c>
      <c r="I301" s="9">
        <v>250000</v>
      </c>
      <c r="J301">
        <v>5</v>
      </c>
      <c r="K301" t="s">
        <v>65</v>
      </c>
      <c r="L301" s="9">
        <f t="shared" si="4"/>
        <v>200000</v>
      </c>
      <c r="M301" s="9">
        <f>Table1[[#This Row],[Unit Price]]*Table1[[#This Row],[Quantity]]</f>
        <v>1250000</v>
      </c>
      <c r="N301" s="9">
        <f>Table1[[#This Row],[Cost Price]]*Table1[[#This Row],[Quantity]]</f>
        <v>1000000</v>
      </c>
      <c r="O301" s="9">
        <f>Table1[[#This Row],[Revenue]]-Table1[[#This Row],[COGS]]</f>
        <v>250000</v>
      </c>
      <c r="P301" s="6">
        <v>300</v>
      </c>
    </row>
    <row r="302" spans="1:16">
      <c r="A302" s="7" t="s">
        <v>134</v>
      </c>
      <c r="B302" s="7" t="str">
        <f>TEXT(Table1[[#This Row],[Date]],"MMM")</f>
        <v>Jan</v>
      </c>
      <c r="C302" t="s">
        <v>27</v>
      </c>
      <c r="D302" t="s">
        <v>45</v>
      </c>
      <c r="E302" t="s">
        <v>29</v>
      </c>
      <c r="F302" t="s">
        <v>30</v>
      </c>
      <c r="G302" t="s">
        <v>54</v>
      </c>
      <c r="H302" t="s">
        <v>39</v>
      </c>
      <c r="I302" s="9">
        <v>180000</v>
      </c>
      <c r="J302">
        <v>3</v>
      </c>
      <c r="K302" t="s">
        <v>33</v>
      </c>
      <c r="L302" s="9">
        <f t="shared" si="4"/>
        <v>144000</v>
      </c>
      <c r="M302" s="9">
        <f>Table1[[#This Row],[Unit Price]]*Table1[[#This Row],[Quantity]]</f>
        <v>540000</v>
      </c>
      <c r="N302" s="9">
        <f>Table1[[#This Row],[Cost Price]]*Table1[[#This Row],[Quantity]]</f>
        <v>432000</v>
      </c>
      <c r="O302" s="9">
        <f>Table1[[#This Row],[Revenue]]-Table1[[#This Row],[COGS]]</f>
        <v>108000</v>
      </c>
      <c r="P302" s="6">
        <v>301</v>
      </c>
    </row>
    <row r="303" spans="1:16">
      <c r="A303" s="7" t="s">
        <v>156</v>
      </c>
      <c r="B303" s="7" t="str">
        <f>TEXT(Table1[[#This Row],[Date]],"MMM")</f>
        <v>Feb</v>
      </c>
      <c r="C303" t="s">
        <v>27</v>
      </c>
      <c r="D303" t="s">
        <v>45</v>
      </c>
      <c r="E303" t="s">
        <v>41</v>
      </c>
      <c r="F303" t="s">
        <v>37</v>
      </c>
      <c r="G303" t="s">
        <v>56</v>
      </c>
      <c r="H303" t="s">
        <v>32</v>
      </c>
      <c r="I303" s="9">
        <v>320000</v>
      </c>
      <c r="J303">
        <v>5</v>
      </c>
      <c r="K303" t="s">
        <v>65</v>
      </c>
      <c r="L303" s="9">
        <f t="shared" si="4"/>
        <v>256000</v>
      </c>
      <c r="M303" s="9">
        <f>Table1[[#This Row],[Unit Price]]*Table1[[#This Row],[Quantity]]</f>
        <v>1600000</v>
      </c>
      <c r="N303" s="9">
        <f>Table1[[#This Row],[Cost Price]]*Table1[[#This Row],[Quantity]]</f>
        <v>1280000</v>
      </c>
      <c r="O303" s="9">
        <f>Table1[[#This Row],[Revenue]]-Table1[[#This Row],[COGS]]</f>
        <v>320000</v>
      </c>
      <c r="P303" s="6">
        <v>302</v>
      </c>
    </row>
    <row r="304" spans="1:16">
      <c r="A304" s="7" t="s">
        <v>107</v>
      </c>
      <c r="B304" s="7" t="str">
        <f>TEXT(Table1[[#This Row],[Date]],"MMM")</f>
        <v>Feb</v>
      </c>
      <c r="C304" t="s">
        <v>44</v>
      </c>
      <c r="D304" t="s">
        <v>28</v>
      </c>
      <c r="E304" t="s">
        <v>29</v>
      </c>
      <c r="F304" t="s">
        <v>37</v>
      </c>
      <c r="G304" t="s">
        <v>56</v>
      </c>
      <c r="H304" t="s">
        <v>32</v>
      </c>
      <c r="I304" s="9">
        <v>320000</v>
      </c>
      <c r="J304">
        <v>10</v>
      </c>
      <c r="K304" t="s">
        <v>42</v>
      </c>
      <c r="L304" s="9">
        <f t="shared" si="4"/>
        <v>256000</v>
      </c>
      <c r="M304" s="9">
        <f>Table1[[#This Row],[Unit Price]]*Table1[[#This Row],[Quantity]]</f>
        <v>3200000</v>
      </c>
      <c r="N304" s="9">
        <f>Table1[[#This Row],[Cost Price]]*Table1[[#This Row],[Quantity]]</f>
        <v>2560000</v>
      </c>
      <c r="O304" s="9">
        <f>Table1[[#This Row],[Revenue]]-Table1[[#This Row],[COGS]]</f>
        <v>640000</v>
      </c>
      <c r="P304" s="6">
        <v>303</v>
      </c>
    </row>
    <row r="305" spans="1:16">
      <c r="A305" s="7" t="s">
        <v>79</v>
      </c>
      <c r="B305" s="7" t="str">
        <f>TEXT(Table1[[#This Row],[Date]],"MMM")</f>
        <v>Feb</v>
      </c>
      <c r="C305" t="s">
        <v>35</v>
      </c>
      <c r="D305" t="s">
        <v>28</v>
      </c>
      <c r="E305" t="s">
        <v>41</v>
      </c>
      <c r="F305" t="s">
        <v>30</v>
      </c>
      <c r="G305" t="s">
        <v>38</v>
      </c>
      <c r="H305" t="s">
        <v>39</v>
      </c>
      <c r="I305" s="9">
        <v>30000</v>
      </c>
      <c r="J305">
        <v>5</v>
      </c>
      <c r="K305" t="s">
        <v>33</v>
      </c>
      <c r="L305" s="9">
        <f t="shared" si="4"/>
        <v>24000</v>
      </c>
      <c r="M305" s="9">
        <f>Table1[[#This Row],[Unit Price]]*Table1[[#This Row],[Quantity]]</f>
        <v>150000</v>
      </c>
      <c r="N305" s="9">
        <f>Table1[[#This Row],[Cost Price]]*Table1[[#This Row],[Quantity]]</f>
        <v>120000</v>
      </c>
      <c r="O305" s="9">
        <f>Table1[[#This Row],[Revenue]]-Table1[[#This Row],[COGS]]</f>
        <v>30000</v>
      </c>
      <c r="P305" s="6">
        <v>304</v>
      </c>
    </row>
    <row r="306" spans="1:16">
      <c r="A306" s="7" t="s">
        <v>111</v>
      </c>
      <c r="B306" s="7" t="str">
        <f>TEXT(Table1[[#This Row],[Date]],"MMM")</f>
        <v>Feb</v>
      </c>
      <c r="C306" t="s">
        <v>49</v>
      </c>
      <c r="D306" t="s">
        <v>28</v>
      </c>
      <c r="E306" t="s">
        <v>41</v>
      </c>
      <c r="F306" t="s">
        <v>37</v>
      </c>
      <c r="G306" t="s">
        <v>67</v>
      </c>
      <c r="H306" t="s">
        <v>51</v>
      </c>
      <c r="I306" s="9">
        <v>420000</v>
      </c>
      <c r="J306">
        <v>3</v>
      </c>
      <c r="K306" t="s">
        <v>33</v>
      </c>
      <c r="L306" s="9">
        <f t="shared" si="4"/>
        <v>336000</v>
      </c>
      <c r="M306" s="9">
        <f>Table1[[#This Row],[Unit Price]]*Table1[[#This Row],[Quantity]]</f>
        <v>1260000</v>
      </c>
      <c r="N306" s="9">
        <f>Table1[[#This Row],[Cost Price]]*Table1[[#This Row],[Quantity]]</f>
        <v>1008000</v>
      </c>
      <c r="O306" s="9">
        <f>Table1[[#This Row],[Revenue]]-Table1[[#This Row],[COGS]]</f>
        <v>252000</v>
      </c>
      <c r="P306" s="6">
        <v>305</v>
      </c>
    </row>
    <row r="307" spans="1:16">
      <c r="A307" s="7" t="s">
        <v>52</v>
      </c>
      <c r="B307" s="7" t="str">
        <f>TEXT(Table1[[#This Row],[Date]],"MMM")</f>
        <v>Mar</v>
      </c>
      <c r="C307" t="s">
        <v>35</v>
      </c>
      <c r="D307" t="s">
        <v>45</v>
      </c>
      <c r="E307" t="s">
        <v>29</v>
      </c>
      <c r="F307" t="s">
        <v>30</v>
      </c>
      <c r="G307" t="s">
        <v>38</v>
      </c>
      <c r="H307" t="s">
        <v>39</v>
      </c>
      <c r="I307" s="9">
        <v>30000</v>
      </c>
      <c r="J307">
        <v>4</v>
      </c>
      <c r="K307" t="s">
        <v>58</v>
      </c>
      <c r="L307" s="9">
        <f t="shared" si="4"/>
        <v>24000</v>
      </c>
      <c r="M307" s="9">
        <f>Table1[[#This Row],[Unit Price]]*Table1[[#This Row],[Quantity]]</f>
        <v>120000</v>
      </c>
      <c r="N307" s="9">
        <f>Table1[[#This Row],[Cost Price]]*Table1[[#This Row],[Quantity]]</f>
        <v>96000</v>
      </c>
      <c r="O307" s="9">
        <f>Table1[[#This Row],[Revenue]]-Table1[[#This Row],[COGS]]</f>
        <v>24000</v>
      </c>
      <c r="P307" s="6">
        <v>306</v>
      </c>
    </row>
    <row r="308" spans="1:16">
      <c r="A308" s="7" t="s">
        <v>162</v>
      </c>
      <c r="B308" s="7" t="str">
        <f>TEXT(Table1[[#This Row],[Date]],"MMM")</f>
        <v>Apr</v>
      </c>
      <c r="C308" t="s">
        <v>35</v>
      </c>
      <c r="D308" t="s">
        <v>28</v>
      </c>
      <c r="E308" t="s">
        <v>29</v>
      </c>
      <c r="F308" t="s">
        <v>30</v>
      </c>
      <c r="G308" t="s">
        <v>54</v>
      </c>
      <c r="H308" t="s">
        <v>39</v>
      </c>
      <c r="I308" s="9">
        <v>180000</v>
      </c>
      <c r="J308">
        <v>4</v>
      </c>
      <c r="K308" t="s">
        <v>33</v>
      </c>
      <c r="L308" s="9">
        <f t="shared" si="4"/>
        <v>144000</v>
      </c>
      <c r="M308" s="9">
        <f>Table1[[#This Row],[Unit Price]]*Table1[[#This Row],[Quantity]]</f>
        <v>720000</v>
      </c>
      <c r="N308" s="9">
        <f>Table1[[#This Row],[Cost Price]]*Table1[[#This Row],[Quantity]]</f>
        <v>576000</v>
      </c>
      <c r="O308" s="9">
        <f>Table1[[#This Row],[Revenue]]-Table1[[#This Row],[COGS]]</f>
        <v>144000</v>
      </c>
      <c r="P308" s="6">
        <v>307</v>
      </c>
    </row>
    <row r="309" spans="1:16">
      <c r="A309" s="7" t="s">
        <v>148</v>
      </c>
      <c r="B309" s="7" t="str">
        <f>TEXT(Table1[[#This Row],[Date]],"MMM")</f>
        <v>Feb</v>
      </c>
      <c r="C309" t="s">
        <v>35</v>
      </c>
      <c r="D309" t="s">
        <v>36</v>
      </c>
      <c r="E309" t="s">
        <v>29</v>
      </c>
      <c r="F309" t="s">
        <v>30</v>
      </c>
      <c r="G309" t="s">
        <v>71</v>
      </c>
      <c r="H309" t="s">
        <v>51</v>
      </c>
      <c r="I309" s="9">
        <v>250000</v>
      </c>
      <c r="J309">
        <v>5</v>
      </c>
      <c r="K309" t="s">
        <v>69</v>
      </c>
      <c r="L309" s="9">
        <f t="shared" si="4"/>
        <v>200000</v>
      </c>
      <c r="M309" s="9">
        <f>Table1[[#This Row],[Unit Price]]*Table1[[#This Row],[Quantity]]</f>
        <v>1250000</v>
      </c>
      <c r="N309" s="9">
        <f>Table1[[#This Row],[Cost Price]]*Table1[[#This Row],[Quantity]]</f>
        <v>1000000</v>
      </c>
      <c r="O309" s="9">
        <f>Table1[[#This Row],[Revenue]]-Table1[[#This Row],[COGS]]</f>
        <v>250000</v>
      </c>
      <c r="P309" s="6">
        <v>308</v>
      </c>
    </row>
    <row r="310" spans="1:16">
      <c r="A310" s="7" t="s">
        <v>164</v>
      </c>
      <c r="B310" s="7" t="str">
        <f>TEXT(Table1[[#This Row],[Date]],"MMM")</f>
        <v>Mar</v>
      </c>
      <c r="C310" t="s">
        <v>27</v>
      </c>
      <c r="D310" t="s">
        <v>53</v>
      </c>
      <c r="E310" t="s">
        <v>41</v>
      </c>
      <c r="F310" t="s">
        <v>37</v>
      </c>
      <c r="G310" t="s">
        <v>54</v>
      </c>
      <c r="H310" t="s">
        <v>39</v>
      </c>
      <c r="I310" s="9">
        <v>180000</v>
      </c>
      <c r="J310">
        <v>3</v>
      </c>
      <c r="K310" t="s">
        <v>58</v>
      </c>
      <c r="L310" s="9">
        <f t="shared" si="4"/>
        <v>144000</v>
      </c>
      <c r="M310" s="9">
        <f>Table1[[#This Row],[Unit Price]]*Table1[[#This Row],[Quantity]]</f>
        <v>540000</v>
      </c>
      <c r="N310" s="9">
        <f>Table1[[#This Row],[Cost Price]]*Table1[[#This Row],[Quantity]]</f>
        <v>432000</v>
      </c>
      <c r="O310" s="9">
        <f>Table1[[#This Row],[Revenue]]-Table1[[#This Row],[COGS]]</f>
        <v>108000</v>
      </c>
      <c r="P310" s="6">
        <v>309</v>
      </c>
    </row>
    <row r="311" spans="1:16">
      <c r="A311" s="7" t="s">
        <v>122</v>
      </c>
      <c r="B311" s="7" t="str">
        <f>TEXT(Table1[[#This Row],[Date]],"MMM")</f>
        <v>Mar</v>
      </c>
      <c r="C311" t="s">
        <v>35</v>
      </c>
      <c r="D311" t="s">
        <v>28</v>
      </c>
      <c r="E311" t="s">
        <v>29</v>
      </c>
      <c r="F311" t="s">
        <v>30</v>
      </c>
      <c r="G311" t="s">
        <v>50</v>
      </c>
      <c r="H311" t="s">
        <v>51</v>
      </c>
      <c r="I311" s="9">
        <v>300000</v>
      </c>
      <c r="J311">
        <v>5</v>
      </c>
      <c r="K311" t="s">
        <v>69</v>
      </c>
      <c r="L311" s="9">
        <f t="shared" si="4"/>
        <v>240000</v>
      </c>
      <c r="M311" s="9">
        <f>Table1[[#This Row],[Unit Price]]*Table1[[#This Row],[Quantity]]</f>
        <v>1500000</v>
      </c>
      <c r="N311" s="9">
        <f>Table1[[#This Row],[Cost Price]]*Table1[[#This Row],[Quantity]]</f>
        <v>1200000</v>
      </c>
      <c r="O311" s="9">
        <f>Table1[[#This Row],[Revenue]]-Table1[[#This Row],[COGS]]</f>
        <v>300000</v>
      </c>
      <c r="P311" s="6">
        <v>310</v>
      </c>
    </row>
    <row r="312" spans="1:16">
      <c r="A312" s="7" t="s">
        <v>26</v>
      </c>
      <c r="B312" s="7" t="str">
        <f>TEXT(Table1[[#This Row],[Date]],"MMM")</f>
        <v>Jan</v>
      </c>
      <c r="C312" t="s">
        <v>27</v>
      </c>
      <c r="D312" t="s">
        <v>45</v>
      </c>
      <c r="E312" t="s">
        <v>29</v>
      </c>
      <c r="F312" t="s">
        <v>37</v>
      </c>
      <c r="G312" t="s">
        <v>31</v>
      </c>
      <c r="H312" t="s">
        <v>32</v>
      </c>
      <c r="I312" s="9">
        <v>85000</v>
      </c>
      <c r="J312">
        <v>8</v>
      </c>
      <c r="K312" t="s">
        <v>58</v>
      </c>
      <c r="L312" s="9">
        <f t="shared" si="4"/>
        <v>68000</v>
      </c>
      <c r="M312" s="9">
        <f>Table1[[#This Row],[Unit Price]]*Table1[[#This Row],[Quantity]]</f>
        <v>680000</v>
      </c>
      <c r="N312" s="9">
        <f>Table1[[#This Row],[Cost Price]]*Table1[[#This Row],[Quantity]]</f>
        <v>544000</v>
      </c>
      <c r="O312" s="9">
        <f>Table1[[#This Row],[Revenue]]-Table1[[#This Row],[COGS]]</f>
        <v>136000</v>
      </c>
      <c r="P312" s="6">
        <v>311</v>
      </c>
    </row>
    <row r="313" spans="1:16">
      <c r="A313" s="7" t="s">
        <v>165</v>
      </c>
      <c r="B313" s="7" t="str">
        <f>TEXT(Table1[[#This Row],[Date]],"MMM")</f>
        <v>Apr</v>
      </c>
      <c r="C313" t="s">
        <v>35</v>
      </c>
      <c r="D313" t="s">
        <v>36</v>
      </c>
      <c r="E313" t="s">
        <v>41</v>
      </c>
      <c r="F313" t="s">
        <v>30</v>
      </c>
      <c r="G313" t="s">
        <v>54</v>
      </c>
      <c r="H313" t="s">
        <v>39</v>
      </c>
      <c r="I313" s="9">
        <v>180000</v>
      </c>
      <c r="J313">
        <v>6</v>
      </c>
      <c r="K313" t="s">
        <v>69</v>
      </c>
      <c r="L313" s="9">
        <f t="shared" si="4"/>
        <v>144000</v>
      </c>
      <c r="M313" s="9">
        <f>Table1[[#This Row],[Unit Price]]*Table1[[#This Row],[Quantity]]</f>
        <v>1080000</v>
      </c>
      <c r="N313" s="9">
        <f>Table1[[#This Row],[Cost Price]]*Table1[[#This Row],[Quantity]]</f>
        <v>864000</v>
      </c>
      <c r="O313" s="9">
        <f>Table1[[#This Row],[Revenue]]-Table1[[#This Row],[COGS]]</f>
        <v>216000</v>
      </c>
      <c r="P313" s="6">
        <v>312</v>
      </c>
    </row>
    <row r="314" spans="1:16">
      <c r="A314" s="7" t="s">
        <v>115</v>
      </c>
      <c r="B314" s="7" t="str">
        <f>TEXT(Table1[[#This Row],[Date]],"MMM")</f>
        <v>Jan</v>
      </c>
      <c r="C314" t="s">
        <v>35</v>
      </c>
      <c r="D314" t="s">
        <v>36</v>
      </c>
      <c r="E314" t="s">
        <v>41</v>
      </c>
      <c r="F314" t="s">
        <v>30</v>
      </c>
      <c r="G314" t="s">
        <v>67</v>
      </c>
      <c r="H314" t="s">
        <v>51</v>
      </c>
      <c r="I314" s="9">
        <v>420000</v>
      </c>
      <c r="J314">
        <v>7</v>
      </c>
      <c r="K314" t="s">
        <v>65</v>
      </c>
      <c r="L314" s="9">
        <f t="shared" si="4"/>
        <v>336000</v>
      </c>
      <c r="M314" s="9">
        <f>Table1[[#This Row],[Unit Price]]*Table1[[#This Row],[Quantity]]</f>
        <v>2940000</v>
      </c>
      <c r="N314" s="9">
        <f>Table1[[#This Row],[Cost Price]]*Table1[[#This Row],[Quantity]]</f>
        <v>2352000</v>
      </c>
      <c r="O314" s="9">
        <f>Table1[[#This Row],[Revenue]]-Table1[[#This Row],[COGS]]</f>
        <v>588000</v>
      </c>
      <c r="P314" s="6">
        <v>313</v>
      </c>
    </row>
    <row r="315" spans="1:16">
      <c r="A315" s="7" t="s">
        <v>120</v>
      </c>
      <c r="B315" s="7" t="str">
        <f>TEXT(Table1[[#This Row],[Date]],"MMM")</f>
        <v>Mar</v>
      </c>
      <c r="C315" t="s">
        <v>44</v>
      </c>
      <c r="D315" t="s">
        <v>45</v>
      </c>
      <c r="E315" t="s">
        <v>41</v>
      </c>
      <c r="F315" t="s">
        <v>30</v>
      </c>
      <c r="G315" t="s">
        <v>62</v>
      </c>
      <c r="H315" t="s">
        <v>51</v>
      </c>
      <c r="I315" s="9">
        <v>150000</v>
      </c>
      <c r="J315">
        <v>8</v>
      </c>
      <c r="K315" t="s">
        <v>33</v>
      </c>
      <c r="L315" s="9">
        <f t="shared" si="4"/>
        <v>120000</v>
      </c>
      <c r="M315" s="9">
        <f>Table1[[#This Row],[Unit Price]]*Table1[[#This Row],[Quantity]]</f>
        <v>1200000</v>
      </c>
      <c r="N315" s="9">
        <f>Table1[[#This Row],[Cost Price]]*Table1[[#This Row],[Quantity]]</f>
        <v>960000</v>
      </c>
      <c r="O315" s="9">
        <f>Table1[[#This Row],[Revenue]]-Table1[[#This Row],[COGS]]</f>
        <v>240000</v>
      </c>
      <c r="P315" s="6">
        <v>314</v>
      </c>
    </row>
    <row r="316" spans="1:16">
      <c r="A316" s="7" t="s">
        <v>149</v>
      </c>
      <c r="B316" s="7" t="str">
        <f>TEXT(Table1[[#This Row],[Date]],"MMM")</f>
        <v>Apr</v>
      </c>
      <c r="C316" t="s">
        <v>35</v>
      </c>
      <c r="D316" t="s">
        <v>45</v>
      </c>
      <c r="E316" t="s">
        <v>29</v>
      </c>
      <c r="F316" t="s">
        <v>30</v>
      </c>
      <c r="G316" t="s">
        <v>31</v>
      </c>
      <c r="H316" t="s">
        <v>32</v>
      </c>
      <c r="I316" s="9">
        <v>85000</v>
      </c>
      <c r="J316">
        <v>6</v>
      </c>
      <c r="K316" t="s">
        <v>65</v>
      </c>
      <c r="L316" s="9">
        <f t="shared" si="4"/>
        <v>68000</v>
      </c>
      <c r="M316" s="9">
        <f>Table1[[#This Row],[Unit Price]]*Table1[[#This Row],[Quantity]]</f>
        <v>510000</v>
      </c>
      <c r="N316" s="9">
        <f>Table1[[#This Row],[Cost Price]]*Table1[[#This Row],[Quantity]]</f>
        <v>408000</v>
      </c>
      <c r="O316" s="9">
        <f>Table1[[#This Row],[Revenue]]-Table1[[#This Row],[COGS]]</f>
        <v>102000</v>
      </c>
      <c r="P316" s="6">
        <v>315</v>
      </c>
    </row>
    <row r="317" spans="1:16">
      <c r="A317" s="7" t="s">
        <v>113</v>
      </c>
      <c r="B317" s="7" t="str">
        <f>TEXT(Table1[[#This Row],[Date]],"MMM")</f>
        <v>Apr</v>
      </c>
      <c r="C317" t="s">
        <v>44</v>
      </c>
      <c r="D317" t="s">
        <v>28</v>
      </c>
      <c r="E317" t="s">
        <v>29</v>
      </c>
      <c r="F317" t="s">
        <v>37</v>
      </c>
      <c r="G317" t="s">
        <v>54</v>
      </c>
      <c r="H317" t="s">
        <v>39</v>
      </c>
      <c r="I317" s="9">
        <v>180000</v>
      </c>
      <c r="J317">
        <v>9</v>
      </c>
      <c r="K317" t="s">
        <v>47</v>
      </c>
      <c r="L317" s="9">
        <f t="shared" si="4"/>
        <v>144000</v>
      </c>
      <c r="M317" s="9">
        <f>Table1[[#This Row],[Unit Price]]*Table1[[#This Row],[Quantity]]</f>
        <v>1620000</v>
      </c>
      <c r="N317" s="9">
        <f>Table1[[#This Row],[Cost Price]]*Table1[[#This Row],[Quantity]]</f>
        <v>1296000</v>
      </c>
      <c r="O317" s="9">
        <f>Table1[[#This Row],[Revenue]]-Table1[[#This Row],[COGS]]</f>
        <v>324000</v>
      </c>
      <c r="P317" s="6">
        <v>316</v>
      </c>
    </row>
    <row r="318" spans="1:16">
      <c r="A318" s="7" t="s">
        <v>153</v>
      </c>
      <c r="B318" s="7" t="str">
        <f>TEXT(Table1[[#This Row],[Date]],"MMM")</f>
        <v>Mar</v>
      </c>
      <c r="C318" t="s">
        <v>27</v>
      </c>
      <c r="D318" t="s">
        <v>45</v>
      </c>
      <c r="E318" t="s">
        <v>41</v>
      </c>
      <c r="F318" t="s">
        <v>30</v>
      </c>
      <c r="G318" t="s">
        <v>71</v>
      </c>
      <c r="H318" t="s">
        <v>51</v>
      </c>
      <c r="I318" s="9">
        <v>250000</v>
      </c>
      <c r="J318">
        <v>5</v>
      </c>
      <c r="K318" t="s">
        <v>65</v>
      </c>
      <c r="L318" s="9">
        <f t="shared" si="4"/>
        <v>200000</v>
      </c>
      <c r="M318" s="9">
        <f>Table1[[#This Row],[Unit Price]]*Table1[[#This Row],[Quantity]]</f>
        <v>1250000</v>
      </c>
      <c r="N318" s="9">
        <f>Table1[[#This Row],[Cost Price]]*Table1[[#This Row],[Quantity]]</f>
        <v>1000000</v>
      </c>
      <c r="O318" s="9">
        <f>Table1[[#This Row],[Revenue]]-Table1[[#This Row],[COGS]]</f>
        <v>250000</v>
      </c>
      <c r="P318" s="6">
        <v>317</v>
      </c>
    </row>
    <row r="319" spans="1:16">
      <c r="A319" s="7" t="s">
        <v>160</v>
      </c>
      <c r="B319" s="7" t="str">
        <f>TEXT(Table1[[#This Row],[Date]],"MMM")</f>
        <v>Jan</v>
      </c>
      <c r="C319" t="s">
        <v>49</v>
      </c>
      <c r="D319" t="s">
        <v>45</v>
      </c>
      <c r="E319" t="s">
        <v>29</v>
      </c>
      <c r="F319" t="s">
        <v>37</v>
      </c>
      <c r="G319" t="s">
        <v>56</v>
      </c>
      <c r="H319" t="s">
        <v>32</v>
      </c>
      <c r="I319" s="9">
        <v>320000</v>
      </c>
      <c r="J319">
        <v>9</v>
      </c>
      <c r="K319" t="s">
        <v>47</v>
      </c>
      <c r="L319" s="9">
        <f t="shared" si="4"/>
        <v>256000</v>
      </c>
      <c r="M319" s="9">
        <f>Table1[[#This Row],[Unit Price]]*Table1[[#This Row],[Quantity]]</f>
        <v>2880000</v>
      </c>
      <c r="N319" s="9">
        <f>Table1[[#This Row],[Cost Price]]*Table1[[#This Row],[Quantity]]</f>
        <v>2304000</v>
      </c>
      <c r="O319" s="9">
        <f>Table1[[#This Row],[Revenue]]-Table1[[#This Row],[COGS]]</f>
        <v>576000</v>
      </c>
      <c r="P319" s="6">
        <v>318</v>
      </c>
    </row>
    <row r="320" spans="1:16">
      <c r="A320" s="7" t="s">
        <v>26</v>
      </c>
      <c r="B320" s="7" t="str">
        <f>TEXT(Table1[[#This Row],[Date]],"MMM")</f>
        <v>Jan</v>
      </c>
      <c r="C320" t="s">
        <v>49</v>
      </c>
      <c r="D320" t="s">
        <v>36</v>
      </c>
      <c r="E320" t="s">
        <v>41</v>
      </c>
      <c r="F320" t="s">
        <v>37</v>
      </c>
      <c r="G320" t="s">
        <v>62</v>
      </c>
      <c r="H320" t="s">
        <v>51</v>
      </c>
      <c r="I320" s="9">
        <v>150000</v>
      </c>
      <c r="J320">
        <v>7</v>
      </c>
      <c r="K320" t="s">
        <v>42</v>
      </c>
      <c r="L320" s="9">
        <f t="shared" si="4"/>
        <v>120000</v>
      </c>
      <c r="M320" s="9">
        <f>Table1[[#This Row],[Unit Price]]*Table1[[#This Row],[Quantity]]</f>
        <v>1050000</v>
      </c>
      <c r="N320" s="9">
        <f>Table1[[#This Row],[Cost Price]]*Table1[[#This Row],[Quantity]]</f>
        <v>840000</v>
      </c>
      <c r="O320" s="9">
        <f>Table1[[#This Row],[Revenue]]-Table1[[#This Row],[COGS]]</f>
        <v>210000</v>
      </c>
      <c r="P320" s="6">
        <v>319</v>
      </c>
    </row>
    <row r="321" spans="1:16">
      <c r="A321" s="7" t="s">
        <v>102</v>
      </c>
      <c r="B321" s="7" t="str">
        <f>TEXT(Table1[[#This Row],[Date]],"MMM")</f>
        <v>Mar</v>
      </c>
      <c r="C321" t="s">
        <v>35</v>
      </c>
      <c r="D321" t="s">
        <v>28</v>
      </c>
      <c r="E321" t="s">
        <v>29</v>
      </c>
      <c r="F321" t="s">
        <v>30</v>
      </c>
      <c r="G321" t="s">
        <v>67</v>
      </c>
      <c r="H321" t="s">
        <v>51</v>
      </c>
      <c r="I321" s="9">
        <v>420000</v>
      </c>
      <c r="J321">
        <v>9</v>
      </c>
      <c r="K321" t="s">
        <v>65</v>
      </c>
      <c r="L321" s="9">
        <f t="shared" si="4"/>
        <v>336000</v>
      </c>
      <c r="M321" s="9">
        <f>Table1[[#This Row],[Unit Price]]*Table1[[#This Row],[Quantity]]</f>
        <v>3780000</v>
      </c>
      <c r="N321" s="9">
        <f>Table1[[#This Row],[Cost Price]]*Table1[[#This Row],[Quantity]]</f>
        <v>3024000</v>
      </c>
      <c r="O321" s="9">
        <f>Table1[[#This Row],[Revenue]]-Table1[[#This Row],[COGS]]</f>
        <v>756000</v>
      </c>
      <c r="P321" s="6">
        <v>320</v>
      </c>
    </row>
    <row r="322" spans="1:16">
      <c r="A322" s="7" t="s">
        <v>145</v>
      </c>
      <c r="B322" s="7" t="str">
        <f>TEXT(Table1[[#This Row],[Date]],"MMM")</f>
        <v>Jan</v>
      </c>
      <c r="C322" t="s">
        <v>44</v>
      </c>
      <c r="D322" t="s">
        <v>36</v>
      </c>
      <c r="E322" t="s">
        <v>41</v>
      </c>
      <c r="F322" t="s">
        <v>37</v>
      </c>
      <c r="G322" t="s">
        <v>46</v>
      </c>
      <c r="H322" t="s">
        <v>39</v>
      </c>
      <c r="I322" s="9">
        <v>60000</v>
      </c>
      <c r="J322">
        <v>4</v>
      </c>
      <c r="K322" t="s">
        <v>42</v>
      </c>
      <c r="L322" s="9">
        <f t="shared" ref="L322:L385" si="5">I322-I322*0.2</f>
        <v>48000</v>
      </c>
      <c r="M322" s="9">
        <f>Table1[[#This Row],[Unit Price]]*Table1[[#This Row],[Quantity]]</f>
        <v>240000</v>
      </c>
      <c r="N322" s="9">
        <f>Table1[[#This Row],[Cost Price]]*Table1[[#This Row],[Quantity]]</f>
        <v>192000</v>
      </c>
      <c r="O322" s="9">
        <f>Table1[[#This Row],[Revenue]]-Table1[[#This Row],[COGS]]</f>
        <v>48000</v>
      </c>
      <c r="P322" s="6">
        <v>321</v>
      </c>
    </row>
    <row r="323" spans="1:16">
      <c r="A323" s="7" t="s">
        <v>123</v>
      </c>
      <c r="B323" s="7" t="str">
        <f>TEXT(Table1[[#This Row],[Date]],"MMM")</f>
        <v>Apr</v>
      </c>
      <c r="C323" t="s">
        <v>27</v>
      </c>
      <c r="D323" t="s">
        <v>45</v>
      </c>
      <c r="E323" t="s">
        <v>29</v>
      </c>
      <c r="F323" t="s">
        <v>37</v>
      </c>
      <c r="G323" t="s">
        <v>71</v>
      </c>
      <c r="H323" t="s">
        <v>51</v>
      </c>
      <c r="I323" s="9">
        <v>250000</v>
      </c>
      <c r="J323">
        <v>5</v>
      </c>
      <c r="K323" t="s">
        <v>42</v>
      </c>
      <c r="L323" s="9">
        <f t="shared" si="5"/>
        <v>200000</v>
      </c>
      <c r="M323" s="9">
        <f>Table1[[#This Row],[Unit Price]]*Table1[[#This Row],[Quantity]]</f>
        <v>1250000</v>
      </c>
      <c r="N323" s="9">
        <f>Table1[[#This Row],[Cost Price]]*Table1[[#This Row],[Quantity]]</f>
        <v>1000000</v>
      </c>
      <c r="O323" s="9">
        <f>Table1[[#This Row],[Revenue]]-Table1[[#This Row],[COGS]]</f>
        <v>250000</v>
      </c>
      <c r="P323" s="6">
        <v>322</v>
      </c>
    </row>
    <row r="324" spans="1:16">
      <c r="A324" s="7" t="s">
        <v>110</v>
      </c>
      <c r="B324" s="7" t="str">
        <f>TEXT(Table1[[#This Row],[Date]],"MMM")</f>
        <v>Jan</v>
      </c>
      <c r="C324" t="s">
        <v>27</v>
      </c>
      <c r="D324" t="s">
        <v>45</v>
      </c>
      <c r="E324" t="s">
        <v>41</v>
      </c>
      <c r="F324" t="s">
        <v>30</v>
      </c>
      <c r="G324" t="s">
        <v>50</v>
      </c>
      <c r="H324" t="s">
        <v>51</v>
      </c>
      <c r="I324" s="9">
        <v>300000</v>
      </c>
      <c r="J324">
        <v>8</v>
      </c>
      <c r="K324" t="s">
        <v>58</v>
      </c>
      <c r="L324" s="9">
        <f t="shared" si="5"/>
        <v>240000</v>
      </c>
      <c r="M324" s="9">
        <f>Table1[[#This Row],[Unit Price]]*Table1[[#This Row],[Quantity]]</f>
        <v>2400000</v>
      </c>
      <c r="N324" s="9">
        <f>Table1[[#This Row],[Cost Price]]*Table1[[#This Row],[Quantity]]</f>
        <v>1920000</v>
      </c>
      <c r="O324" s="9">
        <f>Table1[[#This Row],[Revenue]]-Table1[[#This Row],[COGS]]</f>
        <v>480000</v>
      </c>
      <c r="P324" s="6">
        <v>323</v>
      </c>
    </row>
    <row r="325" spans="1:16">
      <c r="A325" s="7" t="s">
        <v>166</v>
      </c>
      <c r="B325" s="7" t="str">
        <f>TEXT(Table1[[#This Row],[Date]],"MMM")</f>
        <v>Jan</v>
      </c>
      <c r="C325" t="s">
        <v>27</v>
      </c>
      <c r="D325" t="s">
        <v>45</v>
      </c>
      <c r="E325" t="s">
        <v>41</v>
      </c>
      <c r="F325" t="s">
        <v>30</v>
      </c>
      <c r="G325" t="s">
        <v>67</v>
      </c>
      <c r="H325" t="s">
        <v>51</v>
      </c>
      <c r="I325" s="9">
        <v>420000</v>
      </c>
      <c r="J325">
        <v>4</v>
      </c>
      <c r="K325" t="s">
        <v>69</v>
      </c>
      <c r="L325" s="9">
        <f t="shared" si="5"/>
        <v>336000</v>
      </c>
      <c r="M325" s="9">
        <f>Table1[[#This Row],[Unit Price]]*Table1[[#This Row],[Quantity]]</f>
        <v>1680000</v>
      </c>
      <c r="N325" s="9">
        <f>Table1[[#This Row],[Cost Price]]*Table1[[#This Row],[Quantity]]</f>
        <v>1344000</v>
      </c>
      <c r="O325" s="9">
        <f>Table1[[#This Row],[Revenue]]-Table1[[#This Row],[COGS]]</f>
        <v>336000</v>
      </c>
      <c r="P325" s="6">
        <v>324</v>
      </c>
    </row>
    <row r="326" spans="1:16">
      <c r="A326" s="7" t="s">
        <v>68</v>
      </c>
      <c r="B326" s="7" t="str">
        <f>TEXT(Table1[[#This Row],[Date]],"MMM")</f>
        <v>Mar</v>
      </c>
      <c r="C326" t="s">
        <v>27</v>
      </c>
      <c r="D326" t="s">
        <v>45</v>
      </c>
      <c r="E326" t="s">
        <v>41</v>
      </c>
      <c r="F326" t="s">
        <v>37</v>
      </c>
      <c r="G326" t="s">
        <v>38</v>
      </c>
      <c r="H326" t="s">
        <v>39</v>
      </c>
      <c r="I326" s="9">
        <v>30000</v>
      </c>
      <c r="J326">
        <v>4</v>
      </c>
      <c r="K326" t="s">
        <v>42</v>
      </c>
      <c r="L326" s="9">
        <f t="shared" si="5"/>
        <v>24000</v>
      </c>
      <c r="M326" s="9">
        <f>Table1[[#This Row],[Unit Price]]*Table1[[#This Row],[Quantity]]</f>
        <v>120000</v>
      </c>
      <c r="N326" s="9">
        <f>Table1[[#This Row],[Cost Price]]*Table1[[#This Row],[Quantity]]</f>
        <v>96000</v>
      </c>
      <c r="O326" s="9">
        <f>Table1[[#This Row],[Revenue]]-Table1[[#This Row],[COGS]]</f>
        <v>24000</v>
      </c>
      <c r="P326" s="6">
        <v>325</v>
      </c>
    </row>
    <row r="327" spans="1:16">
      <c r="A327" s="7" t="s">
        <v>145</v>
      </c>
      <c r="B327" s="7" t="str">
        <f>TEXT(Table1[[#This Row],[Date]],"MMM")</f>
        <v>Jan</v>
      </c>
      <c r="C327" t="s">
        <v>35</v>
      </c>
      <c r="D327" t="s">
        <v>53</v>
      </c>
      <c r="E327" t="s">
        <v>29</v>
      </c>
      <c r="F327" t="s">
        <v>30</v>
      </c>
      <c r="G327" t="s">
        <v>56</v>
      </c>
      <c r="H327" t="s">
        <v>32</v>
      </c>
      <c r="I327" s="9">
        <v>320000</v>
      </c>
      <c r="J327">
        <v>7</v>
      </c>
      <c r="K327" t="s">
        <v>42</v>
      </c>
      <c r="L327" s="9">
        <f t="shared" si="5"/>
        <v>256000</v>
      </c>
      <c r="M327" s="9">
        <f>Table1[[#This Row],[Unit Price]]*Table1[[#This Row],[Quantity]]</f>
        <v>2240000</v>
      </c>
      <c r="N327" s="9">
        <f>Table1[[#This Row],[Cost Price]]*Table1[[#This Row],[Quantity]]</f>
        <v>1792000</v>
      </c>
      <c r="O327" s="9">
        <f>Table1[[#This Row],[Revenue]]-Table1[[#This Row],[COGS]]</f>
        <v>448000</v>
      </c>
      <c r="P327" s="6">
        <v>326</v>
      </c>
    </row>
    <row r="328" spans="1:16">
      <c r="A328" s="7" t="s">
        <v>101</v>
      </c>
      <c r="B328" s="7" t="str">
        <f>TEXT(Table1[[#This Row],[Date]],"MMM")</f>
        <v>Jan</v>
      </c>
      <c r="C328" t="s">
        <v>44</v>
      </c>
      <c r="D328" t="s">
        <v>36</v>
      </c>
      <c r="E328" t="s">
        <v>29</v>
      </c>
      <c r="F328" t="s">
        <v>30</v>
      </c>
      <c r="G328" t="s">
        <v>62</v>
      </c>
      <c r="H328" t="s">
        <v>51</v>
      </c>
      <c r="I328" s="9">
        <v>150000</v>
      </c>
      <c r="J328">
        <v>8</v>
      </c>
      <c r="K328" t="s">
        <v>65</v>
      </c>
      <c r="L328" s="9">
        <f t="shared" si="5"/>
        <v>120000</v>
      </c>
      <c r="M328" s="9">
        <f>Table1[[#This Row],[Unit Price]]*Table1[[#This Row],[Quantity]]</f>
        <v>1200000</v>
      </c>
      <c r="N328" s="9">
        <f>Table1[[#This Row],[Cost Price]]*Table1[[#This Row],[Quantity]]</f>
        <v>960000</v>
      </c>
      <c r="O328" s="9">
        <f>Table1[[#This Row],[Revenue]]-Table1[[#This Row],[COGS]]</f>
        <v>240000</v>
      </c>
      <c r="P328" s="6">
        <v>327</v>
      </c>
    </row>
    <row r="329" spans="1:16">
      <c r="A329" s="7" t="s">
        <v>128</v>
      </c>
      <c r="B329" s="7" t="str">
        <f>TEXT(Table1[[#This Row],[Date]],"MMM")</f>
        <v>Mar</v>
      </c>
      <c r="C329" t="s">
        <v>27</v>
      </c>
      <c r="D329" t="s">
        <v>36</v>
      </c>
      <c r="E329" t="s">
        <v>29</v>
      </c>
      <c r="F329" t="s">
        <v>37</v>
      </c>
      <c r="G329" t="s">
        <v>46</v>
      </c>
      <c r="H329" t="s">
        <v>39</v>
      </c>
      <c r="I329" s="9">
        <v>60000</v>
      </c>
      <c r="J329">
        <v>7</v>
      </c>
      <c r="K329" t="s">
        <v>47</v>
      </c>
      <c r="L329" s="9">
        <f t="shared" si="5"/>
        <v>48000</v>
      </c>
      <c r="M329" s="9">
        <f>Table1[[#This Row],[Unit Price]]*Table1[[#This Row],[Quantity]]</f>
        <v>420000</v>
      </c>
      <c r="N329" s="9">
        <f>Table1[[#This Row],[Cost Price]]*Table1[[#This Row],[Quantity]]</f>
        <v>336000</v>
      </c>
      <c r="O329" s="9">
        <f>Table1[[#This Row],[Revenue]]-Table1[[#This Row],[COGS]]</f>
        <v>84000</v>
      </c>
      <c r="P329" s="6">
        <v>328</v>
      </c>
    </row>
    <row r="330" spans="1:16">
      <c r="A330" s="7" t="s">
        <v>116</v>
      </c>
      <c r="B330" s="7" t="str">
        <f>TEXT(Table1[[#This Row],[Date]],"MMM")</f>
        <v>Apr</v>
      </c>
      <c r="C330" t="s">
        <v>44</v>
      </c>
      <c r="D330" t="s">
        <v>45</v>
      </c>
      <c r="E330" t="s">
        <v>29</v>
      </c>
      <c r="F330" t="s">
        <v>30</v>
      </c>
      <c r="G330" t="s">
        <v>54</v>
      </c>
      <c r="H330" t="s">
        <v>39</v>
      </c>
      <c r="I330" s="9">
        <v>180000</v>
      </c>
      <c r="J330">
        <v>4</v>
      </c>
      <c r="K330" t="s">
        <v>42</v>
      </c>
      <c r="L330" s="9">
        <f t="shared" si="5"/>
        <v>144000</v>
      </c>
      <c r="M330" s="9">
        <f>Table1[[#This Row],[Unit Price]]*Table1[[#This Row],[Quantity]]</f>
        <v>720000</v>
      </c>
      <c r="N330" s="9">
        <f>Table1[[#This Row],[Cost Price]]*Table1[[#This Row],[Quantity]]</f>
        <v>576000</v>
      </c>
      <c r="O330" s="9">
        <f>Table1[[#This Row],[Revenue]]-Table1[[#This Row],[COGS]]</f>
        <v>144000</v>
      </c>
      <c r="P330" s="6">
        <v>329</v>
      </c>
    </row>
    <row r="331" spans="1:16">
      <c r="A331" s="7" t="s">
        <v>64</v>
      </c>
      <c r="B331" s="7" t="str">
        <f>TEXT(Table1[[#This Row],[Date]],"MMM")</f>
        <v>Apr</v>
      </c>
      <c r="C331" t="s">
        <v>27</v>
      </c>
      <c r="D331" t="s">
        <v>45</v>
      </c>
      <c r="E331" t="s">
        <v>41</v>
      </c>
      <c r="F331" t="s">
        <v>37</v>
      </c>
      <c r="G331" t="s">
        <v>67</v>
      </c>
      <c r="H331" t="s">
        <v>51</v>
      </c>
      <c r="I331" s="9">
        <v>420000</v>
      </c>
      <c r="J331">
        <v>8</v>
      </c>
      <c r="K331" t="s">
        <v>65</v>
      </c>
      <c r="L331" s="9">
        <f t="shared" si="5"/>
        <v>336000</v>
      </c>
      <c r="M331" s="9">
        <f>Table1[[#This Row],[Unit Price]]*Table1[[#This Row],[Quantity]]</f>
        <v>3360000</v>
      </c>
      <c r="N331" s="9">
        <f>Table1[[#This Row],[Cost Price]]*Table1[[#This Row],[Quantity]]</f>
        <v>2688000</v>
      </c>
      <c r="O331" s="9">
        <f>Table1[[#This Row],[Revenue]]-Table1[[#This Row],[COGS]]</f>
        <v>672000</v>
      </c>
      <c r="P331" s="6">
        <v>330</v>
      </c>
    </row>
    <row r="332" spans="1:16">
      <c r="A332" s="7" t="s">
        <v>112</v>
      </c>
      <c r="B332" s="7" t="str">
        <f>TEXT(Table1[[#This Row],[Date]],"MMM")</f>
        <v>Feb</v>
      </c>
      <c r="C332" t="s">
        <v>27</v>
      </c>
      <c r="D332" t="s">
        <v>45</v>
      </c>
      <c r="E332" t="s">
        <v>29</v>
      </c>
      <c r="F332" t="s">
        <v>37</v>
      </c>
      <c r="G332" t="s">
        <v>50</v>
      </c>
      <c r="H332" t="s">
        <v>51</v>
      </c>
      <c r="I332" s="9">
        <v>300000</v>
      </c>
      <c r="J332">
        <v>2</v>
      </c>
      <c r="K332" t="s">
        <v>69</v>
      </c>
      <c r="L332" s="9">
        <f t="shared" si="5"/>
        <v>240000</v>
      </c>
      <c r="M332" s="9">
        <f>Table1[[#This Row],[Unit Price]]*Table1[[#This Row],[Quantity]]</f>
        <v>600000</v>
      </c>
      <c r="N332" s="9">
        <f>Table1[[#This Row],[Cost Price]]*Table1[[#This Row],[Quantity]]</f>
        <v>480000</v>
      </c>
      <c r="O332" s="9">
        <f>Table1[[#This Row],[Revenue]]-Table1[[#This Row],[COGS]]</f>
        <v>120000</v>
      </c>
      <c r="P332" s="6">
        <v>331</v>
      </c>
    </row>
    <row r="333" spans="1:16">
      <c r="A333" s="7" t="s">
        <v>161</v>
      </c>
      <c r="B333" s="7" t="str">
        <f>TEXT(Table1[[#This Row],[Date]],"MMM")</f>
        <v>Mar</v>
      </c>
      <c r="C333" t="s">
        <v>44</v>
      </c>
      <c r="D333" t="s">
        <v>36</v>
      </c>
      <c r="E333" t="s">
        <v>41</v>
      </c>
      <c r="F333" t="s">
        <v>30</v>
      </c>
      <c r="G333" t="s">
        <v>67</v>
      </c>
      <c r="H333" t="s">
        <v>51</v>
      </c>
      <c r="I333" s="9">
        <v>420000</v>
      </c>
      <c r="J333">
        <v>3</v>
      </c>
      <c r="K333" t="s">
        <v>65</v>
      </c>
      <c r="L333" s="9">
        <f t="shared" si="5"/>
        <v>336000</v>
      </c>
      <c r="M333" s="9">
        <f>Table1[[#This Row],[Unit Price]]*Table1[[#This Row],[Quantity]]</f>
        <v>1260000</v>
      </c>
      <c r="N333" s="9">
        <f>Table1[[#This Row],[Cost Price]]*Table1[[#This Row],[Quantity]]</f>
        <v>1008000</v>
      </c>
      <c r="O333" s="9">
        <f>Table1[[#This Row],[Revenue]]-Table1[[#This Row],[COGS]]</f>
        <v>252000</v>
      </c>
      <c r="P333" s="6">
        <v>332</v>
      </c>
    </row>
    <row r="334" spans="1:16">
      <c r="A334" s="7" t="s">
        <v>120</v>
      </c>
      <c r="B334" s="7" t="str">
        <f>TEXT(Table1[[#This Row],[Date]],"MMM")</f>
        <v>Mar</v>
      </c>
      <c r="C334" t="s">
        <v>49</v>
      </c>
      <c r="D334" t="s">
        <v>45</v>
      </c>
      <c r="E334" t="s">
        <v>29</v>
      </c>
      <c r="F334" t="s">
        <v>30</v>
      </c>
      <c r="G334" t="s">
        <v>31</v>
      </c>
      <c r="H334" t="s">
        <v>32</v>
      </c>
      <c r="I334" s="9">
        <v>85000</v>
      </c>
      <c r="J334">
        <v>3</v>
      </c>
      <c r="K334" t="s">
        <v>47</v>
      </c>
      <c r="L334" s="9">
        <f t="shared" si="5"/>
        <v>68000</v>
      </c>
      <c r="M334" s="9">
        <f>Table1[[#This Row],[Unit Price]]*Table1[[#This Row],[Quantity]]</f>
        <v>255000</v>
      </c>
      <c r="N334" s="9">
        <f>Table1[[#This Row],[Cost Price]]*Table1[[#This Row],[Quantity]]</f>
        <v>204000</v>
      </c>
      <c r="O334" s="9">
        <f>Table1[[#This Row],[Revenue]]-Table1[[#This Row],[COGS]]</f>
        <v>51000</v>
      </c>
      <c r="P334" s="6">
        <v>333</v>
      </c>
    </row>
    <row r="335" spans="1:16">
      <c r="A335" s="7" t="s">
        <v>98</v>
      </c>
      <c r="B335" s="7" t="str">
        <f>TEXT(Table1[[#This Row],[Date]],"MMM")</f>
        <v>Jan</v>
      </c>
      <c r="C335" t="s">
        <v>27</v>
      </c>
      <c r="D335" t="s">
        <v>53</v>
      </c>
      <c r="E335" t="s">
        <v>41</v>
      </c>
      <c r="F335" t="s">
        <v>37</v>
      </c>
      <c r="G335" t="s">
        <v>46</v>
      </c>
      <c r="H335" t="s">
        <v>39</v>
      </c>
      <c r="I335" s="9">
        <v>60000</v>
      </c>
      <c r="J335">
        <v>8</v>
      </c>
      <c r="K335" t="s">
        <v>42</v>
      </c>
      <c r="L335" s="9">
        <f t="shared" si="5"/>
        <v>48000</v>
      </c>
      <c r="M335" s="9">
        <f>Table1[[#This Row],[Unit Price]]*Table1[[#This Row],[Quantity]]</f>
        <v>480000</v>
      </c>
      <c r="N335" s="9">
        <f>Table1[[#This Row],[Cost Price]]*Table1[[#This Row],[Quantity]]</f>
        <v>384000</v>
      </c>
      <c r="O335" s="9">
        <f>Table1[[#This Row],[Revenue]]-Table1[[#This Row],[COGS]]</f>
        <v>96000</v>
      </c>
      <c r="P335" s="6">
        <v>334</v>
      </c>
    </row>
    <row r="336" spans="1:16">
      <c r="A336" s="7" t="s">
        <v>146</v>
      </c>
      <c r="B336" s="7" t="str">
        <f>TEXT(Table1[[#This Row],[Date]],"MMM")</f>
        <v>Jan</v>
      </c>
      <c r="C336" t="s">
        <v>27</v>
      </c>
      <c r="D336" t="s">
        <v>36</v>
      </c>
      <c r="E336" t="s">
        <v>41</v>
      </c>
      <c r="F336" t="s">
        <v>37</v>
      </c>
      <c r="G336" t="s">
        <v>54</v>
      </c>
      <c r="H336" t="s">
        <v>39</v>
      </c>
      <c r="I336" s="9">
        <v>180000</v>
      </c>
      <c r="J336">
        <v>10</v>
      </c>
      <c r="K336" t="s">
        <v>58</v>
      </c>
      <c r="L336" s="9">
        <f t="shared" si="5"/>
        <v>144000</v>
      </c>
      <c r="M336" s="9">
        <f>Table1[[#This Row],[Unit Price]]*Table1[[#This Row],[Quantity]]</f>
        <v>1800000</v>
      </c>
      <c r="N336" s="9">
        <f>Table1[[#This Row],[Cost Price]]*Table1[[#This Row],[Quantity]]</f>
        <v>1440000</v>
      </c>
      <c r="O336" s="9">
        <f>Table1[[#This Row],[Revenue]]-Table1[[#This Row],[COGS]]</f>
        <v>360000</v>
      </c>
      <c r="P336" s="6">
        <v>335</v>
      </c>
    </row>
    <row r="337" spans="1:16">
      <c r="A337" s="7" t="s">
        <v>102</v>
      </c>
      <c r="B337" s="7" t="str">
        <f>TEXT(Table1[[#This Row],[Date]],"MMM")</f>
        <v>Mar</v>
      </c>
      <c r="C337" t="s">
        <v>35</v>
      </c>
      <c r="D337" t="s">
        <v>53</v>
      </c>
      <c r="E337" t="s">
        <v>41</v>
      </c>
      <c r="F337" t="s">
        <v>30</v>
      </c>
      <c r="G337" t="s">
        <v>54</v>
      </c>
      <c r="H337" t="s">
        <v>39</v>
      </c>
      <c r="I337" s="9">
        <v>180000</v>
      </c>
      <c r="J337">
        <v>7</v>
      </c>
      <c r="K337" t="s">
        <v>33</v>
      </c>
      <c r="L337" s="9">
        <f t="shared" si="5"/>
        <v>144000</v>
      </c>
      <c r="M337" s="9">
        <f>Table1[[#This Row],[Unit Price]]*Table1[[#This Row],[Quantity]]</f>
        <v>1260000</v>
      </c>
      <c r="N337" s="9">
        <f>Table1[[#This Row],[Cost Price]]*Table1[[#This Row],[Quantity]]</f>
        <v>1008000</v>
      </c>
      <c r="O337" s="9">
        <f>Table1[[#This Row],[Revenue]]-Table1[[#This Row],[COGS]]</f>
        <v>252000</v>
      </c>
      <c r="P337" s="6">
        <v>336</v>
      </c>
    </row>
    <row r="338" spans="1:16">
      <c r="A338" s="7" t="s">
        <v>158</v>
      </c>
      <c r="B338" s="7" t="str">
        <f>TEXT(Table1[[#This Row],[Date]],"MMM")</f>
        <v>Jan</v>
      </c>
      <c r="C338" t="s">
        <v>35</v>
      </c>
      <c r="D338" t="s">
        <v>53</v>
      </c>
      <c r="E338" t="s">
        <v>29</v>
      </c>
      <c r="F338" t="s">
        <v>37</v>
      </c>
      <c r="G338" t="s">
        <v>38</v>
      </c>
      <c r="H338" t="s">
        <v>39</v>
      </c>
      <c r="I338" s="9">
        <v>30000</v>
      </c>
      <c r="J338">
        <v>3</v>
      </c>
      <c r="K338" t="s">
        <v>47</v>
      </c>
      <c r="L338" s="9">
        <f t="shared" si="5"/>
        <v>24000</v>
      </c>
      <c r="M338" s="9">
        <f>Table1[[#This Row],[Unit Price]]*Table1[[#This Row],[Quantity]]</f>
        <v>90000</v>
      </c>
      <c r="N338" s="9">
        <f>Table1[[#This Row],[Cost Price]]*Table1[[#This Row],[Quantity]]</f>
        <v>72000</v>
      </c>
      <c r="O338" s="9">
        <f>Table1[[#This Row],[Revenue]]-Table1[[#This Row],[COGS]]</f>
        <v>18000</v>
      </c>
      <c r="P338" s="6">
        <v>337</v>
      </c>
    </row>
    <row r="339" spans="1:16">
      <c r="A339" s="7" t="s">
        <v>165</v>
      </c>
      <c r="B339" s="7" t="str">
        <f>TEXT(Table1[[#This Row],[Date]],"MMM")</f>
        <v>Apr</v>
      </c>
      <c r="C339" t="s">
        <v>49</v>
      </c>
      <c r="D339" t="s">
        <v>28</v>
      </c>
      <c r="E339" t="s">
        <v>41</v>
      </c>
      <c r="F339" t="s">
        <v>37</v>
      </c>
      <c r="G339" t="s">
        <v>38</v>
      </c>
      <c r="H339" t="s">
        <v>39</v>
      </c>
      <c r="I339" s="9">
        <v>30000</v>
      </c>
      <c r="J339">
        <v>6</v>
      </c>
      <c r="K339" t="s">
        <v>42</v>
      </c>
      <c r="L339" s="9">
        <f t="shared" si="5"/>
        <v>24000</v>
      </c>
      <c r="M339" s="9">
        <f>Table1[[#This Row],[Unit Price]]*Table1[[#This Row],[Quantity]]</f>
        <v>180000</v>
      </c>
      <c r="N339" s="9">
        <f>Table1[[#This Row],[Cost Price]]*Table1[[#This Row],[Quantity]]</f>
        <v>144000</v>
      </c>
      <c r="O339" s="9">
        <f>Table1[[#This Row],[Revenue]]-Table1[[#This Row],[COGS]]</f>
        <v>36000</v>
      </c>
      <c r="P339" s="6">
        <v>338</v>
      </c>
    </row>
    <row r="340" spans="1:16">
      <c r="A340" s="7" t="s">
        <v>149</v>
      </c>
      <c r="B340" s="7" t="str">
        <f>TEXT(Table1[[#This Row],[Date]],"MMM")</f>
        <v>Apr</v>
      </c>
      <c r="C340" t="s">
        <v>49</v>
      </c>
      <c r="D340" t="s">
        <v>36</v>
      </c>
      <c r="E340" t="s">
        <v>41</v>
      </c>
      <c r="F340" t="s">
        <v>30</v>
      </c>
      <c r="G340" t="s">
        <v>67</v>
      </c>
      <c r="H340" t="s">
        <v>51</v>
      </c>
      <c r="I340" s="9">
        <v>420000</v>
      </c>
      <c r="J340">
        <v>4</v>
      </c>
      <c r="K340" t="s">
        <v>65</v>
      </c>
      <c r="L340" s="9">
        <f t="shared" si="5"/>
        <v>336000</v>
      </c>
      <c r="M340" s="9">
        <f>Table1[[#This Row],[Unit Price]]*Table1[[#This Row],[Quantity]]</f>
        <v>1680000</v>
      </c>
      <c r="N340" s="9">
        <f>Table1[[#This Row],[Cost Price]]*Table1[[#This Row],[Quantity]]</f>
        <v>1344000</v>
      </c>
      <c r="O340" s="9">
        <f>Table1[[#This Row],[Revenue]]-Table1[[#This Row],[COGS]]</f>
        <v>336000</v>
      </c>
      <c r="P340" s="6">
        <v>339</v>
      </c>
    </row>
    <row r="341" spans="1:16">
      <c r="A341" s="7" t="s">
        <v>104</v>
      </c>
      <c r="B341" s="7" t="str">
        <f>TEXT(Table1[[#This Row],[Date]],"MMM")</f>
        <v>Mar</v>
      </c>
      <c r="C341" t="s">
        <v>35</v>
      </c>
      <c r="D341" t="s">
        <v>45</v>
      </c>
      <c r="E341" t="s">
        <v>29</v>
      </c>
      <c r="F341" t="s">
        <v>30</v>
      </c>
      <c r="G341" t="s">
        <v>73</v>
      </c>
      <c r="H341" t="s">
        <v>39</v>
      </c>
      <c r="I341" s="9">
        <v>220000</v>
      </c>
      <c r="J341">
        <v>8</v>
      </c>
      <c r="K341" t="s">
        <v>69</v>
      </c>
      <c r="L341" s="9">
        <f t="shared" si="5"/>
        <v>176000</v>
      </c>
      <c r="M341" s="9">
        <f>Table1[[#This Row],[Unit Price]]*Table1[[#This Row],[Quantity]]</f>
        <v>1760000</v>
      </c>
      <c r="N341" s="9">
        <f>Table1[[#This Row],[Cost Price]]*Table1[[#This Row],[Quantity]]</f>
        <v>1408000</v>
      </c>
      <c r="O341" s="9">
        <f>Table1[[#This Row],[Revenue]]-Table1[[#This Row],[COGS]]</f>
        <v>352000</v>
      </c>
      <c r="P341" s="6">
        <v>340</v>
      </c>
    </row>
    <row r="342" spans="1:16">
      <c r="A342" s="7" t="s">
        <v>40</v>
      </c>
      <c r="B342" s="7" t="str">
        <f>TEXT(Table1[[#This Row],[Date]],"MMM")</f>
        <v>Feb</v>
      </c>
      <c r="C342" t="s">
        <v>49</v>
      </c>
      <c r="D342" t="s">
        <v>36</v>
      </c>
      <c r="E342" t="s">
        <v>41</v>
      </c>
      <c r="F342" t="s">
        <v>37</v>
      </c>
      <c r="G342" t="s">
        <v>31</v>
      </c>
      <c r="H342" t="s">
        <v>32</v>
      </c>
      <c r="I342" s="9">
        <v>85000</v>
      </c>
      <c r="J342">
        <v>5</v>
      </c>
      <c r="K342" t="s">
        <v>33</v>
      </c>
      <c r="L342" s="9">
        <f t="shared" si="5"/>
        <v>68000</v>
      </c>
      <c r="M342" s="9">
        <f>Table1[[#This Row],[Unit Price]]*Table1[[#This Row],[Quantity]]</f>
        <v>425000</v>
      </c>
      <c r="N342" s="9">
        <f>Table1[[#This Row],[Cost Price]]*Table1[[#This Row],[Quantity]]</f>
        <v>340000</v>
      </c>
      <c r="O342" s="9">
        <f>Table1[[#This Row],[Revenue]]-Table1[[#This Row],[COGS]]</f>
        <v>85000</v>
      </c>
      <c r="P342" s="6">
        <v>341</v>
      </c>
    </row>
    <row r="343" spans="1:16">
      <c r="A343" s="7" t="s">
        <v>149</v>
      </c>
      <c r="B343" s="7" t="str">
        <f>TEXT(Table1[[#This Row],[Date]],"MMM")</f>
        <v>Apr</v>
      </c>
      <c r="C343" t="s">
        <v>27</v>
      </c>
      <c r="D343" t="s">
        <v>36</v>
      </c>
      <c r="E343" t="s">
        <v>29</v>
      </c>
      <c r="F343" t="s">
        <v>30</v>
      </c>
      <c r="G343" t="s">
        <v>56</v>
      </c>
      <c r="H343" t="s">
        <v>32</v>
      </c>
      <c r="I343" s="9">
        <v>320000</v>
      </c>
      <c r="J343">
        <v>7</v>
      </c>
      <c r="K343" t="s">
        <v>47</v>
      </c>
      <c r="L343" s="9">
        <f t="shared" si="5"/>
        <v>256000</v>
      </c>
      <c r="M343" s="9">
        <f>Table1[[#This Row],[Unit Price]]*Table1[[#This Row],[Quantity]]</f>
        <v>2240000</v>
      </c>
      <c r="N343" s="9">
        <f>Table1[[#This Row],[Cost Price]]*Table1[[#This Row],[Quantity]]</f>
        <v>1792000</v>
      </c>
      <c r="O343" s="9">
        <f>Table1[[#This Row],[Revenue]]-Table1[[#This Row],[COGS]]</f>
        <v>448000</v>
      </c>
      <c r="P343" s="6">
        <v>342</v>
      </c>
    </row>
    <row r="344" spans="1:16">
      <c r="A344" s="7" t="s">
        <v>143</v>
      </c>
      <c r="B344" s="7" t="str">
        <f>TEXT(Table1[[#This Row],[Date]],"MMM")</f>
        <v>Apr</v>
      </c>
      <c r="C344" t="s">
        <v>44</v>
      </c>
      <c r="D344" t="s">
        <v>36</v>
      </c>
      <c r="E344" t="s">
        <v>41</v>
      </c>
      <c r="F344" t="s">
        <v>37</v>
      </c>
      <c r="G344" t="s">
        <v>54</v>
      </c>
      <c r="H344" t="s">
        <v>39</v>
      </c>
      <c r="I344" s="9">
        <v>180000</v>
      </c>
      <c r="J344">
        <v>6</v>
      </c>
      <c r="K344" t="s">
        <v>33</v>
      </c>
      <c r="L344" s="9">
        <f t="shared" si="5"/>
        <v>144000</v>
      </c>
      <c r="M344" s="9">
        <f>Table1[[#This Row],[Unit Price]]*Table1[[#This Row],[Quantity]]</f>
        <v>1080000</v>
      </c>
      <c r="N344" s="9">
        <f>Table1[[#This Row],[Cost Price]]*Table1[[#This Row],[Quantity]]</f>
        <v>864000</v>
      </c>
      <c r="O344" s="9">
        <f>Table1[[#This Row],[Revenue]]-Table1[[#This Row],[COGS]]</f>
        <v>216000</v>
      </c>
      <c r="P344" s="6">
        <v>343</v>
      </c>
    </row>
    <row r="345" spans="1:16">
      <c r="A345" s="7" t="s">
        <v>26</v>
      </c>
      <c r="B345" s="7" t="str">
        <f>TEXT(Table1[[#This Row],[Date]],"MMM")</f>
        <v>Jan</v>
      </c>
      <c r="C345" t="s">
        <v>35</v>
      </c>
      <c r="D345" t="s">
        <v>53</v>
      </c>
      <c r="E345" t="s">
        <v>41</v>
      </c>
      <c r="F345" t="s">
        <v>30</v>
      </c>
      <c r="G345" t="s">
        <v>46</v>
      </c>
      <c r="H345" t="s">
        <v>39</v>
      </c>
      <c r="I345" s="9">
        <v>60000</v>
      </c>
      <c r="J345">
        <v>2</v>
      </c>
      <c r="K345" t="s">
        <v>65</v>
      </c>
      <c r="L345" s="9">
        <f t="shared" si="5"/>
        <v>48000</v>
      </c>
      <c r="M345" s="9">
        <f>Table1[[#This Row],[Unit Price]]*Table1[[#This Row],[Quantity]]</f>
        <v>120000</v>
      </c>
      <c r="N345" s="9">
        <f>Table1[[#This Row],[Cost Price]]*Table1[[#This Row],[Quantity]]</f>
        <v>96000</v>
      </c>
      <c r="O345" s="9">
        <f>Table1[[#This Row],[Revenue]]-Table1[[#This Row],[COGS]]</f>
        <v>24000</v>
      </c>
      <c r="P345" s="6">
        <v>344</v>
      </c>
    </row>
    <row r="346" spans="1:16">
      <c r="A346" s="7" t="s">
        <v>124</v>
      </c>
      <c r="B346" s="7" t="str">
        <f>TEXT(Table1[[#This Row],[Date]],"MMM")</f>
        <v>Feb</v>
      </c>
      <c r="C346" t="s">
        <v>27</v>
      </c>
      <c r="D346" t="s">
        <v>53</v>
      </c>
      <c r="E346" t="s">
        <v>41</v>
      </c>
      <c r="F346" t="s">
        <v>37</v>
      </c>
      <c r="G346" t="s">
        <v>54</v>
      </c>
      <c r="H346" t="s">
        <v>39</v>
      </c>
      <c r="I346" s="9">
        <v>180000</v>
      </c>
      <c r="J346">
        <v>5</v>
      </c>
      <c r="K346" t="s">
        <v>42</v>
      </c>
      <c r="L346" s="9">
        <f t="shared" si="5"/>
        <v>144000</v>
      </c>
      <c r="M346" s="9">
        <f>Table1[[#This Row],[Unit Price]]*Table1[[#This Row],[Quantity]]</f>
        <v>900000</v>
      </c>
      <c r="N346" s="9">
        <f>Table1[[#This Row],[Cost Price]]*Table1[[#This Row],[Quantity]]</f>
        <v>720000</v>
      </c>
      <c r="O346" s="9">
        <f>Table1[[#This Row],[Revenue]]-Table1[[#This Row],[COGS]]</f>
        <v>180000</v>
      </c>
      <c r="P346" s="6">
        <v>345</v>
      </c>
    </row>
    <row r="347" spans="1:16">
      <c r="A347" s="7" t="s">
        <v>123</v>
      </c>
      <c r="B347" s="7" t="str">
        <f>TEXT(Table1[[#This Row],[Date]],"MMM")</f>
        <v>Apr</v>
      </c>
      <c r="C347" t="s">
        <v>35</v>
      </c>
      <c r="D347" t="s">
        <v>53</v>
      </c>
      <c r="E347" t="s">
        <v>41</v>
      </c>
      <c r="F347" t="s">
        <v>37</v>
      </c>
      <c r="G347" t="s">
        <v>62</v>
      </c>
      <c r="H347" t="s">
        <v>51</v>
      </c>
      <c r="I347" s="9">
        <v>150000</v>
      </c>
      <c r="J347">
        <v>6</v>
      </c>
      <c r="K347" t="s">
        <v>65</v>
      </c>
      <c r="L347" s="9">
        <f t="shared" si="5"/>
        <v>120000</v>
      </c>
      <c r="M347" s="9">
        <f>Table1[[#This Row],[Unit Price]]*Table1[[#This Row],[Quantity]]</f>
        <v>900000</v>
      </c>
      <c r="N347" s="9">
        <f>Table1[[#This Row],[Cost Price]]*Table1[[#This Row],[Quantity]]</f>
        <v>720000</v>
      </c>
      <c r="O347" s="9">
        <f>Table1[[#This Row],[Revenue]]-Table1[[#This Row],[COGS]]</f>
        <v>180000</v>
      </c>
      <c r="P347" s="6">
        <v>346</v>
      </c>
    </row>
    <row r="348" spans="1:16">
      <c r="A348" s="7" t="s">
        <v>139</v>
      </c>
      <c r="B348" s="7" t="str">
        <f>TEXT(Table1[[#This Row],[Date]],"MMM")</f>
        <v>Jan</v>
      </c>
      <c r="C348" t="s">
        <v>35</v>
      </c>
      <c r="D348" t="s">
        <v>28</v>
      </c>
      <c r="E348" t="s">
        <v>41</v>
      </c>
      <c r="F348" t="s">
        <v>37</v>
      </c>
      <c r="G348" t="s">
        <v>38</v>
      </c>
      <c r="H348" t="s">
        <v>39</v>
      </c>
      <c r="I348" s="9">
        <v>30000</v>
      </c>
      <c r="J348">
        <v>2</v>
      </c>
      <c r="K348" t="s">
        <v>65</v>
      </c>
      <c r="L348" s="9">
        <f t="shared" si="5"/>
        <v>24000</v>
      </c>
      <c r="M348" s="9">
        <f>Table1[[#This Row],[Unit Price]]*Table1[[#This Row],[Quantity]]</f>
        <v>60000</v>
      </c>
      <c r="N348" s="9">
        <f>Table1[[#This Row],[Cost Price]]*Table1[[#This Row],[Quantity]]</f>
        <v>48000</v>
      </c>
      <c r="O348" s="9">
        <f>Table1[[#This Row],[Revenue]]-Table1[[#This Row],[COGS]]</f>
        <v>12000</v>
      </c>
      <c r="P348" s="6">
        <v>347</v>
      </c>
    </row>
    <row r="349" spans="1:16">
      <c r="A349" s="7" t="s">
        <v>167</v>
      </c>
      <c r="B349" s="7" t="str">
        <f>TEXT(Table1[[#This Row],[Date]],"MMM")</f>
        <v>Apr</v>
      </c>
      <c r="C349" t="s">
        <v>49</v>
      </c>
      <c r="D349" t="s">
        <v>28</v>
      </c>
      <c r="E349" t="s">
        <v>29</v>
      </c>
      <c r="F349" t="s">
        <v>30</v>
      </c>
      <c r="G349" t="s">
        <v>71</v>
      </c>
      <c r="H349" t="s">
        <v>51</v>
      </c>
      <c r="I349" s="9">
        <v>250000</v>
      </c>
      <c r="J349">
        <v>9</v>
      </c>
      <c r="K349" t="s">
        <v>65</v>
      </c>
      <c r="L349" s="9">
        <f t="shared" si="5"/>
        <v>200000</v>
      </c>
      <c r="M349" s="9">
        <f>Table1[[#This Row],[Unit Price]]*Table1[[#This Row],[Quantity]]</f>
        <v>2250000</v>
      </c>
      <c r="N349" s="9">
        <f>Table1[[#This Row],[Cost Price]]*Table1[[#This Row],[Quantity]]</f>
        <v>1800000</v>
      </c>
      <c r="O349" s="9">
        <f>Table1[[#This Row],[Revenue]]-Table1[[#This Row],[COGS]]</f>
        <v>450000</v>
      </c>
      <c r="P349" s="6">
        <v>348</v>
      </c>
    </row>
    <row r="350" spans="1:16">
      <c r="A350" s="7" t="s">
        <v>127</v>
      </c>
      <c r="B350" s="7" t="str">
        <f>TEXT(Table1[[#This Row],[Date]],"MMM")</f>
        <v>Jan</v>
      </c>
      <c r="C350" t="s">
        <v>27</v>
      </c>
      <c r="D350" t="s">
        <v>45</v>
      </c>
      <c r="E350" t="s">
        <v>29</v>
      </c>
      <c r="F350" t="s">
        <v>37</v>
      </c>
      <c r="G350" t="s">
        <v>46</v>
      </c>
      <c r="H350" t="s">
        <v>39</v>
      </c>
      <c r="I350" s="9">
        <v>60000</v>
      </c>
      <c r="J350">
        <v>4</v>
      </c>
      <c r="K350" t="s">
        <v>42</v>
      </c>
      <c r="L350" s="9">
        <f t="shared" si="5"/>
        <v>48000</v>
      </c>
      <c r="M350" s="9">
        <f>Table1[[#This Row],[Unit Price]]*Table1[[#This Row],[Quantity]]</f>
        <v>240000</v>
      </c>
      <c r="N350" s="9">
        <f>Table1[[#This Row],[Cost Price]]*Table1[[#This Row],[Quantity]]</f>
        <v>192000</v>
      </c>
      <c r="O350" s="9">
        <f>Table1[[#This Row],[Revenue]]-Table1[[#This Row],[COGS]]</f>
        <v>48000</v>
      </c>
      <c r="P350" s="6">
        <v>349</v>
      </c>
    </row>
    <row r="351" spans="1:16">
      <c r="A351" s="7" t="s">
        <v>161</v>
      </c>
      <c r="B351" s="7" t="str">
        <f>TEXT(Table1[[#This Row],[Date]],"MMM")</f>
        <v>Mar</v>
      </c>
      <c r="C351" t="s">
        <v>35</v>
      </c>
      <c r="D351" t="s">
        <v>28</v>
      </c>
      <c r="E351" t="s">
        <v>29</v>
      </c>
      <c r="F351" t="s">
        <v>30</v>
      </c>
      <c r="G351" t="s">
        <v>62</v>
      </c>
      <c r="H351" t="s">
        <v>51</v>
      </c>
      <c r="I351" s="9">
        <v>150000</v>
      </c>
      <c r="J351">
        <v>9</v>
      </c>
      <c r="K351" t="s">
        <v>65</v>
      </c>
      <c r="L351" s="9">
        <f t="shared" si="5"/>
        <v>120000</v>
      </c>
      <c r="M351" s="9">
        <f>Table1[[#This Row],[Unit Price]]*Table1[[#This Row],[Quantity]]</f>
        <v>1350000</v>
      </c>
      <c r="N351" s="9">
        <f>Table1[[#This Row],[Cost Price]]*Table1[[#This Row],[Quantity]]</f>
        <v>1080000</v>
      </c>
      <c r="O351" s="9">
        <f>Table1[[#This Row],[Revenue]]-Table1[[#This Row],[COGS]]</f>
        <v>270000</v>
      </c>
      <c r="P351" s="6">
        <v>350</v>
      </c>
    </row>
    <row r="352" spans="1:16">
      <c r="A352" s="7" t="s">
        <v>147</v>
      </c>
      <c r="B352" s="7" t="str">
        <f>TEXT(Table1[[#This Row],[Date]],"MMM")</f>
        <v>Jan</v>
      </c>
      <c r="C352" t="s">
        <v>49</v>
      </c>
      <c r="D352" t="s">
        <v>36</v>
      </c>
      <c r="E352" t="s">
        <v>41</v>
      </c>
      <c r="F352" t="s">
        <v>37</v>
      </c>
      <c r="G352" t="s">
        <v>54</v>
      </c>
      <c r="H352" t="s">
        <v>39</v>
      </c>
      <c r="I352" s="9">
        <v>180000</v>
      </c>
      <c r="J352">
        <v>3</v>
      </c>
      <c r="K352" t="s">
        <v>33</v>
      </c>
      <c r="L352" s="9">
        <f t="shared" si="5"/>
        <v>144000</v>
      </c>
      <c r="M352" s="9">
        <f>Table1[[#This Row],[Unit Price]]*Table1[[#This Row],[Quantity]]</f>
        <v>540000</v>
      </c>
      <c r="N352" s="9">
        <f>Table1[[#This Row],[Cost Price]]*Table1[[#This Row],[Quantity]]</f>
        <v>432000</v>
      </c>
      <c r="O352" s="9">
        <f>Table1[[#This Row],[Revenue]]-Table1[[#This Row],[COGS]]</f>
        <v>108000</v>
      </c>
      <c r="P352" s="6">
        <v>351</v>
      </c>
    </row>
    <row r="353" spans="1:16">
      <c r="A353" s="7" t="s">
        <v>60</v>
      </c>
      <c r="B353" s="7" t="str">
        <f>TEXT(Table1[[#This Row],[Date]],"MMM")</f>
        <v>Mar</v>
      </c>
      <c r="C353" t="s">
        <v>27</v>
      </c>
      <c r="D353" t="s">
        <v>28</v>
      </c>
      <c r="E353" t="s">
        <v>29</v>
      </c>
      <c r="F353" t="s">
        <v>30</v>
      </c>
      <c r="G353" t="s">
        <v>54</v>
      </c>
      <c r="H353" t="s">
        <v>39</v>
      </c>
      <c r="I353" s="9">
        <v>180000</v>
      </c>
      <c r="J353">
        <v>10</v>
      </c>
      <c r="K353" t="s">
        <v>33</v>
      </c>
      <c r="L353" s="9">
        <f t="shared" si="5"/>
        <v>144000</v>
      </c>
      <c r="M353" s="9">
        <f>Table1[[#This Row],[Unit Price]]*Table1[[#This Row],[Quantity]]</f>
        <v>1800000</v>
      </c>
      <c r="N353" s="9">
        <f>Table1[[#This Row],[Cost Price]]*Table1[[#This Row],[Quantity]]</f>
        <v>1440000</v>
      </c>
      <c r="O353" s="9">
        <f>Table1[[#This Row],[Revenue]]-Table1[[#This Row],[COGS]]</f>
        <v>360000</v>
      </c>
      <c r="P353" s="6">
        <v>352</v>
      </c>
    </row>
    <row r="354" spans="1:16">
      <c r="A354" s="7" t="s">
        <v>26</v>
      </c>
      <c r="B354" s="7" t="str">
        <f>TEXT(Table1[[#This Row],[Date]],"MMM")</f>
        <v>Jan</v>
      </c>
      <c r="C354" t="s">
        <v>35</v>
      </c>
      <c r="D354" t="s">
        <v>36</v>
      </c>
      <c r="E354" t="s">
        <v>29</v>
      </c>
      <c r="F354" t="s">
        <v>30</v>
      </c>
      <c r="G354" t="s">
        <v>73</v>
      </c>
      <c r="H354" t="s">
        <v>39</v>
      </c>
      <c r="I354" s="9">
        <v>220000</v>
      </c>
      <c r="J354">
        <v>2</v>
      </c>
      <c r="K354" t="s">
        <v>33</v>
      </c>
      <c r="L354" s="9">
        <f t="shared" si="5"/>
        <v>176000</v>
      </c>
      <c r="M354" s="9">
        <f>Table1[[#This Row],[Unit Price]]*Table1[[#This Row],[Quantity]]</f>
        <v>440000</v>
      </c>
      <c r="N354" s="9">
        <f>Table1[[#This Row],[Cost Price]]*Table1[[#This Row],[Quantity]]</f>
        <v>352000</v>
      </c>
      <c r="O354" s="9">
        <f>Table1[[#This Row],[Revenue]]-Table1[[#This Row],[COGS]]</f>
        <v>88000</v>
      </c>
      <c r="P354" s="6">
        <v>353</v>
      </c>
    </row>
    <row r="355" spans="1:16">
      <c r="A355" s="7" t="s">
        <v>137</v>
      </c>
      <c r="B355" s="7" t="str">
        <f>TEXT(Table1[[#This Row],[Date]],"MMM")</f>
        <v>Apr</v>
      </c>
      <c r="C355" t="s">
        <v>49</v>
      </c>
      <c r="D355" t="s">
        <v>28</v>
      </c>
      <c r="E355" t="s">
        <v>41</v>
      </c>
      <c r="F355" t="s">
        <v>30</v>
      </c>
      <c r="G355" t="s">
        <v>67</v>
      </c>
      <c r="H355" t="s">
        <v>51</v>
      </c>
      <c r="I355" s="9">
        <v>420000</v>
      </c>
      <c r="J355">
        <v>10</v>
      </c>
      <c r="K355" t="s">
        <v>47</v>
      </c>
      <c r="L355" s="9">
        <f t="shared" si="5"/>
        <v>336000</v>
      </c>
      <c r="M355" s="9">
        <f>Table1[[#This Row],[Unit Price]]*Table1[[#This Row],[Quantity]]</f>
        <v>4200000</v>
      </c>
      <c r="N355" s="9">
        <f>Table1[[#This Row],[Cost Price]]*Table1[[#This Row],[Quantity]]</f>
        <v>3360000</v>
      </c>
      <c r="O355" s="9">
        <f>Table1[[#This Row],[Revenue]]-Table1[[#This Row],[COGS]]</f>
        <v>840000</v>
      </c>
      <c r="P355" s="6">
        <v>354</v>
      </c>
    </row>
    <row r="356" spans="1:16">
      <c r="A356" s="7" t="s">
        <v>122</v>
      </c>
      <c r="B356" s="7" t="str">
        <f>TEXT(Table1[[#This Row],[Date]],"MMM")</f>
        <v>Mar</v>
      </c>
      <c r="C356" t="s">
        <v>27</v>
      </c>
      <c r="D356" t="s">
        <v>28</v>
      </c>
      <c r="E356" t="s">
        <v>29</v>
      </c>
      <c r="F356" t="s">
        <v>37</v>
      </c>
      <c r="G356" t="s">
        <v>38</v>
      </c>
      <c r="H356" t="s">
        <v>39</v>
      </c>
      <c r="I356" s="9">
        <v>30000</v>
      </c>
      <c r="J356">
        <v>9</v>
      </c>
      <c r="K356" t="s">
        <v>69</v>
      </c>
      <c r="L356" s="9">
        <f t="shared" si="5"/>
        <v>24000</v>
      </c>
      <c r="M356" s="9">
        <f>Table1[[#This Row],[Unit Price]]*Table1[[#This Row],[Quantity]]</f>
        <v>270000</v>
      </c>
      <c r="N356" s="9">
        <f>Table1[[#This Row],[Cost Price]]*Table1[[#This Row],[Quantity]]</f>
        <v>216000</v>
      </c>
      <c r="O356" s="9">
        <f>Table1[[#This Row],[Revenue]]-Table1[[#This Row],[COGS]]</f>
        <v>54000</v>
      </c>
      <c r="P356" s="6">
        <v>355</v>
      </c>
    </row>
    <row r="357" spans="1:16">
      <c r="A357" s="7" t="s">
        <v>26</v>
      </c>
      <c r="B357" s="7" t="str">
        <f>TEXT(Table1[[#This Row],[Date]],"MMM")</f>
        <v>Jan</v>
      </c>
      <c r="C357" t="s">
        <v>27</v>
      </c>
      <c r="D357" t="s">
        <v>53</v>
      </c>
      <c r="E357" t="s">
        <v>41</v>
      </c>
      <c r="F357" t="s">
        <v>30</v>
      </c>
      <c r="G357" t="s">
        <v>56</v>
      </c>
      <c r="H357" t="s">
        <v>32</v>
      </c>
      <c r="I357" s="9">
        <v>320000</v>
      </c>
      <c r="J357">
        <v>6</v>
      </c>
      <c r="K357" t="s">
        <v>58</v>
      </c>
      <c r="L357" s="9">
        <f t="shared" si="5"/>
        <v>256000</v>
      </c>
      <c r="M357" s="9">
        <f>Table1[[#This Row],[Unit Price]]*Table1[[#This Row],[Quantity]]</f>
        <v>1920000</v>
      </c>
      <c r="N357" s="9">
        <f>Table1[[#This Row],[Cost Price]]*Table1[[#This Row],[Quantity]]</f>
        <v>1536000</v>
      </c>
      <c r="O357" s="9">
        <f>Table1[[#This Row],[Revenue]]-Table1[[#This Row],[COGS]]</f>
        <v>384000</v>
      </c>
      <c r="P357" s="6">
        <v>356</v>
      </c>
    </row>
    <row r="358" spans="1:16">
      <c r="A358" s="7" t="s">
        <v>61</v>
      </c>
      <c r="B358" s="7" t="str">
        <f>TEXT(Table1[[#This Row],[Date]],"MMM")</f>
        <v>Jan</v>
      </c>
      <c r="C358" t="s">
        <v>27</v>
      </c>
      <c r="D358" t="s">
        <v>53</v>
      </c>
      <c r="E358" t="s">
        <v>29</v>
      </c>
      <c r="F358" t="s">
        <v>37</v>
      </c>
      <c r="G358" t="s">
        <v>67</v>
      </c>
      <c r="H358" t="s">
        <v>51</v>
      </c>
      <c r="I358" s="9">
        <v>420000</v>
      </c>
      <c r="J358">
        <v>2</v>
      </c>
      <c r="K358" t="s">
        <v>69</v>
      </c>
      <c r="L358" s="9">
        <f t="shared" si="5"/>
        <v>336000</v>
      </c>
      <c r="M358" s="9">
        <f>Table1[[#This Row],[Unit Price]]*Table1[[#This Row],[Quantity]]</f>
        <v>840000</v>
      </c>
      <c r="N358" s="9">
        <f>Table1[[#This Row],[Cost Price]]*Table1[[#This Row],[Quantity]]</f>
        <v>672000</v>
      </c>
      <c r="O358" s="9">
        <f>Table1[[#This Row],[Revenue]]-Table1[[#This Row],[COGS]]</f>
        <v>168000</v>
      </c>
      <c r="P358" s="6">
        <v>357</v>
      </c>
    </row>
    <row r="359" spans="1:16">
      <c r="A359" s="7" t="s">
        <v>167</v>
      </c>
      <c r="B359" s="7" t="str">
        <f>TEXT(Table1[[#This Row],[Date]],"MMM")</f>
        <v>Apr</v>
      </c>
      <c r="C359" t="s">
        <v>44</v>
      </c>
      <c r="D359" t="s">
        <v>45</v>
      </c>
      <c r="E359" t="s">
        <v>41</v>
      </c>
      <c r="F359" t="s">
        <v>30</v>
      </c>
      <c r="G359" t="s">
        <v>56</v>
      </c>
      <c r="H359" t="s">
        <v>32</v>
      </c>
      <c r="I359" s="9">
        <v>320000</v>
      </c>
      <c r="J359">
        <v>10</v>
      </c>
      <c r="K359" t="s">
        <v>58</v>
      </c>
      <c r="L359" s="9">
        <f t="shared" si="5"/>
        <v>256000</v>
      </c>
      <c r="M359" s="9">
        <f>Table1[[#This Row],[Unit Price]]*Table1[[#This Row],[Quantity]]</f>
        <v>3200000</v>
      </c>
      <c r="N359" s="9">
        <f>Table1[[#This Row],[Cost Price]]*Table1[[#This Row],[Quantity]]</f>
        <v>2560000</v>
      </c>
      <c r="O359" s="9">
        <f>Table1[[#This Row],[Revenue]]-Table1[[#This Row],[COGS]]</f>
        <v>640000</v>
      </c>
      <c r="P359" s="6">
        <v>358</v>
      </c>
    </row>
    <row r="360" spans="1:16">
      <c r="A360" s="7" t="s">
        <v>57</v>
      </c>
      <c r="B360" s="7" t="str">
        <f>TEXT(Table1[[#This Row],[Date]],"MMM")</f>
        <v>Feb</v>
      </c>
      <c r="C360" t="s">
        <v>35</v>
      </c>
      <c r="D360" t="s">
        <v>45</v>
      </c>
      <c r="E360" t="s">
        <v>41</v>
      </c>
      <c r="F360" t="s">
        <v>37</v>
      </c>
      <c r="G360" t="s">
        <v>50</v>
      </c>
      <c r="H360" t="s">
        <v>51</v>
      </c>
      <c r="I360" s="9">
        <v>300000</v>
      </c>
      <c r="J360">
        <v>8</v>
      </c>
      <c r="K360" t="s">
        <v>69</v>
      </c>
      <c r="L360" s="9">
        <f t="shared" si="5"/>
        <v>240000</v>
      </c>
      <c r="M360" s="9">
        <f>Table1[[#This Row],[Unit Price]]*Table1[[#This Row],[Quantity]]</f>
        <v>2400000</v>
      </c>
      <c r="N360" s="9">
        <f>Table1[[#This Row],[Cost Price]]*Table1[[#This Row],[Quantity]]</f>
        <v>1920000</v>
      </c>
      <c r="O360" s="9">
        <f>Table1[[#This Row],[Revenue]]-Table1[[#This Row],[COGS]]</f>
        <v>480000</v>
      </c>
      <c r="P360" s="6">
        <v>359</v>
      </c>
    </row>
    <row r="361" spans="1:16">
      <c r="A361" s="7" t="s">
        <v>144</v>
      </c>
      <c r="B361" s="7" t="str">
        <f>TEXT(Table1[[#This Row],[Date]],"MMM")</f>
        <v>Feb</v>
      </c>
      <c r="C361" t="s">
        <v>35</v>
      </c>
      <c r="D361" t="s">
        <v>28</v>
      </c>
      <c r="E361" t="s">
        <v>41</v>
      </c>
      <c r="F361" t="s">
        <v>30</v>
      </c>
      <c r="G361" t="s">
        <v>46</v>
      </c>
      <c r="H361" t="s">
        <v>39</v>
      </c>
      <c r="I361" s="9">
        <v>60000</v>
      </c>
      <c r="J361">
        <v>1</v>
      </c>
      <c r="K361" t="s">
        <v>42</v>
      </c>
      <c r="L361" s="9">
        <f t="shared" si="5"/>
        <v>48000</v>
      </c>
      <c r="M361" s="9">
        <f>Table1[[#This Row],[Unit Price]]*Table1[[#This Row],[Quantity]]</f>
        <v>60000</v>
      </c>
      <c r="N361" s="9">
        <f>Table1[[#This Row],[Cost Price]]*Table1[[#This Row],[Quantity]]</f>
        <v>48000</v>
      </c>
      <c r="O361" s="9">
        <f>Table1[[#This Row],[Revenue]]-Table1[[#This Row],[COGS]]</f>
        <v>12000</v>
      </c>
      <c r="P361" s="6">
        <v>360</v>
      </c>
    </row>
    <row r="362" spans="1:16">
      <c r="A362" s="7" t="s">
        <v>131</v>
      </c>
      <c r="B362" s="7" t="str">
        <f>TEXT(Table1[[#This Row],[Date]],"MMM")</f>
        <v>Mar</v>
      </c>
      <c r="C362" t="s">
        <v>44</v>
      </c>
      <c r="D362" t="s">
        <v>36</v>
      </c>
      <c r="E362" t="s">
        <v>41</v>
      </c>
      <c r="F362" t="s">
        <v>30</v>
      </c>
      <c r="G362" t="s">
        <v>31</v>
      </c>
      <c r="H362" t="s">
        <v>32</v>
      </c>
      <c r="I362" s="9">
        <v>85000</v>
      </c>
      <c r="J362">
        <v>3</v>
      </c>
      <c r="K362" t="s">
        <v>42</v>
      </c>
      <c r="L362" s="9">
        <f t="shared" si="5"/>
        <v>68000</v>
      </c>
      <c r="M362" s="9">
        <f>Table1[[#This Row],[Unit Price]]*Table1[[#This Row],[Quantity]]</f>
        <v>255000</v>
      </c>
      <c r="N362" s="9">
        <f>Table1[[#This Row],[Cost Price]]*Table1[[#This Row],[Quantity]]</f>
        <v>204000</v>
      </c>
      <c r="O362" s="9">
        <f>Table1[[#This Row],[Revenue]]-Table1[[#This Row],[COGS]]</f>
        <v>51000</v>
      </c>
      <c r="P362" s="6">
        <v>361</v>
      </c>
    </row>
    <row r="363" spans="1:16">
      <c r="A363" s="7" t="s">
        <v>164</v>
      </c>
      <c r="B363" s="7" t="str">
        <f>TEXT(Table1[[#This Row],[Date]],"MMM")</f>
        <v>Mar</v>
      </c>
      <c r="C363" t="s">
        <v>35</v>
      </c>
      <c r="D363" t="s">
        <v>45</v>
      </c>
      <c r="E363" t="s">
        <v>41</v>
      </c>
      <c r="F363" t="s">
        <v>37</v>
      </c>
      <c r="G363" t="s">
        <v>38</v>
      </c>
      <c r="H363" t="s">
        <v>39</v>
      </c>
      <c r="I363" s="9">
        <v>30000</v>
      </c>
      <c r="J363">
        <v>10</v>
      </c>
      <c r="K363" t="s">
        <v>33</v>
      </c>
      <c r="L363" s="9">
        <f t="shared" si="5"/>
        <v>24000</v>
      </c>
      <c r="M363" s="9">
        <f>Table1[[#This Row],[Unit Price]]*Table1[[#This Row],[Quantity]]</f>
        <v>300000</v>
      </c>
      <c r="N363" s="9">
        <f>Table1[[#This Row],[Cost Price]]*Table1[[#This Row],[Quantity]]</f>
        <v>240000</v>
      </c>
      <c r="O363" s="9">
        <f>Table1[[#This Row],[Revenue]]-Table1[[#This Row],[COGS]]</f>
        <v>60000</v>
      </c>
      <c r="P363" s="6">
        <v>362</v>
      </c>
    </row>
    <row r="364" spans="1:16">
      <c r="A364" s="7" t="s">
        <v>134</v>
      </c>
      <c r="B364" s="7" t="str">
        <f>TEXT(Table1[[#This Row],[Date]],"MMM")</f>
        <v>Jan</v>
      </c>
      <c r="C364" t="s">
        <v>35</v>
      </c>
      <c r="D364" t="s">
        <v>45</v>
      </c>
      <c r="E364" t="s">
        <v>41</v>
      </c>
      <c r="F364" t="s">
        <v>30</v>
      </c>
      <c r="G364" t="s">
        <v>38</v>
      </c>
      <c r="H364" t="s">
        <v>39</v>
      </c>
      <c r="I364" s="9">
        <v>30000</v>
      </c>
      <c r="J364">
        <v>4</v>
      </c>
      <c r="K364" t="s">
        <v>58</v>
      </c>
      <c r="L364" s="9">
        <f t="shared" si="5"/>
        <v>24000</v>
      </c>
      <c r="M364" s="9">
        <f>Table1[[#This Row],[Unit Price]]*Table1[[#This Row],[Quantity]]</f>
        <v>120000</v>
      </c>
      <c r="N364" s="9">
        <f>Table1[[#This Row],[Cost Price]]*Table1[[#This Row],[Quantity]]</f>
        <v>96000</v>
      </c>
      <c r="O364" s="9">
        <f>Table1[[#This Row],[Revenue]]-Table1[[#This Row],[COGS]]</f>
        <v>24000</v>
      </c>
      <c r="P364" s="6">
        <v>363</v>
      </c>
    </row>
    <row r="365" spans="1:16">
      <c r="A365" s="7" t="s">
        <v>139</v>
      </c>
      <c r="B365" s="7" t="str">
        <f>TEXT(Table1[[#This Row],[Date]],"MMM")</f>
        <v>Jan</v>
      </c>
      <c r="C365" t="s">
        <v>44</v>
      </c>
      <c r="D365" t="s">
        <v>53</v>
      </c>
      <c r="E365" t="s">
        <v>41</v>
      </c>
      <c r="F365" t="s">
        <v>37</v>
      </c>
      <c r="G365" t="s">
        <v>62</v>
      </c>
      <c r="H365" t="s">
        <v>51</v>
      </c>
      <c r="I365" s="9">
        <v>150000</v>
      </c>
      <c r="J365">
        <v>3</v>
      </c>
      <c r="K365" t="s">
        <v>42</v>
      </c>
      <c r="L365" s="9">
        <f t="shared" si="5"/>
        <v>120000</v>
      </c>
      <c r="M365" s="9">
        <f>Table1[[#This Row],[Unit Price]]*Table1[[#This Row],[Quantity]]</f>
        <v>450000</v>
      </c>
      <c r="N365" s="9">
        <f>Table1[[#This Row],[Cost Price]]*Table1[[#This Row],[Quantity]]</f>
        <v>360000</v>
      </c>
      <c r="O365" s="9">
        <f>Table1[[#This Row],[Revenue]]-Table1[[#This Row],[COGS]]</f>
        <v>90000</v>
      </c>
      <c r="P365" s="6">
        <v>364</v>
      </c>
    </row>
    <row r="366" spans="1:16">
      <c r="A366" s="7" t="s">
        <v>138</v>
      </c>
      <c r="B366" s="7" t="str">
        <f>TEXT(Table1[[#This Row],[Date]],"MMM")</f>
        <v>Apr</v>
      </c>
      <c r="C366" t="s">
        <v>27</v>
      </c>
      <c r="D366" t="s">
        <v>28</v>
      </c>
      <c r="E366" t="s">
        <v>41</v>
      </c>
      <c r="F366" t="s">
        <v>30</v>
      </c>
      <c r="G366" t="s">
        <v>62</v>
      </c>
      <c r="H366" t="s">
        <v>51</v>
      </c>
      <c r="I366" s="9">
        <v>150000</v>
      </c>
      <c r="J366">
        <v>3</v>
      </c>
      <c r="K366" t="s">
        <v>33</v>
      </c>
      <c r="L366" s="9">
        <f t="shared" si="5"/>
        <v>120000</v>
      </c>
      <c r="M366" s="9">
        <f>Table1[[#This Row],[Unit Price]]*Table1[[#This Row],[Quantity]]</f>
        <v>450000</v>
      </c>
      <c r="N366" s="9">
        <f>Table1[[#This Row],[Cost Price]]*Table1[[#This Row],[Quantity]]</f>
        <v>360000</v>
      </c>
      <c r="O366" s="9">
        <f>Table1[[#This Row],[Revenue]]-Table1[[#This Row],[COGS]]</f>
        <v>90000</v>
      </c>
      <c r="P366" s="6">
        <v>365</v>
      </c>
    </row>
    <row r="367" spans="1:16">
      <c r="A367" s="7" t="s">
        <v>121</v>
      </c>
      <c r="B367" s="7" t="str">
        <f>TEXT(Table1[[#This Row],[Date]],"MMM")</f>
        <v>Apr</v>
      </c>
      <c r="C367" t="s">
        <v>35</v>
      </c>
      <c r="D367" t="s">
        <v>45</v>
      </c>
      <c r="E367" t="s">
        <v>41</v>
      </c>
      <c r="F367" t="s">
        <v>37</v>
      </c>
      <c r="G367" t="s">
        <v>31</v>
      </c>
      <c r="H367" t="s">
        <v>32</v>
      </c>
      <c r="I367" s="9">
        <v>85000</v>
      </c>
      <c r="J367">
        <v>8</v>
      </c>
      <c r="K367" t="s">
        <v>33</v>
      </c>
      <c r="L367" s="9">
        <f t="shared" si="5"/>
        <v>68000</v>
      </c>
      <c r="M367" s="9">
        <f>Table1[[#This Row],[Unit Price]]*Table1[[#This Row],[Quantity]]</f>
        <v>680000</v>
      </c>
      <c r="N367" s="9">
        <f>Table1[[#This Row],[Cost Price]]*Table1[[#This Row],[Quantity]]</f>
        <v>544000</v>
      </c>
      <c r="O367" s="9">
        <f>Table1[[#This Row],[Revenue]]-Table1[[#This Row],[COGS]]</f>
        <v>136000</v>
      </c>
      <c r="P367" s="6">
        <v>366</v>
      </c>
    </row>
    <row r="368" spans="1:16">
      <c r="A368" s="7" t="s">
        <v>142</v>
      </c>
      <c r="B368" s="7" t="str">
        <f>TEXT(Table1[[#This Row],[Date]],"MMM")</f>
        <v>Apr</v>
      </c>
      <c r="C368" t="s">
        <v>44</v>
      </c>
      <c r="D368" t="s">
        <v>45</v>
      </c>
      <c r="E368" t="s">
        <v>41</v>
      </c>
      <c r="F368" t="s">
        <v>30</v>
      </c>
      <c r="G368" t="s">
        <v>67</v>
      </c>
      <c r="H368" t="s">
        <v>51</v>
      </c>
      <c r="I368" s="9">
        <v>420000</v>
      </c>
      <c r="J368">
        <v>7</v>
      </c>
      <c r="K368" t="s">
        <v>33</v>
      </c>
      <c r="L368" s="9">
        <f t="shared" si="5"/>
        <v>336000</v>
      </c>
      <c r="M368" s="9">
        <f>Table1[[#This Row],[Unit Price]]*Table1[[#This Row],[Quantity]]</f>
        <v>2940000</v>
      </c>
      <c r="N368" s="9">
        <f>Table1[[#This Row],[Cost Price]]*Table1[[#This Row],[Quantity]]</f>
        <v>2352000</v>
      </c>
      <c r="O368" s="9">
        <f>Table1[[#This Row],[Revenue]]-Table1[[#This Row],[COGS]]</f>
        <v>588000</v>
      </c>
      <c r="P368" s="6">
        <v>367</v>
      </c>
    </row>
    <row r="369" spans="1:16">
      <c r="A369" s="7" t="s">
        <v>134</v>
      </c>
      <c r="B369" s="7" t="str">
        <f>TEXT(Table1[[#This Row],[Date]],"MMM")</f>
        <v>Jan</v>
      </c>
      <c r="C369" t="s">
        <v>35</v>
      </c>
      <c r="D369" t="s">
        <v>53</v>
      </c>
      <c r="E369" t="s">
        <v>41</v>
      </c>
      <c r="F369" t="s">
        <v>37</v>
      </c>
      <c r="G369" t="s">
        <v>62</v>
      </c>
      <c r="H369" t="s">
        <v>51</v>
      </c>
      <c r="I369" s="9">
        <v>150000</v>
      </c>
      <c r="J369">
        <v>3</v>
      </c>
      <c r="K369" t="s">
        <v>42</v>
      </c>
      <c r="L369" s="9">
        <f t="shared" si="5"/>
        <v>120000</v>
      </c>
      <c r="M369" s="9">
        <f>Table1[[#This Row],[Unit Price]]*Table1[[#This Row],[Quantity]]</f>
        <v>450000</v>
      </c>
      <c r="N369" s="9">
        <f>Table1[[#This Row],[Cost Price]]*Table1[[#This Row],[Quantity]]</f>
        <v>360000</v>
      </c>
      <c r="O369" s="9">
        <f>Table1[[#This Row],[Revenue]]-Table1[[#This Row],[COGS]]</f>
        <v>90000</v>
      </c>
      <c r="P369" s="6">
        <v>368</v>
      </c>
    </row>
    <row r="370" spans="1:16">
      <c r="A370" s="7" t="s">
        <v>43</v>
      </c>
      <c r="B370" s="7" t="str">
        <f>TEXT(Table1[[#This Row],[Date]],"MMM")</f>
        <v>Apr</v>
      </c>
      <c r="C370" t="s">
        <v>27</v>
      </c>
      <c r="D370" t="s">
        <v>53</v>
      </c>
      <c r="E370" t="s">
        <v>41</v>
      </c>
      <c r="F370" t="s">
        <v>37</v>
      </c>
      <c r="G370" t="s">
        <v>56</v>
      </c>
      <c r="H370" t="s">
        <v>32</v>
      </c>
      <c r="I370" s="9">
        <v>320000</v>
      </c>
      <c r="J370">
        <v>1</v>
      </c>
      <c r="K370" t="s">
        <v>47</v>
      </c>
      <c r="L370" s="9">
        <f t="shared" si="5"/>
        <v>256000</v>
      </c>
      <c r="M370" s="9">
        <f>Table1[[#This Row],[Unit Price]]*Table1[[#This Row],[Quantity]]</f>
        <v>320000</v>
      </c>
      <c r="N370" s="9">
        <f>Table1[[#This Row],[Cost Price]]*Table1[[#This Row],[Quantity]]</f>
        <v>256000</v>
      </c>
      <c r="O370" s="9">
        <f>Table1[[#This Row],[Revenue]]-Table1[[#This Row],[COGS]]</f>
        <v>64000</v>
      </c>
      <c r="P370" s="6">
        <v>369</v>
      </c>
    </row>
    <row r="371" spans="1:16">
      <c r="A371" s="7" t="s">
        <v>80</v>
      </c>
      <c r="B371" s="7" t="str">
        <f>TEXT(Table1[[#This Row],[Date]],"MMM")</f>
        <v>Feb</v>
      </c>
      <c r="C371" t="s">
        <v>35</v>
      </c>
      <c r="D371" t="s">
        <v>53</v>
      </c>
      <c r="E371" t="s">
        <v>41</v>
      </c>
      <c r="F371" t="s">
        <v>30</v>
      </c>
      <c r="G371" t="s">
        <v>54</v>
      </c>
      <c r="H371" t="s">
        <v>39</v>
      </c>
      <c r="I371" s="9">
        <v>180000</v>
      </c>
      <c r="J371">
        <v>5</v>
      </c>
      <c r="K371" t="s">
        <v>33</v>
      </c>
      <c r="L371" s="9">
        <f t="shared" si="5"/>
        <v>144000</v>
      </c>
      <c r="M371" s="9">
        <f>Table1[[#This Row],[Unit Price]]*Table1[[#This Row],[Quantity]]</f>
        <v>900000</v>
      </c>
      <c r="N371" s="9">
        <f>Table1[[#This Row],[Cost Price]]*Table1[[#This Row],[Quantity]]</f>
        <v>720000</v>
      </c>
      <c r="O371" s="9">
        <f>Table1[[#This Row],[Revenue]]-Table1[[#This Row],[COGS]]</f>
        <v>180000</v>
      </c>
      <c r="P371" s="6">
        <v>370</v>
      </c>
    </row>
    <row r="372" spans="1:16">
      <c r="A372" s="7" t="s">
        <v>105</v>
      </c>
      <c r="B372" s="7" t="str">
        <f>TEXT(Table1[[#This Row],[Date]],"MMM")</f>
        <v>Mar</v>
      </c>
      <c r="C372" t="s">
        <v>49</v>
      </c>
      <c r="D372" t="s">
        <v>45</v>
      </c>
      <c r="E372" t="s">
        <v>41</v>
      </c>
      <c r="F372" t="s">
        <v>37</v>
      </c>
      <c r="G372" t="s">
        <v>50</v>
      </c>
      <c r="H372" t="s">
        <v>51</v>
      </c>
      <c r="I372" s="9">
        <v>300000</v>
      </c>
      <c r="J372">
        <v>1</v>
      </c>
      <c r="K372" t="s">
        <v>47</v>
      </c>
      <c r="L372" s="9">
        <f t="shared" si="5"/>
        <v>240000</v>
      </c>
      <c r="M372" s="9">
        <f>Table1[[#This Row],[Unit Price]]*Table1[[#This Row],[Quantity]]</f>
        <v>300000</v>
      </c>
      <c r="N372" s="9">
        <f>Table1[[#This Row],[Cost Price]]*Table1[[#This Row],[Quantity]]</f>
        <v>240000</v>
      </c>
      <c r="O372" s="9">
        <f>Table1[[#This Row],[Revenue]]-Table1[[#This Row],[COGS]]</f>
        <v>60000</v>
      </c>
      <c r="P372" s="6">
        <v>371</v>
      </c>
    </row>
    <row r="373" spans="1:16">
      <c r="A373" s="7" t="s">
        <v>168</v>
      </c>
      <c r="B373" s="7" t="str">
        <f>TEXT(Table1[[#This Row],[Date]],"MMM")</f>
        <v>Apr</v>
      </c>
      <c r="C373" t="s">
        <v>35</v>
      </c>
      <c r="D373" t="s">
        <v>28</v>
      </c>
      <c r="E373" t="s">
        <v>41</v>
      </c>
      <c r="F373" t="s">
        <v>30</v>
      </c>
      <c r="G373" t="s">
        <v>54</v>
      </c>
      <c r="H373" t="s">
        <v>39</v>
      </c>
      <c r="I373" s="9">
        <v>180000</v>
      </c>
      <c r="J373">
        <v>8</v>
      </c>
      <c r="K373" t="s">
        <v>65</v>
      </c>
      <c r="L373" s="9">
        <f t="shared" si="5"/>
        <v>144000</v>
      </c>
      <c r="M373" s="9">
        <f>Table1[[#This Row],[Unit Price]]*Table1[[#This Row],[Quantity]]</f>
        <v>1440000</v>
      </c>
      <c r="N373" s="9">
        <f>Table1[[#This Row],[Cost Price]]*Table1[[#This Row],[Quantity]]</f>
        <v>1152000</v>
      </c>
      <c r="O373" s="9">
        <f>Table1[[#This Row],[Revenue]]-Table1[[#This Row],[COGS]]</f>
        <v>288000</v>
      </c>
      <c r="P373" s="6">
        <v>372</v>
      </c>
    </row>
    <row r="374" spans="1:16">
      <c r="A374" s="7" t="s">
        <v>132</v>
      </c>
      <c r="B374" s="7" t="str">
        <f>TEXT(Table1[[#This Row],[Date]],"MMM")</f>
        <v>Apr</v>
      </c>
      <c r="C374" t="s">
        <v>44</v>
      </c>
      <c r="D374" t="s">
        <v>45</v>
      </c>
      <c r="E374" t="s">
        <v>41</v>
      </c>
      <c r="F374" t="s">
        <v>30</v>
      </c>
      <c r="G374" t="s">
        <v>54</v>
      </c>
      <c r="H374" t="s">
        <v>39</v>
      </c>
      <c r="I374" s="9">
        <v>180000</v>
      </c>
      <c r="J374">
        <v>3</v>
      </c>
      <c r="K374" t="s">
        <v>58</v>
      </c>
      <c r="L374" s="9">
        <f t="shared" si="5"/>
        <v>144000</v>
      </c>
      <c r="M374" s="9">
        <f>Table1[[#This Row],[Unit Price]]*Table1[[#This Row],[Quantity]]</f>
        <v>540000</v>
      </c>
      <c r="N374" s="9">
        <f>Table1[[#This Row],[Cost Price]]*Table1[[#This Row],[Quantity]]</f>
        <v>432000</v>
      </c>
      <c r="O374" s="9">
        <f>Table1[[#This Row],[Revenue]]-Table1[[#This Row],[COGS]]</f>
        <v>108000</v>
      </c>
      <c r="P374" s="6">
        <v>373</v>
      </c>
    </row>
    <row r="375" spans="1:16">
      <c r="A375" s="7" t="s">
        <v>158</v>
      </c>
      <c r="B375" s="7" t="str">
        <f>TEXT(Table1[[#This Row],[Date]],"MMM")</f>
        <v>Jan</v>
      </c>
      <c r="C375" t="s">
        <v>27</v>
      </c>
      <c r="D375" t="s">
        <v>53</v>
      </c>
      <c r="E375" t="s">
        <v>41</v>
      </c>
      <c r="F375" t="s">
        <v>37</v>
      </c>
      <c r="G375" t="s">
        <v>56</v>
      </c>
      <c r="H375" t="s">
        <v>32</v>
      </c>
      <c r="I375" s="9">
        <v>320000</v>
      </c>
      <c r="J375">
        <v>6</v>
      </c>
      <c r="K375" t="s">
        <v>69</v>
      </c>
      <c r="L375" s="9">
        <f t="shared" si="5"/>
        <v>256000</v>
      </c>
      <c r="M375" s="9">
        <f>Table1[[#This Row],[Unit Price]]*Table1[[#This Row],[Quantity]]</f>
        <v>1920000</v>
      </c>
      <c r="N375" s="9">
        <f>Table1[[#This Row],[Cost Price]]*Table1[[#This Row],[Quantity]]</f>
        <v>1536000</v>
      </c>
      <c r="O375" s="9">
        <f>Table1[[#This Row],[Revenue]]-Table1[[#This Row],[COGS]]</f>
        <v>384000</v>
      </c>
      <c r="P375" s="6">
        <v>374</v>
      </c>
    </row>
    <row r="376" spans="1:16">
      <c r="A376" s="7" t="s">
        <v>147</v>
      </c>
      <c r="B376" s="7" t="str">
        <f>TEXT(Table1[[#This Row],[Date]],"MMM")</f>
        <v>Jan</v>
      </c>
      <c r="C376" t="s">
        <v>27</v>
      </c>
      <c r="D376" t="s">
        <v>53</v>
      </c>
      <c r="E376" t="s">
        <v>41</v>
      </c>
      <c r="F376" t="s">
        <v>37</v>
      </c>
      <c r="G376" t="s">
        <v>46</v>
      </c>
      <c r="H376" t="s">
        <v>39</v>
      </c>
      <c r="I376" s="9">
        <v>60000</v>
      </c>
      <c r="J376">
        <v>10</v>
      </c>
      <c r="K376" t="s">
        <v>33</v>
      </c>
      <c r="L376" s="9">
        <f t="shared" si="5"/>
        <v>48000</v>
      </c>
      <c r="M376" s="9">
        <f>Table1[[#This Row],[Unit Price]]*Table1[[#This Row],[Quantity]]</f>
        <v>600000</v>
      </c>
      <c r="N376" s="9">
        <f>Table1[[#This Row],[Cost Price]]*Table1[[#This Row],[Quantity]]</f>
        <v>480000</v>
      </c>
      <c r="O376" s="9">
        <f>Table1[[#This Row],[Revenue]]-Table1[[#This Row],[COGS]]</f>
        <v>120000</v>
      </c>
      <c r="P376" s="6">
        <v>375</v>
      </c>
    </row>
    <row r="377" spans="1:16">
      <c r="A377" s="7" t="s">
        <v>124</v>
      </c>
      <c r="B377" s="7" t="str">
        <f>TEXT(Table1[[#This Row],[Date]],"MMM")</f>
        <v>Feb</v>
      </c>
      <c r="C377" t="s">
        <v>44</v>
      </c>
      <c r="D377" t="s">
        <v>36</v>
      </c>
      <c r="E377" t="s">
        <v>41</v>
      </c>
      <c r="F377" t="s">
        <v>37</v>
      </c>
      <c r="G377" t="s">
        <v>50</v>
      </c>
      <c r="H377" t="s">
        <v>51</v>
      </c>
      <c r="I377" s="9">
        <v>300000</v>
      </c>
      <c r="J377">
        <v>1</v>
      </c>
      <c r="K377" t="s">
        <v>65</v>
      </c>
      <c r="L377" s="9">
        <f t="shared" si="5"/>
        <v>240000</v>
      </c>
      <c r="M377" s="9">
        <f>Table1[[#This Row],[Unit Price]]*Table1[[#This Row],[Quantity]]</f>
        <v>300000</v>
      </c>
      <c r="N377" s="9">
        <f>Table1[[#This Row],[Cost Price]]*Table1[[#This Row],[Quantity]]</f>
        <v>240000</v>
      </c>
      <c r="O377" s="9">
        <f>Table1[[#This Row],[Revenue]]-Table1[[#This Row],[COGS]]</f>
        <v>60000</v>
      </c>
      <c r="P377" s="6">
        <v>376</v>
      </c>
    </row>
    <row r="378" spans="1:16">
      <c r="A378" s="7" t="s">
        <v>153</v>
      </c>
      <c r="B378" s="7" t="str">
        <f>TEXT(Table1[[#This Row],[Date]],"MMM")</f>
        <v>Mar</v>
      </c>
      <c r="C378" t="s">
        <v>27</v>
      </c>
      <c r="D378" t="s">
        <v>36</v>
      </c>
      <c r="E378" t="s">
        <v>41</v>
      </c>
      <c r="F378" t="s">
        <v>30</v>
      </c>
      <c r="G378" t="s">
        <v>54</v>
      </c>
      <c r="H378" t="s">
        <v>39</v>
      </c>
      <c r="I378" s="9">
        <v>180000</v>
      </c>
      <c r="J378">
        <v>1</v>
      </c>
      <c r="K378" t="s">
        <v>42</v>
      </c>
      <c r="L378" s="9">
        <f t="shared" si="5"/>
        <v>144000</v>
      </c>
      <c r="M378" s="9">
        <f>Table1[[#This Row],[Unit Price]]*Table1[[#This Row],[Quantity]]</f>
        <v>180000</v>
      </c>
      <c r="N378" s="9">
        <f>Table1[[#This Row],[Cost Price]]*Table1[[#This Row],[Quantity]]</f>
        <v>144000</v>
      </c>
      <c r="O378" s="9">
        <f>Table1[[#This Row],[Revenue]]-Table1[[#This Row],[COGS]]</f>
        <v>36000</v>
      </c>
      <c r="P378" s="6">
        <v>377</v>
      </c>
    </row>
    <row r="379" spans="1:16">
      <c r="A379" s="7" t="s">
        <v>134</v>
      </c>
      <c r="B379" s="7" t="str">
        <f>TEXT(Table1[[#This Row],[Date]],"MMM")</f>
        <v>Jan</v>
      </c>
      <c r="C379" t="s">
        <v>35</v>
      </c>
      <c r="D379" t="s">
        <v>36</v>
      </c>
      <c r="E379" t="s">
        <v>29</v>
      </c>
      <c r="F379" t="s">
        <v>37</v>
      </c>
      <c r="G379" t="s">
        <v>73</v>
      </c>
      <c r="H379" t="s">
        <v>39</v>
      </c>
      <c r="I379" s="9">
        <v>220000</v>
      </c>
      <c r="J379">
        <v>8</v>
      </c>
      <c r="K379" t="s">
        <v>65</v>
      </c>
      <c r="L379" s="9">
        <f t="shared" si="5"/>
        <v>176000</v>
      </c>
      <c r="M379" s="9">
        <f>Table1[[#This Row],[Unit Price]]*Table1[[#This Row],[Quantity]]</f>
        <v>1760000</v>
      </c>
      <c r="N379" s="9">
        <f>Table1[[#This Row],[Cost Price]]*Table1[[#This Row],[Quantity]]</f>
        <v>1408000</v>
      </c>
      <c r="O379" s="9">
        <f>Table1[[#This Row],[Revenue]]-Table1[[#This Row],[COGS]]</f>
        <v>352000</v>
      </c>
      <c r="P379" s="6">
        <v>378</v>
      </c>
    </row>
    <row r="380" spans="1:16">
      <c r="A380" s="7" t="s">
        <v>136</v>
      </c>
      <c r="B380" s="7" t="str">
        <f>TEXT(Table1[[#This Row],[Date]],"MMM")</f>
        <v>Feb</v>
      </c>
      <c r="C380" t="s">
        <v>49</v>
      </c>
      <c r="D380" t="s">
        <v>36</v>
      </c>
      <c r="E380" t="s">
        <v>41</v>
      </c>
      <c r="F380" t="s">
        <v>37</v>
      </c>
      <c r="G380" t="s">
        <v>31</v>
      </c>
      <c r="H380" t="s">
        <v>32</v>
      </c>
      <c r="I380" s="9">
        <v>85000</v>
      </c>
      <c r="J380">
        <v>7</v>
      </c>
      <c r="K380" t="s">
        <v>47</v>
      </c>
      <c r="L380" s="9">
        <f t="shared" si="5"/>
        <v>68000</v>
      </c>
      <c r="M380" s="9">
        <f>Table1[[#This Row],[Unit Price]]*Table1[[#This Row],[Quantity]]</f>
        <v>595000</v>
      </c>
      <c r="N380" s="9">
        <f>Table1[[#This Row],[Cost Price]]*Table1[[#This Row],[Quantity]]</f>
        <v>476000</v>
      </c>
      <c r="O380" s="9">
        <f>Table1[[#This Row],[Revenue]]-Table1[[#This Row],[COGS]]</f>
        <v>119000</v>
      </c>
      <c r="P380" s="6">
        <v>379</v>
      </c>
    </row>
    <row r="381" spans="1:16">
      <c r="A381" s="7" t="s">
        <v>80</v>
      </c>
      <c r="B381" s="7" t="str">
        <f>TEXT(Table1[[#This Row],[Date]],"MMM")</f>
        <v>Feb</v>
      </c>
      <c r="C381" t="s">
        <v>27</v>
      </c>
      <c r="D381" t="s">
        <v>28</v>
      </c>
      <c r="E381" t="s">
        <v>29</v>
      </c>
      <c r="F381" t="s">
        <v>37</v>
      </c>
      <c r="G381" t="s">
        <v>54</v>
      </c>
      <c r="H381" t="s">
        <v>39</v>
      </c>
      <c r="I381" s="9">
        <v>180000</v>
      </c>
      <c r="J381">
        <v>9</v>
      </c>
      <c r="K381" t="s">
        <v>69</v>
      </c>
      <c r="L381" s="9">
        <f t="shared" si="5"/>
        <v>144000</v>
      </c>
      <c r="M381" s="9">
        <f>Table1[[#This Row],[Unit Price]]*Table1[[#This Row],[Quantity]]</f>
        <v>1620000</v>
      </c>
      <c r="N381" s="9">
        <f>Table1[[#This Row],[Cost Price]]*Table1[[#This Row],[Quantity]]</f>
        <v>1296000</v>
      </c>
      <c r="O381" s="9">
        <f>Table1[[#This Row],[Revenue]]-Table1[[#This Row],[COGS]]</f>
        <v>324000</v>
      </c>
      <c r="P381" s="6">
        <v>380</v>
      </c>
    </row>
    <row r="382" spans="1:16">
      <c r="A382" s="7" t="s">
        <v>88</v>
      </c>
      <c r="B382" s="7" t="str">
        <f>TEXT(Table1[[#This Row],[Date]],"MMM")</f>
        <v>Feb</v>
      </c>
      <c r="C382" t="s">
        <v>49</v>
      </c>
      <c r="D382" t="s">
        <v>28</v>
      </c>
      <c r="E382" t="s">
        <v>41</v>
      </c>
      <c r="F382" t="s">
        <v>30</v>
      </c>
      <c r="G382" t="s">
        <v>56</v>
      </c>
      <c r="H382" t="s">
        <v>32</v>
      </c>
      <c r="I382" s="9">
        <v>320000</v>
      </c>
      <c r="J382">
        <v>3</v>
      </c>
      <c r="K382" t="s">
        <v>58</v>
      </c>
      <c r="L382" s="9">
        <f t="shared" si="5"/>
        <v>256000</v>
      </c>
      <c r="M382" s="9">
        <f>Table1[[#This Row],[Unit Price]]*Table1[[#This Row],[Quantity]]</f>
        <v>960000</v>
      </c>
      <c r="N382" s="9">
        <f>Table1[[#This Row],[Cost Price]]*Table1[[#This Row],[Quantity]]</f>
        <v>768000</v>
      </c>
      <c r="O382" s="9">
        <f>Table1[[#This Row],[Revenue]]-Table1[[#This Row],[COGS]]</f>
        <v>192000</v>
      </c>
      <c r="P382" s="6">
        <v>381</v>
      </c>
    </row>
    <row r="383" spans="1:16">
      <c r="A383" s="7" t="s">
        <v>157</v>
      </c>
      <c r="B383" s="7" t="str">
        <f>TEXT(Table1[[#This Row],[Date]],"MMM")</f>
        <v>Apr</v>
      </c>
      <c r="C383" t="s">
        <v>49</v>
      </c>
      <c r="D383" t="s">
        <v>28</v>
      </c>
      <c r="E383" t="s">
        <v>41</v>
      </c>
      <c r="F383" t="s">
        <v>30</v>
      </c>
      <c r="G383" t="s">
        <v>62</v>
      </c>
      <c r="H383" t="s">
        <v>51</v>
      </c>
      <c r="I383" s="9">
        <v>150000</v>
      </c>
      <c r="J383">
        <v>4</v>
      </c>
      <c r="K383" t="s">
        <v>33</v>
      </c>
      <c r="L383" s="9">
        <f t="shared" si="5"/>
        <v>120000</v>
      </c>
      <c r="M383" s="9">
        <f>Table1[[#This Row],[Unit Price]]*Table1[[#This Row],[Quantity]]</f>
        <v>600000</v>
      </c>
      <c r="N383" s="9">
        <f>Table1[[#This Row],[Cost Price]]*Table1[[#This Row],[Quantity]]</f>
        <v>480000</v>
      </c>
      <c r="O383" s="9">
        <f>Table1[[#This Row],[Revenue]]-Table1[[#This Row],[COGS]]</f>
        <v>120000</v>
      </c>
      <c r="P383" s="6">
        <v>382</v>
      </c>
    </row>
    <row r="384" spans="1:16">
      <c r="A384" s="7" t="s">
        <v>137</v>
      </c>
      <c r="B384" s="7" t="str">
        <f>TEXT(Table1[[#This Row],[Date]],"MMM")</f>
        <v>Apr</v>
      </c>
      <c r="C384" t="s">
        <v>35</v>
      </c>
      <c r="D384" t="s">
        <v>36</v>
      </c>
      <c r="E384" t="s">
        <v>29</v>
      </c>
      <c r="F384" t="s">
        <v>30</v>
      </c>
      <c r="G384" t="s">
        <v>73</v>
      </c>
      <c r="H384" t="s">
        <v>39</v>
      </c>
      <c r="I384" s="9">
        <v>220000</v>
      </c>
      <c r="J384">
        <v>10</v>
      </c>
      <c r="K384" t="s">
        <v>69</v>
      </c>
      <c r="L384" s="9">
        <f t="shared" si="5"/>
        <v>176000</v>
      </c>
      <c r="M384" s="9">
        <f>Table1[[#This Row],[Unit Price]]*Table1[[#This Row],[Quantity]]</f>
        <v>2200000</v>
      </c>
      <c r="N384" s="9">
        <f>Table1[[#This Row],[Cost Price]]*Table1[[#This Row],[Quantity]]</f>
        <v>1760000</v>
      </c>
      <c r="O384" s="9">
        <f>Table1[[#This Row],[Revenue]]-Table1[[#This Row],[COGS]]</f>
        <v>440000</v>
      </c>
      <c r="P384" s="6">
        <v>383</v>
      </c>
    </row>
    <row r="385" spans="1:16">
      <c r="A385" s="7" t="s">
        <v>154</v>
      </c>
      <c r="B385" s="7" t="str">
        <f>TEXT(Table1[[#This Row],[Date]],"MMM")</f>
        <v>Feb</v>
      </c>
      <c r="C385" t="s">
        <v>44</v>
      </c>
      <c r="D385" t="s">
        <v>28</v>
      </c>
      <c r="E385" t="s">
        <v>41</v>
      </c>
      <c r="F385" t="s">
        <v>30</v>
      </c>
      <c r="G385" t="s">
        <v>62</v>
      </c>
      <c r="H385" t="s">
        <v>51</v>
      </c>
      <c r="I385" s="9">
        <v>150000</v>
      </c>
      <c r="J385">
        <v>6</v>
      </c>
      <c r="K385" t="s">
        <v>33</v>
      </c>
      <c r="L385" s="9">
        <f t="shared" si="5"/>
        <v>120000</v>
      </c>
      <c r="M385" s="9">
        <f>Table1[[#This Row],[Unit Price]]*Table1[[#This Row],[Quantity]]</f>
        <v>900000</v>
      </c>
      <c r="N385" s="9">
        <f>Table1[[#This Row],[Cost Price]]*Table1[[#This Row],[Quantity]]</f>
        <v>720000</v>
      </c>
      <c r="O385" s="9">
        <f>Table1[[#This Row],[Revenue]]-Table1[[#This Row],[COGS]]</f>
        <v>180000</v>
      </c>
      <c r="P385" s="6">
        <v>384</v>
      </c>
    </row>
    <row r="386" spans="1:16">
      <c r="A386" s="7" t="s">
        <v>117</v>
      </c>
      <c r="B386" s="7" t="str">
        <f>TEXT(Table1[[#This Row],[Date]],"MMM")</f>
        <v>Jan</v>
      </c>
      <c r="C386" t="s">
        <v>27</v>
      </c>
      <c r="D386" t="s">
        <v>36</v>
      </c>
      <c r="E386" t="s">
        <v>41</v>
      </c>
      <c r="F386" t="s">
        <v>37</v>
      </c>
      <c r="G386" t="s">
        <v>54</v>
      </c>
      <c r="H386" t="s">
        <v>39</v>
      </c>
      <c r="I386" s="9">
        <v>180000</v>
      </c>
      <c r="J386">
        <v>1</v>
      </c>
      <c r="K386" t="s">
        <v>47</v>
      </c>
      <c r="L386" s="9">
        <f t="shared" ref="L386:L449" si="6">I386-I386*0.2</f>
        <v>144000</v>
      </c>
      <c r="M386" s="9">
        <f>Table1[[#This Row],[Unit Price]]*Table1[[#This Row],[Quantity]]</f>
        <v>180000</v>
      </c>
      <c r="N386" s="9">
        <f>Table1[[#This Row],[Cost Price]]*Table1[[#This Row],[Quantity]]</f>
        <v>144000</v>
      </c>
      <c r="O386" s="9">
        <f>Table1[[#This Row],[Revenue]]-Table1[[#This Row],[COGS]]</f>
        <v>36000</v>
      </c>
      <c r="P386" s="6">
        <v>385</v>
      </c>
    </row>
    <row r="387" spans="1:16">
      <c r="A387" s="7" t="s">
        <v>113</v>
      </c>
      <c r="B387" s="7" t="str">
        <f>TEXT(Table1[[#This Row],[Date]],"MMM")</f>
        <v>Apr</v>
      </c>
      <c r="C387" t="s">
        <v>35</v>
      </c>
      <c r="D387" t="s">
        <v>45</v>
      </c>
      <c r="E387" t="s">
        <v>29</v>
      </c>
      <c r="F387" t="s">
        <v>30</v>
      </c>
      <c r="G387" t="s">
        <v>38</v>
      </c>
      <c r="H387" t="s">
        <v>39</v>
      </c>
      <c r="I387" s="9">
        <v>30000</v>
      </c>
      <c r="J387">
        <v>2</v>
      </c>
      <c r="K387" t="s">
        <v>58</v>
      </c>
      <c r="L387" s="9">
        <f t="shared" si="6"/>
        <v>24000</v>
      </c>
      <c r="M387" s="9">
        <f>Table1[[#This Row],[Unit Price]]*Table1[[#This Row],[Quantity]]</f>
        <v>60000</v>
      </c>
      <c r="N387" s="9">
        <f>Table1[[#This Row],[Cost Price]]*Table1[[#This Row],[Quantity]]</f>
        <v>48000</v>
      </c>
      <c r="O387" s="9">
        <f>Table1[[#This Row],[Revenue]]-Table1[[#This Row],[COGS]]</f>
        <v>12000</v>
      </c>
      <c r="P387" s="6">
        <v>386</v>
      </c>
    </row>
    <row r="388" spans="1:16">
      <c r="A388" s="7" t="s">
        <v>82</v>
      </c>
      <c r="B388" s="7" t="str">
        <f>TEXT(Table1[[#This Row],[Date]],"MMM")</f>
        <v>Mar</v>
      </c>
      <c r="C388" t="s">
        <v>49</v>
      </c>
      <c r="D388" t="s">
        <v>53</v>
      </c>
      <c r="E388" t="s">
        <v>41</v>
      </c>
      <c r="F388" t="s">
        <v>30</v>
      </c>
      <c r="G388" t="s">
        <v>56</v>
      </c>
      <c r="H388" t="s">
        <v>32</v>
      </c>
      <c r="I388" s="9">
        <v>320000</v>
      </c>
      <c r="J388">
        <v>7</v>
      </c>
      <c r="K388" t="s">
        <v>33</v>
      </c>
      <c r="L388" s="9">
        <f t="shared" si="6"/>
        <v>256000</v>
      </c>
      <c r="M388" s="9">
        <f>Table1[[#This Row],[Unit Price]]*Table1[[#This Row],[Quantity]]</f>
        <v>2240000</v>
      </c>
      <c r="N388" s="9">
        <f>Table1[[#This Row],[Cost Price]]*Table1[[#This Row],[Quantity]]</f>
        <v>1792000</v>
      </c>
      <c r="O388" s="9">
        <f>Table1[[#This Row],[Revenue]]-Table1[[#This Row],[COGS]]</f>
        <v>448000</v>
      </c>
      <c r="P388" s="6">
        <v>387</v>
      </c>
    </row>
    <row r="389" spans="1:16">
      <c r="A389" s="7" t="s">
        <v>144</v>
      </c>
      <c r="B389" s="7" t="str">
        <f>TEXT(Table1[[#This Row],[Date]],"MMM")</f>
        <v>Feb</v>
      </c>
      <c r="C389" t="s">
        <v>49</v>
      </c>
      <c r="D389" t="s">
        <v>45</v>
      </c>
      <c r="E389" t="s">
        <v>29</v>
      </c>
      <c r="F389" t="s">
        <v>37</v>
      </c>
      <c r="G389" t="s">
        <v>31</v>
      </c>
      <c r="H389" t="s">
        <v>32</v>
      </c>
      <c r="I389" s="9">
        <v>85000</v>
      </c>
      <c r="J389">
        <v>10</v>
      </c>
      <c r="K389" t="s">
        <v>42</v>
      </c>
      <c r="L389" s="9">
        <f t="shared" si="6"/>
        <v>68000</v>
      </c>
      <c r="M389" s="9">
        <f>Table1[[#This Row],[Unit Price]]*Table1[[#This Row],[Quantity]]</f>
        <v>850000</v>
      </c>
      <c r="N389" s="9">
        <f>Table1[[#This Row],[Cost Price]]*Table1[[#This Row],[Quantity]]</f>
        <v>680000</v>
      </c>
      <c r="O389" s="9">
        <f>Table1[[#This Row],[Revenue]]-Table1[[#This Row],[COGS]]</f>
        <v>170000</v>
      </c>
      <c r="P389" s="6">
        <v>388</v>
      </c>
    </row>
    <row r="390" spans="1:16">
      <c r="A390" s="7" t="s">
        <v>132</v>
      </c>
      <c r="B390" s="7" t="str">
        <f>TEXT(Table1[[#This Row],[Date]],"MMM")</f>
        <v>Apr</v>
      </c>
      <c r="C390" t="s">
        <v>35</v>
      </c>
      <c r="D390" t="s">
        <v>28</v>
      </c>
      <c r="E390" t="s">
        <v>41</v>
      </c>
      <c r="F390" t="s">
        <v>30</v>
      </c>
      <c r="G390" t="s">
        <v>54</v>
      </c>
      <c r="H390" t="s">
        <v>39</v>
      </c>
      <c r="I390" s="9">
        <v>180000</v>
      </c>
      <c r="J390">
        <v>7</v>
      </c>
      <c r="K390" t="s">
        <v>47</v>
      </c>
      <c r="L390" s="9">
        <f t="shared" si="6"/>
        <v>144000</v>
      </c>
      <c r="M390" s="9">
        <f>Table1[[#This Row],[Unit Price]]*Table1[[#This Row],[Quantity]]</f>
        <v>1260000</v>
      </c>
      <c r="N390" s="9">
        <f>Table1[[#This Row],[Cost Price]]*Table1[[#This Row],[Quantity]]</f>
        <v>1008000</v>
      </c>
      <c r="O390" s="9">
        <f>Table1[[#This Row],[Revenue]]-Table1[[#This Row],[COGS]]</f>
        <v>252000</v>
      </c>
      <c r="P390" s="6">
        <v>389</v>
      </c>
    </row>
    <row r="391" spans="1:16">
      <c r="A391" s="7" t="s">
        <v>59</v>
      </c>
      <c r="B391" s="7" t="str">
        <f>TEXT(Table1[[#This Row],[Date]],"MMM")</f>
        <v>Mar</v>
      </c>
      <c r="C391" t="s">
        <v>44</v>
      </c>
      <c r="D391" t="s">
        <v>36</v>
      </c>
      <c r="E391" t="s">
        <v>29</v>
      </c>
      <c r="F391" t="s">
        <v>30</v>
      </c>
      <c r="G391" t="s">
        <v>67</v>
      </c>
      <c r="H391" t="s">
        <v>51</v>
      </c>
      <c r="I391" s="9">
        <v>420000</v>
      </c>
      <c r="J391">
        <v>5</v>
      </c>
      <c r="K391" t="s">
        <v>58</v>
      </c>
      <c r="L391" s="9">
        <f t="shared" si="6"/>
        <v>336000</v>
      </c>
      <c r="M391" s="9">
        <f>Table1[[#This Row],[Unit Price]]*Table1[[#This Row],[Quantity]]</f>
        <v>2100000</v>
      </c>
      <c r="N391" s="9">
        <f>Table1[[#This Row],[Cost Price]]*Table1[[#This Row],[Quantity]]</f>
        <v>1680000</v>
      </c>
      <c r="O391" s="9">
        <f>Table1[[#This Row],[Revenue]]-Table1[[#This Row],[COGS]]</f>
        <v>420000</v>
      </c>
      <c r="P391" s="6">
        <v>390</v>
      </c>
    </row>
    <row r="392" spans="1:16">
      <c r="A392" s="7" t="s">
        <v>77</v>
      </c>
      <c r="B392" s="7" t="str">
        <f>TEXT(Table1[[#This Row],[Date]],"MMM")</f>
        <v>Apr</v>
      </c>
      <c r="C392" t="s">
        <v>44</v>
      </c>
      <c r="D392" t="s">
        <v>53</v>
      </c>
      <c r="E392" t="s">
        <v>41</v>
      </c>
      <c r="F392" t="s">
        <v>37</v>
      </c>
      <c r="G392" t="s">
        <v>56</v>
      </c>
      <c r="H392" t="s">
        <v>32</v>
      </c>
      <c r="I392" s="9">
        <v>320000</v>
      </c>
      <c r="J392">
        <v>8</v>
      </c>
      <c r="K392" t="s">
        <v>42</v>
      </c>
      <c r="L392" s="9">
        <f t="shared" si="6"/>
        <v>256000</v>
      </c>
      <c r="M392" s="9">
        <f>Table1[[#This Row],[Unit Price]]*Table1[[#This Row],[Quantity]]</f>
        <v>2560000</v>
      </c>
      <c r="N392" s="9">
        <f>Table1[[#This Row],[Cost Price]]*Table1[[#This Row],[Quantity]]</f>
        <v>2048000</v>
      </c>
      <c r="O392" s="9">
        <f>Table1[[#This Row],[Revenue]]-Table1[[#This Row],[COGS]]</f>
        <v>512000</v>
      </c>
      <c r="P392" s="6">
        <v>391</v>
      </c>
    </row>
    <row r="393" spans="1:16">
      <c r="A393" s="7" t="s">
        <v>151</v>
      </c>
      <c r="B393" s="7" t="str">
        <f>TEXT(Table1[[#This Row],[Date]],"MMM")</f>
        <v>Feb</v>
      </c>
      <c r="C393" t="s">
        <v>35</v>
      </c>
      <c r="D393" t="s">
        <v>45</v>
      </c>
      <c r="E393" t="s">
        <v>41</v>
      </c>
      <c r="F393" t="s">
        <v>37</v>
      </c>
      <c r="G393" t="s">
        <v>54</v>
      </c>
      <c r="H393" t="s">
        <v>39</v>
      </c>
      <c r="I393" s="9">
        <v>180000</v>
      </c>
      <c r="J393">
        <v>5</v>
      </c>
      <c r="K393" t="s">
        <v>47</v>
      </c>
      <c r="L393" s="9">
        <f t="shared" si="6"/>
        <v>144000</v>
      </c>
      <c r="M393" s="9">
        <f>Table1[[#This Row],[Unit Price]]*Table1[[#This Row],[Quantity]]</f>
        <v>900000</v>
      </c>
      <c r="N393" s="9">
        <f>Table1[[#This Row],[Cost Price]]*Table1[[#This Row],[Quantity]]</f>
        <v>720000</v>
      </c>
      <c r="O393" s="9">
        <f>Table1[[#This Row],[Revenue]]-Table1[[#This Row],[COGS]]</f>
        <v>180000</v>
      </c>
      <c r="P393" s="6">
        <v>392</v>
      </c>
    </row>
    <row r="394" spans="1:16">
      <c r="A394" s="7" t="s">
        <v>135</v>
      </c>
      <c r="B394" s="7" t="str">
        <f>TEXT(Table1[[#This Row],[Date]],"MMM")</f>
        <v>Mar</v>
      </c>
      <c r="C394" t="s">
        <v>49</v>
      </c>
      <c r="D394" t="s">
        <v>28</v>
      </c>
      <c r="E394" t="s">
        <v>41</v>
      </c>
      <c r="F394" t="s">
        <v>37</v>
      </c>
      <c r="G394" t="s">
        <v>67</v>
      </c>
      <c r="H394" t="s">
        <v>51</v>
      </c>
      <c r="I394" s="9">
        <v>420000</v>
      </c>
      <c r="J394">
        <v>2</v>
      </c>
      <c r="K394" t="s">
        <v>33</v>
      </c>
      <c r="L394" s="9">
        <f t="shared" si="6"/>
        <v>336000</v>
      </c>
      <c r="M394" s="9">
        <f>Table1[[#This Row],[Unit Price]]*Table1[[#This Row],[Quantity]]</f>
        <v>840000</v>
      </c>
      <c r="N394" s="9">
        <f>Table1[[#This Row],[Cost Price]]*Table1[[#This Row],[Quantity]]</f>
        <v>672000</v>
      </c>
      <c r="O394" s="9">
        <f>Table1[[#This Row],[Revenue]]-Table1[[#This Row],[COGS]]</f>
        <v>168000</v>
      </c>
      <c r="P394" s="6">
        <v>393</v>
      </c>
    </row>
    <row r="395" spans="1:16">
      <c r="A395" s="7" t="s">
        <v>105</v>
      </c>
      <c r="B395" s="7" t="str">
        <f>TEXT(Table1[[#This Row],[Date]],"MMM")</f>
        <v>Mar</v>
      </c>
      <c r="C395" t="s">
        <v>49</v>
      </c>
      <c r="D395" t="s">
        <v>45</v>
      </c>
      <c r="E395" t="s">
        <v>29</v>
      </c>
      <c r="F395" t="s">
        <v>30</v>
      </c>
      <c r="G395" t="s">
        <v>50</v>
      </c>
      <c r="H395" t="s">
        <v>51</v>
      </c>
      <c r="I395" s="9">
        <v>300000</v>
      </c>
      <c r="J395">
        <v>8</v>
      </c>
      <c r="K395" t="s">
        <v>42</v>
      </c>
      <c r="L395" s="9">
        <f t="shared" si="6"/>
        <v>240000</v>
      </c>
      <c r="M395" s="9">
        <f>Table1[[#This Row],[Unit Price]]*Table1[[#This Row],[Quantity]]</f>
        <v>2400000</v>
      </c>
      <c r="N395" s="9">
        <f>Table1[[#This Row],[Cost Price]]*Table1[[#This Row],[Quantity]]</f>
        <v>1920000</v>
      </c>
      <c r="O395" s="9">
        <f>Table1[[#This Row],[Revenue]]-Table1[[#This Row],[COGS]]</f>
        <v>480000</v>
      </c>
      <c r="P395" s="6">
        <v>394</v>
      </c>
    </row>
    <row r="396" spans="1:16">
      <c r="A396" s="7" t="s">
        <v>101</v>
      </c>
      <c r="B396" s="7" t="str">
        <f>TEXT(Table1[[#This Row],[Date]],"MMM")</f>
        <v>Jan</v>
      </c>
      <c r="C396" t="s">
        <v>35</v>
      </c>
      <c r="D396" t="s">
        <v>45</v>
      </c>
      <c r="E396" t="s">
        <v>29</v>
      </c>
      <c r="F396" t="s">
        <v>30</v>
      </c>
      <c r="G396" t="s">
        <v>56</v>
      </c>
      <c r="H396" t="s">
        <v>32</v>
      </c>
      <c r="I396" s="9">
        <v>320000</v>
      </c>
      <c r="J396">
        <v>1</v>
      </c>
      <c r="K396" t="s">
        <v>42</v>
      </c>
      <c r="L396" s="9">
        <f t="shared" si="6"/>
        <v>256000</v>
      </c>
      <c r="M396" s="9">
        <f>Table1[[#This Row],[Unit Price]]*Table1[[#This Row],[Quantity]]</f>
        <v>320000</v>
      </c>
      <c r="N396" s="9">
        <f>Table1[[#This Row],[Cost Price]]*Table1[[#This Row],[Quantity]]</f>
        <v>256000</v>
      </c>
      <c r="O396" s="9">
        <f>Table1[[#This Row],[Revenue]]-Table1[[#This Row],[COGS]]</f>
        <v>64000</v>
      </c>
      <c r="P396" s="6">
        <v>395</v>
      </c>
    </row>
    <row r="397" spans="1:16">
      <c r="A397" s="7" t="s">
        <v>98</v>
      </c>
      <c r="B397" s="7" t="str">
        <f>TEXT(Table1[[#This Row],[Date]],"MMM")</f>
        <v>Jan</v>
      </c>
      <c r="C397" t="s">
        <v>35</v>
      </c>
      <c r="D397" t="s">
        <v>45</v>
      </c>
      <c r="E397" t="s">
        <v>29</v>
      </c>
      <c r="F397" t="s">
        <v>30</v>
      </c>
      <c r="G397" t="s">
        <v>67</v>
      </c>
      <c r="H397" t="s">
        <v>51</v>
      </c>
      <c r="I397" s="9">
        <v>420000</v>
      </c>
      <c r="J397">
        <v>9</v>
      </c>
      <c r="K397" t="s">
        <v>33</v>
      </c>
      <c r="L397" s="9">
        <f t="shared" si="6"/>
        <v>336000</v>
      </c>
      <c r="M397" s="9">
        <f>Table1[[#This Row],[Unit Price]]*Table1[[#This Row],[Quantity]]</f>
        <v>3780000</v>
      </c>
      <c r="N397" s="9">
        <f>Table1[[#This Row],[Cost Price]]*Table1[[#This Row],[Quantity]]</f>
        <v>3024000</v>
      </c>
      <c r="O397" s="9">
        <f>Table1[[#This Row],[Revenue]]-Table1[[#This Row],[COGS]]</f>
        <v>756000</v>
      </c>
      <c r="P397" s="6">
        <v>396</v>
      </c>
    </row>
    <row r="398" spans="1:16">
      <c r="A398" s="7" t="s">
        <v>112</v>
      </c>
      <c r="B398" s="7" t="str">
        <f>TEXT(Table1[[#This Row],[Date]],"MMM")</f>
        <v>Feb</v>
      </c>
      <c r="C398" t="s">
        <v>35</v>
      </c>
      <c r="D398" t="s">
        <v>53</v>
      </c>
      <c r="E398" t="s">
        <v>41</v>
      </c>
      <c r="F398" t="s">
        <v>37</v>
      </c>
      <c r="G398" t="s">
        <v>31</v>
      </c>
      <c r="H398" t="s">
        <v>32</v>
      </c>
      <c r="I398" s="9">
        <v>85000</v>
      </c>
      <c r="J398">
        <v>8</v>
      </c>
      <c r="K398" t="s">
        <v>69</v>
      </c>
      <c r="L398" s="9">
        <f t="shared" si="6"/>
        <v>68000</v>
      </c>
      <c r="M398" s="9">
        <f>Table1[[#This Row],[Unit Price]]*Table1[[#This Row],[Quantity]]</f>
        <v>680000</v>
      </c>
      <c r="N398" s="9">
        <f>Table1[[#This Row],[Cost Price]]*Table1[[#This Row],[Quantity]]</f>
        <v>544000</v>
      </c>
      <c r="O398" s="9">
        <f>Table1[[#This Row],[Revenue]]-Table1[[#This Row],[COGS]]</f>
        <v>136000</v>
      </c>
      <c r="P398" s="6">
        <v>397</v>
      </c>
    </row>
    <row r="399" spans="1:16">
      <c r="A399" s="7" t="s">
        <v>88</v>
      </c>
      <c r="B399" s="7" t="str">
        <f>TEXT(Table1[[#This Row],[Date]],"MMM")</f>
        <v>Feb</v>
      </c>
      <c r="C399" t="s">
        <v>49</v>
      </c>
      <c r="D399" t="s">
        <v>28</v>
      </c>
      <c r="E399" t="s">
        <v>41</v>
      </c>
      <c r="F399" t="s">
        <v>37</v>
      </c>
      <c r="G399" t="s">
        <v>67</v>
      </c>
      <c r="H399" t="s">
        <v>51</v>
      </c>
      <c r="I399" s="9">
        <v>420000</v>
      </c>
      <c r="J399">
        <v>10</v>
      </c>
      <c r="K399" t="s">
        <v>58</v>
      </c>
      <c r="L399" s="9">
        <f t="shared" si="6"/>
        <v>336000</v>
      </c>
      <c r="M399" s="9">
        <f>Table1[[#This Row],[Unit Price]]*Table1[[#This Row],[Quantity]]</f>
        <v>4200000</v>
      </c>
      <c r="N399" s="9">
        <f>Table1[[#This Row],[Cost Price]]*Table1[[#This Row],[Quantity]]</f>
        <v>3360000</v>
      </c>
      <c r="O399" s="9">
        <f>Table1[[#This Row],[Revenue]]-Table1[[#This Row],[COGS]]</f>
        <v>840000</v>
      </c>
      <c r="P399" s="6">
        <v>398</v>
      </c>
    </row>
    <row r="400" spans="1:16">
      <c r="A400" s="7" t="s">
        <v>125</v>
      </c>
      <c r="B400" s="7" t="str">
        <f>TEXT(Table1[[#This Row],[Date]],"MMM")</f>
        <v>Feb</v>
      </c>
      <c r="C400" t="s">
        <v>35</v>
      </c>
      <c r="D400" t="s">
        <v>28</v>
      </c>
      <c r="E400" t="s">
        <v>29</v>
      </c>
      <c r="F400" t="s">
        <v>37</v>
      </c>
      <c r="G400" t="s">
        <v>71</v>
      </c>
      <c r="H400" t="s">
        <v>51</v>
      </c>
      <c r="I400" s="9">
        <v>250000</v>
      </c>
      <c r="J400">
        <v>1</v>
      </c>
      <c r="K400" t="s">
        <v>58</v>
      </c>
      <c r="L400" s="9">
        <f t="shared" si="6"/>
        <v>200000</v>
      </c>
      <c r="M400" s="9">
        <f>Table1[[#This Row],[Unit Price]]*Table1[[#This Row],[Quantity]]</f>
        <v>250000</v>
      </c>
      <c r="N400" s="9">
        <f>Table1[[#This Row],[Cost Price]]*Table1[[#This Row],[Quantity]]</f>
        <v>200000</v>
      </c>
      <c r="O400" s="9">
        <f>Table1[[#This Row],[Revenue]]-Table1[[#This Row],[COGS]]</f>
        <v>50000</v>
      </c>
      <c r="P400" s="6">
        <v>399</v>
      </c>
    </row>
    <row r="401" spans="1:16">
      <c r="A401" s="7" t="s">
        <v>169</v>
      </c>
      <c r="B401" s="7" t="str">
        <f>TEXT(Table1[[#This Row],[Date]],"MMM")</f>
        <v>Feb</v>
      </c>
      <c r="C401" t="s">
        <v>35</v>
      </c>
      <c r="D401" t="s">
        <v>53</v>
      </c>
      <c r="E401" t="s">
        <v>41</v>
      </c>
      <c r="F401" t="s">
        <v>30</v>
      </c>
      <c r="G401" t="s">
        <v>73</v>
      </c>
      <c r="H401" t="s">
        <v>39</v>
      </c>
      <c r="I401" s="9">
        <v>220000</v>
      </c>
      <c r="J401">
        <v>5</v>
      </c>
      <c r="K401" t="s">
        <v>69</v>
      </c>
      <c r="L401" s="9">
        <f t="shared" si="6"/>
        <v>176000</v>
      </c>
      <c r="M401" s="9">
        <f>Table1[[#This Row],[Unit Price]]*Table1[[#This Row],[Quantity]]</f>
        <v>1100000</v>
      </c>
      <c r="N401" s="9">
        <f>Table1[[#This Row],[Cost Price]]*Table1[[#This Row],[Quantity]]</f>
        <v>880000</v>
      </c>
      <c r="O401" s="9">
        <f>Table1[[#This Row],[Revenue]]-Table1[[#This Row],[COGS]]</f>
        <v>220000</v>
      </c>
      <c r="P401" s="6">
        <v>400</v>
      </c>
    </row>
    <row r="402" spans="1:16">
      <c r="A402" s="7" t="s">
        <v>102</v>
      </c>
      <c r="B402" s="7" t="str">
        <f>TEXT(Table1[[#This Row],[Date]],"MMM")</f>
        <v>Mar</v>
      </c>
      <c r="C402" t="s">
        <v>49</v>
      </c>
      <c r="D402" t="s">
        <v>36</v>
      </c>
      <c r="E402" t="s">
        <v>29</v>
      </c>
      <c r="F402" t="s">
        <v>30</v>
      </c>
      <c r="G402" t="s">
        <v>50</v>
      </c>
      <c r="H402" t="s">
        <v>51</v>
      </c>
      <c r="I402" s="9">
        <v>300000</v>
      </c>
      <c r="J402">
        <v>1</v>
      </c>
      <c r="K402" t="s">
        <v>33</v>
      </c>
      <c r="L402" s="9">
        <f t="shared" si="6"/>
        <v>240000</v>
      </c>
      <c r="M402" s="9">
        <f>Table1[[#This Row],[Unit Price]]*Table1[[#This Row],[Quantity]]</f>
        <v>300000</v>
      </c>
      <c r="N402" s="9">
        <f>Table1[[#This Row],[Cost Price]]*Table1[[#This Row],[Quantity]]</f>
        <v>240000</v>
      </c>
      <c r="O402" s="9">
        <f>Table1[[#This Row],[Revenue]]-Table1[[#This Row],[COGS]]</f>
        <v>60000</v>
      </c>
      <c r="P402" s="6">
        <v>401</v>
      </c>
    </row>
    <row r="403" spans="1:16">
      <c r="A403" s="7" t="s">
        <v>79</v>
      </c>
      <c r="B403" s="7" t="str">
        <f>TEXT(Table1[[#This Row],[Date]],"MMM")</f>
        <v>Feb</v>
      </c>
      <c r="C403" t="s">
        <v>49</v>
      </c>
      <c r="D403" t="s">
        <v>45</v>
      </c>
      <c r="E403" t="s">
        <v>41</v>
      </c>
      <c r="F403" t="s">
        <v>37</v>
      </c>
      <c r="G403" t="s">
        <v>46</v>
      </c>
      <c r="H403" t="s">
        <v>39</v>
      </c>
      <c r="I403" s="9">
        <v>60000</v>
      </c>
      <c r="J403">
        <v>6</v>
      </c>
      <c r="K403" t="s">
        <v>65</v>
      </c>
      <c r="L403" s="9">
        <f t="shared" si="6"/>
        <v>48000</v>
      </c>
      <c r="M403" s="9">
        <f>Table1[[#This Row],[Unit Price]]*Table1[[#This Row],[Quantity]]</f>
        <v>360000</v>
      </c>
      <c r="N403" s="9">
        <f>Table1[[#This Row],[Cost Price]]*Table1[[#This Row],[Quantity]]</f>
        <v>288000</v>
      </c>
      <c r="O403" s="9">
        <f>Table1[[#This Row],[Revenue]]-Table1[[#This Row],[COGS]]</f>
        <v>72000</v>
      </c>
      <c r="P403" s="6">
        <v>402</v>
      </c>
    </row>
    <row r="404" spans="1:16">
      <c r="A404" s="7" t="s">
        <v>118</v>
      </c>
      <c r="B404" s="7" t="str">
        <f>TEXT(Table1[[#This Row],[Date]],"MMM")</f>
        <v>Mar</v>
      </c>
      <c r="C404" t="s">
        <v>44</v>
      </c>
      <c r="D404" t="s">
        <v>53</v>
      </c>
      <c r="E404" t="s">
        <v>29</v>
      </c>
      <c r="F404" t="s">
        <v>30</v>
      </c>
      <c r="G404" t="s">
        <v>46</v>
      </c>
      <c r="H404" t="s">
        <v>39</v>
      </c>
      <c r="I404" s="9">
        <v>60000</v>
      </c>
      <c r="J404">
        <v>8</v>
      </c>
      <c r="K404" t="s">
        <v>42</v>
      </c>
      <c r="L404" s="9">
        <f t="shared" si="6"/>
        <v>48000</v>
      </c>
      <c r="M404" s="9">
        <f>Table1[[#This Row],[Unit Price]]*Table1[[#This Row],[Quantity]]</f>
        <v>480000</v>
      </c>
      <c r="N404" s="9">
        <f>Table1[[#This Row],[Cost Price]]*Table1[[#This Row],[Quantity]]</f>
        <v>384000</v>
      </c>
      <c r="O404" s="9">
        <f>Table1[[#This Row],[Revenue]]-Table1[[#This Row],[COGS]]</f>
        <v>96000</v>
      </c>
      <c r="P404" s="6">
        <v>403</v>
      </c>
    </row>
    <row r="405" spans="1:16">
      <c r="A405" s="7" t="s">
        <v>143</v>
      </c>
      <c r="B405" s="7" t="str">
        <f>TEXT(Table1[[#This Row],[Date]],"MMM")</f>
        <v>Apr</v>
      </c>
      <c r="C405" t="s">
        <v>44</v>
      </c>
      <c r="D405" t="s">
        <v>45</v>
      </c>
      <c r="E405" t="s">
        <v>29</v>
      </c>
      <c r="F405" t="s">
        <v>37</v>
      </c>
      <c r="G405" t="s">
        <v>73</v>
      </c>
      <c r="H405" t="s">
        <v>39</v>
      </c>
      <c r="I405" s="9">
        <v>220000</v>
      </c>
      <c r="J405">
        <v>3</v>
      </c>
      <c r="K405" t="s">
        <v>65</v>
      </c>
      <c r="L405" s="9">
        <f t="shared" si="6"/>
        <v>176000</v>
      </c>
      <c r="M405" s="9">
        <f>Table1[[#This Row],[Unit Price]]*Table1[[#This Row],[Quantity]]</f>
        <v>660000</v>
      </c>
      <c r="N405" s="9">
        <f>Table1[[#This Row],[Cost Price]]*Table1[[#This Row],[Quantity]]</f>
        <v>528000</v>
      </c>
      <c r="O405" s="9">
        <f>Table1[[#This Row],[Revenue]]-Table1[[#This Row],[COGS]]</f>
        <v>132000</v>
      </c>
      <c r="P405" s="6">
        <v>404</v>
      </c>
    </row>
    <row r="406" spans="1:16">
      <c r="A406" s="7" t="s">
        <v>135</v>
      </c>
      <c r="B406" s="7" t="str">
        <f>TEXT(Table1[[#This Row],[Date]],"MMM")</f>
        <v>Mar</v>
      </c>
      <c r="C406" t="s">
        <v>49</v>
      </c>
      <c r="D406" t="s">
        <v>53</v>
      </c>
      <c r="E406" t="s">
        <v>29</v>
      </c>
      <c r="F406" t="s">
        <v>30</v>
      </c>
      <c r="G406" t="s">
        <v>46</v>
      </c>
      <c r="H406" t="s">
        <v>39</v>
      </c>
      <c r="I406" s="9">
        <v>60000</v>
      </c>
      <c r="J406">
        <v>1</v>
      </c>
      <c r="K406" t="s">
        <v>58</v>
      </c>
      <c r="L406" s="9">
        <f t="shared" si="6"/>
        <v>48000</v>
      </c>
      <c r="M406" s="9">
        <f>Table1[[#This Row],[Unit Price]]*Table1[[#This Row],[Quantity]]</f>
        <v>60000</v>
      </c>
      <c r="N406" s="9">
        <f>Table1[[#This Row],[Cost Price]]*Table1[[#This Row],[Quantity]]</f>
        <v>48000</v>
      </c>
      <c r="O406" s="9">
        <f>Table1[[#This Row],[Revenue]]-Table1[[#This Row],[COGS]]</f>
        <v>12000</v>
      </c>
      <c r="P406" s="6">
        <v>405</v>
      </c>
    </row>
    <row r="407" spans="1:16">
      <c r="A407" s="7" t="s">
        <v>96</v>
      </c>
      <c r="B407" s="7" t="str">
        <f>TEXT(Table1[[#This Row],[Date]],"MMM")</f>
        <v>Mar</v>
      </c>
      <c r="C407" t="s">
        <v>35</v>
      </c>
      <c r="D407" t="s">
        <v>36</v>
      </c>
      <c r="E407" t="s">
        <v>41</v>
      </c>
      <c r="F407" t="s">
        <v>30</v>
      </c>
      <c r="G407" t="s">
        <v>62</v>
      </c>
      <c r="H407" t="s">
        <v>51</v>
      </c>
      <c r="I407" s="9">
        <v>150000</v>
      </c>
      <c r="J407">
        <v>1</v>
      </c>
      <c r="K407" t="s">
        <v>47</v>
      </c>
      <c r="L407" s="9">
        <f t="shared" si="6"/>
        <v>120000</v>
      </c>
      <c r="M407" s="9">
        <f>Table1[[#This Row],[Unit Price]]*Table1[[#This Row],[Quantity]]</f>
        <v>150000</v>
      </c>
      <c r="N407" s="9">
        <f>Table1[[#This Row],[Cost Price]]*Table1[[#This Row],[Quantity]]</f>
        <v>120000</v>
      </c>
      <c r="O407" s="9">
        <f>Table1[[#This Row],[Revenue]]-Table1[[#This Row],[COGS]]</f>
        <v>30000</v>
      </c>
      <c r="P407" s="6">
        <v>406</v>
      </c>
    </row>
    <row r="408" spans="1:16">
      <c r="A408" s="7" t="s">
        <v>96</v>
      </c>
      <c r="B408" s="7" t="str">
        <f>TEXT(Table1[[#This Row],[Date]],"MMM")</f>
        <v>Mar</v>
      </c>
      <c r="C408" t="s">
        <v>27</v>
      </c>
      <c r="D408" t="s">
        <v>45</v>
      </c>
      <c r="E408" t="s">
        <v>41</v>
      </c>
      <c r="F408" t="s">
        <v>30</v>
      </c>
      <c r="G408" t="s">
        <v>56</v>
      </c>
      <c r="H408" t="s">
        <v>32</v>
      </c>
      <c r="I408" s="9">
        <v>320000</v>
      </c>
      <c r="J408">
        <v>7</v>
      </c>
      <c r="K408" t="s">
        <v>69</v>
      </c>
      <c r="L408" s="9">
        <f t="shared" si="6"/>
        <v>256000</v>
      </c>
      <c r="M408" s="9">
        <f>Table1[[#This Row],[Unit Price]]*Table1[[#This Row],[Quantity]]</f>
        <v>2240000</v>
      </c>
      <c r="N408" s="9">
        <f>Table1[[#This Row],[Cost Price]]*Table1[[#This Row],[Quantity]]</f>
        <v>1792000</v>
      </c>
      <c r="O408" s="9">
        <f>Table1[[#This Row],[Revenue]]-Table1[[#This Row],[COGS]]</f>
        <v>448000</v>
      </c>
      <c r="P408" s="6">
        <v>407</v>
      </c>
    </row>
    <row r="409" spans="1:16">
      <c r="A409" s="7" t="s">
        <v>91</v>
      </c>
      <c r="B409" s="7" t="str">
        <f>TEXT(Table1[[#This Row],[Date]],"MMM")</f>
        <v>Feb</v>
      </c>
      <c r="C409" t="s">
        <v>44</v>
      </c>
      <c r="D409" t="s">
        <v>45</v>
      </c>
      <c r="E409" t="s">
        <v>29</v>
      </c>
      <c r="F409" t="s">
        <v>37</v>
      </c>
      <c r="G409" t="s">
        <v>31</v>
      </c>
      <c r="H409" t="s">
        <v>32</v>
      </c>
      <c r="I409" s="9">
        <v>85000</v>
      </c>
      <c r="J409">
        <v>10</v>
      </c>
      <c r="K409" t="s">
        <v>47</v>
      </c>
      <c r="L409" s="9">
        <f t="shared" si="6"/>
        <v>68000</v>
      </c>
      <c r="M409" s="9">
        <f>Table1[[#This Row],[Unit Price]]*Table1[[#This Row],[Quantity]]</f>
        <v>850000</v>
      </c>
      <c r="N409" s="9">
        <f>Table1[[#This Row],[Cost Price]]*Table1[[#This Row],[Quantity]]</f>
        <v>680000</v>
      </c>
      <c r="O409" s="9">
        <f>Table1[[#This Row],[Revenue]]-Table1[[#This Row],[COGS]]</f>
        <v>170000</v>
      </c>
      <c r="P409" s="6">
        <v>408</v>
      </c>
    </row>
    <row r="410" spans="1:16">
      <c r="A410" s="7" t="s">
        <v>165</v>
      </c>
      <c r="B410" s="7" t="str">
        <f>TEXT(Table1[[#This Row],[Date]],"MMM")</f>
        <v>Apr</v>
      </c>
      <c r="C410" t="s">
        <v>27</v>
      </c>
      <c r="D410" t="s">
        <v>28</v>
      </c>
      <c r="E410" t="s">
        <v>41</v>
      </c>
      <c r="F410" t="s">
        <v>30</v>
      </c>
      <c r="G410" t="s">
        <v>62</v>
      </c>
      <c r="H410" t="s">
        <v>51</v>
      </c>
      <c r="I410" s="9">
        <v>150000</v>
      </c>
      <c r="J410">
        <v>10</v>
      </c>
      <c r="K410" t="s">
        <v>33</v>
      </c>
      <c r="L410" s="9">
        <f t="shared" si="6"/>
        <v>120000</v>
      </c>
      <c r="M410" s="9">
        <f>Table1[[#This Row],[Unit Price]]*Table1[[#This Row],[Quantity]]</f>
        <v>1500000</v>
      </c>
      <c r="N410" s="9">
        <f>Table1[[#This Row],[Cost Price]]*Table1[[#This Row],[Quantity]]</f>
        <v>1200000</v>
      </c>
      <c r="O410" s="9">
        <f>Table1[[#This Row],[Revenue]]-Table1[[#This Row],[COGS]]</f>
        <v>300000</v>
      </c>
      <c r="P410" s="6">
        <v>409</v>
      </c>
    </row>
    <row r="411" spans="1:16">
      <c r="A411" s="7" t="s">
        <v>61</v>
      </c>
      <c r="B411" s="7" t="str">
        <f>TEXT(Table1[[#This Row],[Date]],"MMM")</f>
        <v>Jan</v>
      </c>
      <c r="C411" t="s">
        <v>44</v>
      </c>
      <c r="D411" t="s">
        <v>36</v>
      </c>
      <c r="E411" t="s">
        <v>41</v>
      </c>
      <c r="F411" t="s">
        <v>30</v>
      </c>
      <c r="G411" t="s">
        <v>46</v>
      </c>
      <c r="H411" t="s">
        <v>39</v>
      </c>
      <c r="I411" s="9">
        <v>60000</v>
      </c>
      <c r="J411">
        <v>2</v>
      </c>
      <c r="K411" t="s">
        <v>47</v>
      </c>
      <c r="L411" s="9">
        <f t="shared" si="6"/>
        <v>48000</v>
      </c>
      <c r="M411" s="9">
        <f>Table1[[#This Row],[Unit Price]]*Table1[[#This Row],[Quantity]]</f>
        <v>120000</v>
      </c>
      <c r="N411" s="9">
        <f>Table1[[#This Row],[Cost Price]]*Table1[[#This Row],[Quantity]]</f>
        <v>96000</v>
      </c>
      <c r="O411" s="9">
        <f>Table1[[#This Row],[Revenue]]-Table1[[#This Row],[COGS]]</f>
        <v>24000</v>
      </c>
      <c r="P411" s="6">
        <v>410</v>
      </c>
    </row>
    <row r="412" spans="1:16">
      <c r="A412" s="7" t="s">
        <v>52</v>
      </c>
      <c r="B412" s="7" t="str">
        <f>TEXT(Table1[[#This Row],[Date]],"MMM")</f>
        <v>Mar</v>
      </c>
      <c r="C412" t="s">
        <v>49</v>
      </c>
      <c r="D412" t="s">
        <v>53</v>
      </c>
      <c r="E412" t="s">
        <v>41</v>
      </c>
      <c r="F412" t="s">
        <v>30</v>
      </c>
      <c r="G412" t="s">
        <v>50</v>
      </c>
      <c r="H412" t="s">
        <v>51</v>
      </c>
      <c r="I412" s="9">
        <v>300000</v>
      </c>
      <c r="J412">
        <v>6</v>
      </c>
      <c r="K412" t="s">
        <v>33</v>
      </c>
      <c r="L412" s="9">
        <f t="shared" si="6"/>
        <v>240000</v>
      </c>
      <c r="M412" s="9">
        <f>Table1[[#This Row],[Unit Price]]*Table1[[#This Row],[Quantity]]</f>
        <v>1800000</v>
      </c>
      <c r="N412" s="9">
        <f>Table1[[#This Row],[Cost Price]]*Table1[[#This Row],[Quantity]]</f>
        <v>1440000</v>
      </c>
      <c r="O412" s="9">
        <f>Table1[[#This Row],[Revenue]]-Table1[[#This Row],[COGS]]</f>
        <v>360000</v>
      </c>
      <c r="P412" s="6">
        <v>411</v>
      </c>
    </row>
    <row r="413" spans="1:16">
      <c r="A413" s="7" t="s">
        <v>118</v>
      </c>
      <c r="B413" s="7" t="str">
        <f>TEXT(Table1[[#This Row],[Date]],"MMM")</f>
        <v>Mar</v>
      </c>
      <c r="C413" t="s">
        <v>35</v>
      </c>
      <c r="D413" t="s">
        <v>45</v>
      </c>
      <c r="E413" t="s">
        <v>29</v>
      </c>
      <c r="F413" t="s">
        <v>30</v>
      </c>
      <c r="G413" t="s">
        <v>62</v>
      </c>
      <c r="H413" t="s">
        <v>51</v>
      </c>
      <c r="I413" s="9">
        <v>150000</v>
      </c>
      <c r="J413">
        <v>3</v>
      </c>
      <c r="K413" t="s">
        <v>65</v>
      </c>
      <c r="L413" s="9">
        <f t="shared" si="6"/>
        <v>120000</v>
      </c>
      <c r="M413" s="9">
        <f>Table1[[#This Row],[Unit Price]]*Table1[[#This Row],[Quantity]]</f>
        <v>450000</v>
      </c>
      <c r="N413" s="9">
        <f>Table1[[#This Row],[Cost Price]]*Table1[[#This Row],[Quantity]]</f>
        <v>360000</v>
      </c>
      <c r="O413" s="9">
        <f>Table1[[#This Row],[Revenue]]-Table1[[#This Row],[COGS]]</f>
        <v>90000</v>
      </c>
      <c r="P413" s="6">
        <v>412</v>
      </c>
    </row>
    <row r="414" spans="1:16">
      <c r="A414" s="7" t="s">
        <v>81</v>
      </c>
      <c r="B414" s="7" t="str">
        <f>TEXT(Table1[[#This Row],[Date]],"MMM")</f>
        <v>Mar</v>
      </c>
      <c r="C414" t="s">
        <v>27</v>
      </c>
      <c r="D414" t="s">
        <v>28</v>
      </c>
      <c r="E414" t="s">
        <v>41</v>
      </c>
      <c r="F414" t="s">
        <v>30</v>
      </c>
      <c r="G414" t="s">
        <v>38</v>
      </c>
      <c r="H414" t="s">
        <v>39</v>
      </c>
      <c r="I414" s="9">
        <v>30000</v>
      </c>
      <c r="J414">
        <v>2</v>
      </c>
      <c r="K414" t="s">
        <v>42</v>
      </c>
      <c r="L414" s="9">
        <f t="shared" si="6"/>
        <v>24000</v>
      </c>
      <c r="M414" s="9">
        <f>Table1[[#This Row],[Unit Price]]*Table1[[#This Row],[Quantity]]</f>
        <v>60000</v>
      </c>
      <c r="N414" s="9">
        <f>Table1[[#This Row],[Cost Price]]*Table1[[#This Row],[Quantity]]</f>
        <v>48000</v>
      </c>
      <c r="O414" s="9">
        <f>Table1[[#This Row],[Revenue]]-Table1[[#This Row],[COGS]]</f>
        <v>12000</v>
      </c>
      <c r="P414" s="6">
        <v>413</v>
      </c>
    </row>
    <row r="415" spans="1:16">
      <c r="A415" s="7" t="s">
        <v>158</v>
      </c>
      <c r="B415" s="7" t="str">
        <f>TEXT(Table1[[#This Row],[Date]],"MMM")</f>
        <v>Jan</v>
      </c>
      <c r="C415" t="s">
        <v>35</v>
      </c>
      <c r="D415" t="s">
        <v>36</v>
      </c>
      <c r="E415" t="s">
        <v>29</v>
      </c>
      <c r="F415" t="s">
        <v>30</v>
      </c>
      <c r="G415" t="s">
        <v>54</v>
      </c>
      <c r="H415" t="s">
        <v>39</v>
      </c>
      <c r="I415" s="9">
        <v>180000</v>
      </c>
      <c r="J415">
        <v>2</v>
      </c>
      <c r="K415" t="s">
        <v>65</v>
      </c>
      <c r="L415" s="9">
        <f t="shared" si="6"/>
        <v>144000</v>
      </c>
      <c r="M415" s="9">
        <f>Table1[[#This Row],[Unit Price]]*Table1[[#This Row],[Quantity]]</f>
        <v>360000</v>
      </c>
      <c r="N415" s="9">
        <f>Table1[[#This Row],[Cost Price]]*Table1[[#This Row],[Quantity]]</f>
        <v>288000</v>
      </c>
      <c r="O415" s="9">
        <f>Table1[[#This Row],[Revenue]]-Table1[[#This Row],[COGS]]</f>
        <v>72000</v>
      </c>
      <c r="P415" s="6">
        <v>414</v>
      </c>
    </row>
    <row r="416" spans="1:16">
      <c r="A416" s="7" t="s">
        <v>115</v>
      </c>
      <c r="B416" s="7" t="str">
        <f>TEXT(Table1[[#This Row],[Date]],"MMM")</f>
        <v>Jan</v>
      </c>
      <c r="C416" t="s">
        <v>27</v>
      </c>
      <c r="D416" t="s">
        <v>45</v>
      </c>
      <c r="E416" t="s">
        <v>41</v>
      </c>
      <c r="F416" t="s">
        <v>30</v>
      </c>
      <c r="G416" t="s">
        <v>56</v>
      </c>
      <c r="H416" t="s">
        <v>32</v>
      </c>
      <c r="I416" s="9">
        <v>320000</v>
      </c>
      <c r="J416">
        <v>3</v>
      </c>
      <c r="K416" t="s">
        <v>47</v>
      </c>
      <c r="L416" s="9">
        <f t="shared" si="6"/>
        <v>256000</v>
      </c>
      <c r="M416" s="9">
        <f>Table1[[#This Row],[Unit Price]]*Table1[[#This Row],[Quantity]]</f>
        <v>960000</v>
      </c>
      <c r="N416" s="9">
        <f>Table1[[#This Row],[Cost Price]]*Table1[[#This Row],[Quantity]]</f>
        <v>768000</v>
      </c>
      <c r="O416" s="9">
        <f>Table1[[#This Row],[Revenue]]-Table1[[#This Row],[COGS]]</f>
        <v>192000</v>
      </c>
      <c r="P416" s="6">
        <v>415</v>
      </c>
    </row>
    <row r="417" spans="1:16">
      <c r="A417" s="7" t="s">
        <v>170</v>
      </c>
      <c r="B417" s="7" t="str">
        <f>TEXT(Table1[[#This Row],[Date]],"MMM")</f>
        <v>Jan</v>
      </c>
      <c r="C417" t="s">
        <v>44</v>
      </c>
      <c r="D417" t="s">
        <v>45</v>
      </c>
      <c r="E417" t="s">
        <v>41</v>
      </c>
      <c r="F417" t="s">
        <v>37</v>
      </c>
      <c r="G417" t="s">
        <v>38</v>
      </c>
      <c r="H417" t="s">
        <v>39</v>
      </c>
      <c r="I417" s="9">
        <v>30000</v>
      </c>
      <c r="J417">
        <v>3</v>
      </c>
      <c r="K417" t="s">
        <v>65</v>
      </c>
      <c r="L417" s="9">
        <f t="shared" si="6"/>
        <v>24000</v>
      </c>
      <c r="M417" s="9">
        <f>Table1[[#This Row],[Unit Price]]*Table1[[#This Row],[Quantity]]</f>
        <v>90000</v>
      </c>
      <c r="N417" s="9">
        <f>Table1[[#This Row],[Cost Price]]*Table1[[#This Row],[Quantity]]</f>
        <v>72000</v>
      </c>
      <c r="O417" s="9">
        <f>Table1[[#This Row],[Revenue]]-Table1[[#This Row],[COGS]]</f>
        <v>18000</v>
      </c>
      <c r="P417" s="6">
        <v>416</v>
      </c>
    </row>
    <row r="418" spans="1:16">
      <c r="A418" s="7" t="s">
        <v>140</v>
      </c>
      <c r="B418" s="7" t="str">
        <f>TEXT(Table1[[#This Row],[Date]],"MMM")</f>
        <v>Apr</v>
      </c>
      <c r="C418" t="s">
        <v>27</v>
      </c>
      <c r="D418" t="s">
        <v>53</v>
      </c>
      <c r="E418" t="s">
        <v>29</v>
      </c>
      <c r="F418" t="s">
        <v>37</v>
      </c>
      <c r="G418" t="s">
        <v>31</v>
      </c>
      <c r="H418" t="s">
        <v>32</v>
      </c>
      <c r="I418" s="9">
        <v>85000</v>
      </c>
      <c r="J418">
        <v>3</v>
      </c>
      <c r="K418" t="s">
        <v>58</v>
      </c>
      <c r="L418" s="9">
        <f t="shared" si="6"/>
        <v>68000</v>
      </c>
      <c r="M418" s="9">
        <f>Table1[[#This Row],[Unit Price]]*Table1[[#This Row],[Quantity]]</f>
        <v>255000</v>
      </c>
      <c r="N418" s="9">
        <f>Table1[[#This Row],[Cost Price]]*Table1[[#This Row],[Quantity]]</f>
        <v>204000</v>
      </c>
      <c r="O418" s="9">
        <f>Table1[[#This Row],[Revenue]]-Table1[[#This Row],[COGS]]</f>
        <v>51000</v>
      </c>
      <c r="P418" s="6">
        <v>417</v>
      </c>
    </row>
    <row r="419" spans="1:16">
      <c r="A419" s="7" t="s">
        <v>79</v>
      </c>
      <c r="B419" s="7" t="str">
        <f>TEXT(Table1[[#This Row],[Date]],"MMM")</f>
        <v>Feb</v>
      </c>
      <c r="C419" t="s">
        <v>49</v>
      </c>
      <c r="D419" t="s">
        <v>45</v>
      </c>
      <c r="E419" t="s">
        <v>29</v>
      </c>
      <c r="F419" t="s">
        <v>37</v>
      </c>
      <c r="G419" t="s">
        <v>31</v>
      </c>
      <c r="H419" t="s">
        <v>32</v>
      </c>
      <c r="I419" s="9">
        <v>85000</v>
      </c>
      <c r="J419">
        <v>10</v>
      </c>
      <c r="K419" t="s">
        <v>65</v>
      </c>
      <c r="L419" s="9">
        <f t="shared" si="6"/>
        <v>68000</v>
      </c>
      <c r="M419" s="9">
        <f>Table1[[#This Row],[Unit Price]]*Table1[[#This Row],[Quantity]]</f>
        <v>850000</v>
      </c>
      <c r="N419" s="9">
        <f>Table1[[#This Row],[Cost Price]]*Table1[[#This Row],[Quantity]]</f>
        <v>680000</v>
      </c>
      <c r="O419" s="9">
        <f>Table1[[#This Row],[Revenue]]-Table1[[#This Row],[COGS]]</f>
        <v>170000</v>
      </c>
      <c r="P419" s="6">
        <v>418</v>
      </c>
    </row>
    <row r="420" spans="1:16">
      <c r="A420" s="7" t="s">
        <v>120</v>
      </c>
      <c r="B420" s="7" t="str">
        <f>TEXT(Table1[[#This Row],[Date]],"MMM")</f>
        <v>Mar</v>
      </c>
      <c r="C420" t="s">
        <v>35</v>
      </c>
      <c r="D420" t="s">
        <v>28</v>
      </c>
      <c r="E420" t="s">
        <v>41</v>
      </c>
      <c r="F420" t="s">
        <v>37</v>
      </c>
      <c r="G420" t="s">
        <v>54</v>
      </c>
      <c r="H420" t="s">
        <v>39</v>
      </c>
      <c r="I420" s="9">
        <v>180000</v>
      </c>
      <c r="J420">
        <v>10</v>
      </c>
      <c r="K420" t="s">
        <v>33</v>
      </c>
      <c r="L420" s="9">
        <f t="shared" si="6"/>
        <v>144000</v>
      </c>
      <c r="M420" s="9">
        <f>Table1[[#This Row],[Unit Price]]*Table1[[#This Row],[Quantity]]</f>
        <v>1800000</v>
      </c>
      <c r="N420" s="9">
        <f>Table1[[#This Row],[Cost Price]]*Table1[[#This Row],[Quantity]]</f>
        <v>1440000</v>
      </c>
      <c r="O420" s="9">
        <f>Table1[[#This Row],[Revenue]]-Table1[[#This Row],[COGS]]</f>
        <v>360000</v>
      </c>
      <c r="P420" s="6">
        <v>419</v>
      </c>
    </row>
    <row r="421" spans="1:16">
      <c r="A421" s="7" t="s">
        <v>126</v>
      </c>
      <c r="B421" s="7" t="str">
        <f>TEXT(Table1[[#This Row],[Date]],"MMM")</f>
        <v>Jan</v>
      </c>
      <c r="C421" t="s">
        <v>27</v>
      </c>
      <c r="D421" t="s">
        <v>36</v>
      </c>
      <c r="E421" t="s">
        <v>29</v>
      </c>
      <c r="F421" t="s">
        <v>37</v>
      </c>
      <c r="G421" t="s">
        <v>73</v>
      </c>
      <c r="H421" t="s">
        <v>39</v>
      </c>
      <c r="I421" s="9">
        <v>220000</v>
      </c>
      <c r="J421">
        <v>9</v>
      </c>
      <c r="K421" t="s">
        <v>47</v>
      </c>
      <c r="L421" s="9">
        <f t="shared" si="6"/>
        <v>176000</v>
      </c>
      <c r="M421" s="9">
        <f>Table1[[#This Row],[Unit Price]]*Table1[[#This Row],[Quantity]]</f>
        <v>1980000</v>
      </c>
      <c r="N421" s="9">
        <f>Table1[[#This Row],[Cost Price]]*Table1[[#This Row],[Quantity]]</f>
        <v>1584000</v>
      </c>
      <c r="O421" s="9">
        <f>Table1[[#This Row],[Revenue]]-Table1[[#This Row],[COGS]]</f>
        <v>396000</v>
      </c>
      <c r="P421" s="6">
        <v>420</v>
      </c>
    </row>
    <row r="422" spans="1:16">
      <c r="A422" s="7" t="s">
        <v>75</v>
      </c>
      <c r="B422" s="7" t="str">
        <f>TEXT(Table1[[#This Row],[Date]],"MMM")</f>
        <v>Mar</v>
      </c>
      <c r="C422" t="s">
        <v>27</v>
      </c>
      <c r="D422" t="s">
        <v>53</v>
      </c>
      <c r="E422" t="s">
        <v>41</v>
      </c>
      <c r="F422" t="s">
        <v>37</v>
      </c>
      <c r="G422" t="s">
        <v>67</v>
      </c>
      <c r="H422" t="s">
        <v>51</v>
      </c>
      <c r="I422" s="9">
        <v>420000</v>
      </c>
      <c r="J422">
        <v>9</v>
      </c>
      <c r="K422" t="s">
        <v>47</v>
      </c>
      <c r="L422" s="9">
        <f t="shared" si="6"/>
        <v>336000</v>
      </c>
      <c r="M422" s="9">
        <f>Table1[[#This Row],[Unit Price]]*Table1[[#This Row],[Quantity]]</f>
        <v>3780000</v>
      </c>
      <c r="N422" s="9">
        <f>Table1[[#This Row],[Cost Price]]*Table1[[#This Row],[Quantity]]</f>
        <v>3024000</v>
      </c>
      <c r="O422" s="9">
        <f>Table1[[#This Row],[Revenue]]-Table1[[#This Row],[COGS]]</f>
        <v>756000</v>
      </c>
      <c r="P422" s="6">
        <v>421</v>
      </c>
    </row>
    <row r="423" spans="1:16">
      <c r="A423" s="7" t="s">
        <v>124</v>
      </c>
      <c r="B423" s="7" t="str">
        <f>TEXT(Table1[[#This Row],[Date]],"MMM")</f>
        <v>Feb</v>
      </c>
      <c r="C423" t="s">
        <v>35</v>
      </c>
      <c r="D423" t="s">
        <v>28</v>
      </c>
      <c r="E423" t="s">
        <v>41</v>
      </c>
      <c r="F423" t="s">
        <v>30</v>
      </c>
      <c r="G423" t="s">
        <v>54</v>
      </c>
      <c r="H423" t="s">
        <v>39</v>
      </c>
      <c r="I423" s="9">
        <v>180000</v>
      </c>
      <c r="J423">
        <v>2</v>
      </c>
      <c r="K423" t="s">
        <v>65</v>
      </c>
      <c r="L423" s="9">
        <f t="shared" si="6"/>
        <v>144000</v>
      </c>
      <c r="M423" s="9">
        <f>Table1[[#This Row],[Unit Price]]*Table1[[#This Row],[Quantity]]</f>
        <v>360000</v>
      </c>
      <c r="N423" s="9">
        <f>Table1[[#This Row],[Cost Price]]*Table1[[#This Row],[Quantity]]</f>
        <v>288000</v>
      </c>
      <c r="O423" s="9">
        <f>Table1[[#This Row],[Revenue]]-Table1[[#This Row],[COGS]]</f>
        <v>72000</v>
      </c>
      <c r="P423" s="6">
        <v>422</v>
      </c>
    </row>
    <row r="424" spans="1:16">
      <c r="A424" s="7" t="s">
        <v>96</v>
      </c>
      <c r="B424" s="7" t="str">
        <f>TEXT(Table1[[#This Row],[Date]],"MMM")</f>
        <v>Mar</v>
      </c>
      <c r="C424" t="s">
        <v>27</v>
      </c>
      <c r="D424" t="s">
        <v>36</v>
      </c>
      <c r="E424" t="s">
        <v>41</v>
      </c>
      <c r="F424" t="s">
        <v>30</v>
      </c>
      <c r="G424" t="s">
        <v>50</v>
      </c>
      <c r="H424" t="s">
        <v>51</v>
      </c>
      <c r="I424" s="9">
        <v>300000</v>
      </c>
      <c r="J424">
        <v>3</v>
      </c>
      <c r="K424" t="s">
        <v>42</v>
      </c>
      <c r="L424" s="9">
        <f t="shared" si="6"/>
        <v>240000</v>
      </c>
      <c r="M424" s="9">
        <f>Table1[[#This Row],[Unit Price]]*Table1[[#This Row],[Quantity]]</f>
        <v>900000</v>
      </c>
      <c r="N424" s="9">
        <f>Table1[[#This Row],[Cost Price]]*Table1[[#This Row],[Quantity]]</f>
        <v>720000</v>
      </c>
      <c r="O424" s="9">
        <f>Table1[[#This Row],[Revenue]]-Table1[[#This Row],[COGS]]</f>
        <v>180000</v>
      </c>
      <c r="P424" s="6">
        <v>423</v>
      </c>
    </row>
    <row r="425" spans="1:16">
      <c r="A425" s="7" t="s">
        <v>151</v>
      </c>
      <c r="B425" s="7" t="str">
        <f>TEXT(Table1[[#This Row],[Date]],"MMM")</f>
        <v>Feb</v>
      </c>
      <c r="C425" t="s">
        <v>49</v>
      </c>
      <c r="D425" t="s">
        <v>45</v>
      </c>
      <c r="E425" t="s">
        <v>41</v>
      </c>
      <c r="F425" t="s">
        <v>30</v>
      </c>
      <c r="G425" t="s">
        <v>54</v>
      </c>
      <c r="H425" t="s">
        <v>39</v>
      </c>
      <c r="I425" s="9">
        <v>180000</v>
      </c>
      <c r="J425">
        <v>1</v>
      </c>
      <c r="K425" t="s">
        <v>69</v>
      </c>
      <c r="L425" s="9">
        <f t="shared" si="6"/>
        <v>144000</v>
      </c>
      <c r="M425" s="9">
        <f>Table1[[#This Row],[Unit Price]]*Table1[[#This Row],[Quantity]]</f>
        <v>180000</v>
      </c>
      <c r="N425" s="9">
        <f>Table1[[#This Row],[Cost Price]]*Table1[[#This Row],[Quantity]]</f>
        <v>144000</v>
      </c>
      <c r="O425" s="9">
        <f>Table1[[#This Row],[Revenue]]-Table1[[#This Row],[COGS]]</f>
        <v>36000</v>
      </c>
      <c r="P425" s="6">
        <v>424</v>
      </c>
    </row>
    <row r="426" spans="1:16">
      <c r="A426" s="7" t="s">
        <v>70</v>
      </c>
      <c r="B426" s="7" t="str">
        <f>TEXT(Table1[[#This Row],[Date]],"MMM")</f>
        <v>Apr</v>
      </c>
      <c r="C426" t="s">
        <v>49</v>
      </c>
      <c r="D426" t="s">
        <v>36</v>
      </c>
      <c r="E426" t="s">
        <v>29</v>
      </c>
      <c r="F426" t="s">
        <v>37</v>
      </c>
      <c r="G426" t="s">
        <v>56</v>
      </c>
      <c r="H426" t="s">
        <v>32</v>
      </c>
      <c r="I426" s="9">
        <v>320000</v>
      </c>
      <c r="J426">
        <v>9</v>
      </c>
      <c r="K426" t="s">
        <v>58</v>
      </c>
      <c r="L426" s="9">
        <f t="shared" si="6"/>
        <v>256000</v>
      </c>
      <c r="M426" s="9">
        <f>Table1[[#This Row],[Unit Price]]*Table1[[#This Row],[Quantity]]</f>
        <v>2880000</v>
      </c>
      <c r="N426" s="9">
        <f>Table1[[#This Row],[Cost Price]]*Table1[[#This Row],[Quantity]]</f>
        <v>2304000</v>
      </c>
      <c r="O426" s="9">
        <f>Table1[[#This Row],[Revenue]]-Table1[[#This Row],[COGS]]</f>
        <v>576000</v>
      </c>
      <c r="P426" s="6">
        <v>425</v>
      </c>
    </row>
    <row r="427" spans="1:16">
      <c r="A427" s="7" t="s">
        <v>129</v>
      </c>
      <c r="B427" s="7" t="str">
        <f>TEXT(Table1[[#This Row],[Date]],"MMM")</f>
        <v>Mar</v>
      </c>
      <c r="C427" t="s">
        <v>49</v>
      </c>
      <c r="D427" t="s">
        <v>28</v>
      </c>
      <c r="E427" t="s">
        <v>29</v>
      </c>
      <c r="F427" t="s">
        <v>30</v>
      </c>
      <c r="G427" t="s">
        <v>56</v>
      </c>
      <c r="H427" t="s">
        <v>32</v>
      </c>
      <c r="I427" s="9">
        <v>320000</v>
      </c>
      <c r="J427">
        <v>5</v>
      </c>
      <c r="K427" t="s">
        <v>42</v>
      </c>
      <c r="L427" s="9">
        <f t="shared" si="6"/>
        <v>256000</v>
      </c>
      <c r="M427" s="9">
        <f>Table1[[#This Row],[Unit Price]]*Table1[[#This Row],[Quantity]]</f>
        <v>1600000</v>
      </c>
      <c r="N427" s="9">
        <f>Table1[[#This Row],[Cost Price]]*Table1[[#This Row],[Quantity]]</f>
        <v>1280000</v>
      </c>
      <c r="O427" s="9">
        <f>Table1[[#This Row],[Revenue]]-Table1[[#This Row],[COGS]]</f>
        <v>320000</v>
      </c>
      <c r="P427" s="6">
        <v>426</v>
      </c>
    </row>
    <row r="428" spans="1:16">
      <c r="A428" s="7" t="s">
        <v>85</v>
      </c>
      <c r="B428" s="7" t="str">
        <f>TEXT(Table1[[#This Row],[Date]],"MMM")</f>
        <v>Feb</v>
      </c>
      <c r="C428" t="s">
        <v>49</v>
      </c>
      <c r="D428" t="s">
        <v>53</v>
      </c>
      <c r="E428" t="s">
        <v>29</v>
      </c>
      <c r="F428" t="s">
        <v>30</v>
      </c>
      <c r="G428" t="s">
        <v>46</v>
      </c>
      <c r="H428" t="s">
        <v>39</v>
      </c>
      <c r="I428" s="9">
        <v>60000</v>
      </c>
      <c r="J428">
        <v>8</v>
      </c>
      <c r="K428" t="s">
        <v>69</v>
      </c>
      <c r="L428" s="9">
        <f t="shared" si="6"/>
        <v>48000</v>
      </c>
      <c r="M428" s="9">
        <f>Table1[[#This Row],[Unit Price]]*Table1[[#This Row],[Quantity]]</f>
        <v>480000</v>
      </c>
      <c r="N428" s="9">
        <f>Table1[[#This Row],[Cost Price]]*Table1[[#This Row],[Quantity]]</f>
        <v>384000</v>
      </c>
      <c r="O428" s="9">
        <f>Table1[[#This Row],[Revenue]]-Table1[[#This Row],[COGS]]</f>
        <v>96000</v>
      </c>
      <c r="P428" s="6">
        <v>427</v>
      </c>
    </row>
    <row r="429" spans="1:16">
      <c r="A429" s="7" t="s">
        <v>103</v>
      </c>
      <c r="B429" s="7" t="str">
        <f>TEXT(Table1[[#This Row],[Date]],"MMM")</f>
        <v>Mar</v>
      </c>
      <c r="C429" t="s">
        <v>44</v>
      </c>
      <c r="D429" t="s">
        <v>28</v>
      </c>
      <c r="E429" t="s">
        <v>41</v>
      </c>
      <c r="F429" t="s">
        <v>30</v>
      </c>
      <c r="G429" t="s">
        <v>31</v>
      </c>
      <c r="H429" t="s">
        <v>32</v>
      </c>
      <c r="I429" s="9">
        <v>85000</v>
      </c>
      <c r="J429">
        <v>8</v>
      </c>
      <c r="K429" t="s">
        <v>42</v>
      </c>
      <c r="L429" s="9">
        <f t="shared" si="6"/>
        <v>68000</v>
      </c>
      <c r="M429" s="9">
        <f>Table1[[#This Row],[Unit Price]]*Table1[[#This Row],[Quantity]]</f>
        <v>680000</v>
      </c>
      <c r="N429" s="9">
        <f>Table1[[#This Row],[Cost Price]]*Table1[[#This Row],[Quantity]]</f>
        <v>544000</v>
      </c>
      <c r="O429" s="9">
        <f>Table1[[#This Row],[Revenue]]-Table1[[#This Row],[COGS]]</f>
        <v>136000</v>
      </c>
      <c r="P429" s="6">
        <v>428</v>
      </c>
    </row>
    <row r="430" spans="1:16">
      <c r="A430" s="7" t="s">
        <v>109</v>
      </c>
      <c r="B430" s="7" t="str">
        <f>TEXT(Table1[[#This Row],[Date]],"MMM")</f>
        <v>Mar</v>
      </c>
      <c r="C430" t="s">
        <v>35</v>
      </c>
      <c r="D430" t="s">
        <v>28</v>
      </c>
      <c r="E430" t="s">
        <v>29</v>
      </c>
      <c r="F430" t="s">
        <v>37</v>
      </c>
      <c r="G430" t="s">
        <v>56</v>
      </c>
      <c r="H430" t="s">
        <v>32</v>
      </c>
      <c r="I430" s="9">
        <v>320000</v>
      </c>
      <c r="J430">
        <v>5</v>
      </c>
      <c r="K430" t="s">
        <v>42</v>
      </c>
      <c r="L430" s="9">
        <f t="shared" si="6"/>
        <v>256000</v>
      </c>
      <c r="M430" s="9">
        <f>Table1[[#This Row],[Unit Price]]*Table1[[#This Row],[Quantity]]</f>
        <v>1600000</v>
      </c>
      <c r="N430" s="9">
        <f>Table1[[#This Row],[Cost Price]]*Table1[[#This Row],[Quantity]]</f>
        <v>1280000</v>
      </c>
      <c r="O430" s="9">
        <f>Table1[[#This Row],[Revenue]]-Table1[[#This Row],[COGS]]</f>
        <v>320000</v>
      </c>
      <c r="P430" s="6">
        <v>429</v>
      </c>
    </row>
    <row r="431" spans="1:16">
      <c r="A431" s="7" t="s">
        <v>90</v>
      </c>
      <c r="B431" s="7" t="str">
        <f>TEXT(Table1[[#This Row],[Date]],"MMM")</f>
        <v>Feb</v>
      </c>
      <c r="C431" t="s">
        <v>49</v>
      </c>
      <c r="D431" t="s">
        <v>45</v>
      </c>
      <c r="E431" t="s">
        <v>41</v>
      </c>
      <c r="F431" t="s">
        <v>30</v>
      </c>
      <c r="G431" t="s">
        <v>62</v>
      </c>
      <c r="H431" t="s">
        <v>51</v>
      </c>
      <c r="I431" s="9">
        <v>150000</v>
      </c>
      <c r="J431">
        <v>3</v>
      </c>
      <c r="K431" t="s">
        <v>65</v>
      </c>
      <c r="L431" s="9">
        <f t="shared" si="6"/>
        <v>120000</v>
      </c>
      <c r="M431" s="9">
        <f>Table1[[#This Row],[Unit Price]]*Table1[[#This Row],[Quantity]]</f>
        <v>450000</v>
      </c>
      <c r="N431" s="9">
        <f>Table1[[#This Row],[Cost Price]]*Table1[[#This Row],[Quantity]]</f>
        <v>360000</v>
      </c>
      <c r="O431" s="9">
        <f>Table1[[#This Row],[Revenue]]-Table1[[#This Row],[COGS]]</f>
        <v>90000</v>
      </c>
      <c r="P431" s="6">
        <v>430</v>
      </c>
    </row>
    <row r="432" spans="1:16">
      <c r="A432" s="7" t="s">
        <v>110</v>
      </c>
      <c r="B432" s="7" t="str">
        <f>TEXT(Table1[[#This Row],[Date]],"MMM")</f>
        <v>Jan</v>
      </c>
      <c r="C432" t="s">
        <v>49</v>
      </c>
      <c r="D432" t="s">
        <v>45</v>
      </c>
      <c r="E432" t="s">
        <v>29</v>
      </c>
      <c r="F432" t="s">
        <v>37</v>
      </c>
      <c r="G432" t="s">
        <v>62</v>
      </c>
      <c r="H432" t="s">
        <v>51</v>
      </c>
      <c r="I432" s="9">
        <v>150000</v>
      </c>
      <c r="J432">
        <v>1</v>
      </c>
      <c r="K432" t="s">
        <v>33</v>
      </c>
      <c r="L432" s="9">
        <f t="shared" si="6"/>
        <v>120000</v>
      </c>
      <c r="M432" s="9">
        <f>Table1[[#This Row],[Unit Price]]*Table1[[#This Row],[Quantity]]</f>
        <v>150000</v>
      </c>
      <c r="N432" s="9">
        <f>Table1[[#This Row],[Cost Price]]*Table1[[#This Row],[Quantity]]</f>
        <v>120000</v>
      </c>
      <c r="O432" s="9">
        <f>Table1[[#This Row],[Revenue]]-Table1[[#This Row],[COGS]]</f>
        <v>30000</v>
      </c>
      <c r="P432" s="6">
        <v>431</v>
      </c>
    </row>
    <row r="433" spans="1:16">
      <c r="A433" s="7" t="s">
        <v>113</v>
      </c>
      <c r="B433" s="7" t="str">
        <f>TEXT(Table1[[#This Row],[Date]],"MMM")</f>
        <v>Apr</v>
      </c>
      <c r="C433" t="s">
        <v>44</v>
      </c>
      <c r="D433" t="s">
        <v>45</v>
      </c>
      <c r="E433" t="s">
        <v>41</v>
      </c>
      <c r="F433" t="s">
        <v>30</v>
      </c>
      <c r="G433" t="s">
        <v>46</v>
      </c>
      <c r="H433" t="s">
        <v>39</v>
      </c>
      <c r="I433" s="9">
        <v>60000</v>
      </c>
      <c r="J433">
        <v>7</v>
      </c>
      <c r="K433" t="s">
        <v>42</v>
      </c>
      <c r="L433" s="9">
        <f t="shared" si="6"/>
        <v>48000</v>
      </c>
      <c r="M433" s="9">
        <f>Table1[[#This Row],[Unit Price]]*Table1[[#This Row],[Quantity]]</f>
        <v>420000</v>
      </c>
      <c r="N433" s="9">
        <f>Table1[[#This Row],[Cost Price]]*Table1[[#This Row],[Quantity]]</f>
        <v>336000</v>
      </c>
      <c r="O433" s="9">
        <f>Table1[[#This Row],[Revenue]]-Table1[[#This Row],[COGS]]</f>
        <v>84000</v>
      </c>
      <c r="P433" s="6">
        <v>432</v>
      </c>
    </row>
    <row r="434" spans="1:16">
      <c r="A434" s="7" t="s">
        <v>55</v>
      </c>
      <c r="B434" s="7" t="str">
        <f>TEXT(Table1[[#This Row],[Date]],"MMM")</f>
        <v>Mar</v>
      </c>
      <c r="C434" t="s">
        <v>27</v>
      </c>
      <c r="D434" t="s">
        <v>28</v>
      </c>
      <c r="E434" t="s">
        <v>29</v>
      </c>
      <c r="F434" t="s">
        <v>30</v>
      </c>
      <c r="G434" t="s">
        <v>54</v>
      </c>
      <c r="H434" t="s">
        <v>39</v>
      </c>
      <c r="I434" s="9">
        <v>180000</v>
      </c>
      <c r="J434">
        <v>1</v>
      </c>
      <c r="K434" t="s">
        <v>42</v>
      </c>
      <c r="L434" s="9">
        <f t="shared" si="6"/>
        <v>144000</v>
      </c>
      <c r="M434" s="9">
        <f>Table1[[#This Row],[Unit Price]]*Table1[[#This Row],[Quantity]]</f>
        <v>180000</v>
      </c>
      <c r="N434" s="9">
        <f>Table1[[#This Row],[Cost Price]]*Table1[[#This Row],[Quantity]]</f>
        <v>144000</v>
      </c>
      <c r="O434" s="9">
        <f>Table1[[#This Row],[Revenue]]-Table1[[#This Row],[COGS]]</f>
        <v>36000</v>
      </c>
      <c r="P434" s="6">
        <v>433</v>
      </c>
    </row>
    <row r="435" spans="1:16">
      <c r="A435" s="7" t="s">
        <v>34</v>
      </c>
      <c r="B435" s="7" t="str">
        <f>TEXT(Table1[[#This Row],[Date]],"MMM")</f>
        <v>Apr</v>
      </c>
      <c r="C435" t="s">
        <v>44</v>
      </c>
      <c r="D435" t="s">
        <v>28</v>
      </c>
      <c r="E435" t="s">
        <v>41</v>
      </c>
      <c r="F435" t="s">
        <v>30</v>
      </c>
      <c r="G435" t="s">
        <v>54</v>
      </c>
      <c r="H435" t="s">
        <v>39</v>
      </c>
      <c r="I435" s="9">
        <v>180000</v>
      </c>
      <c r="J435">
        <v>1</v>
      </c>
      <c r="K435" t="s">
        <v>58</v>
      </c>
      <c r="L435" s="9">
        <f t="shared" si="6"/>
        <v>144000</v>
      </c>
      <c r="M435" s="9">
        <f>Table1[[#This Row],[Unit Price]]*Table1[[#This Row],[Quantity]]</f>
        <v>180000</v>
      </c>
      <c r="N435" s="9">
        <f>Table1[[#This Row],[Cost Price]]*Table1[[#This Row],[Quantity]]</f>
        <v>144000</v>
      </c>
      <c r="O435" s="9">
        <f>Table1[[#This Row],[Revenue]]-Table1[[#This Row],[COGS]]</f>
        <v>36000</v>
      </c>
      <c r="P435" s="6">
        <v>434</v>
      </c>
    </row>
    <row r="436" spans="1:16">
      <c r="A436" s="7" t="s">
        <v>95</v>
      </c>
      <c r="B436" s="7" t="str">
        <f>TEXT(Table1[[#This Row],[Date]],"MMM")</f>
        <v>Feb</v>
      </c>
      <c r="C436" t="s">
        <v>44</v>
      </c>
      <c r="D436" t="s">
        <v>28</v>
      </c>
      <c r="E436" t="s">
        <v>29</v>
      </c>
      <c r="F436" t="s">
        <v>37</v>
      </c>
      <c r="G436" t="s">
        <v>71</v>
      </c>
      <c r="H436" t="s">
        <v>51</v>
      </c>
      <c r="I436" s="9">
        <v>250000</v>
      </c>
      <c r="J436">
        <v>9</v>
      </c>
      <c r="K436" t="s">
        <v>33</v>
      </c>
      <c r="L436" s="9">
        <f t="shared" si="6"/>
        <v>200000</v>
      </c>
      <c r="M436" s="9">
        <f>Table1[[#This Row],[Unit Price]]*Table1[[#This Row],[Quantity]]</f>
        <v>2250000</v>
      </c>
      <c r="N436" s="9">
        <f>Table1[[#This Row],[Cost Price]]*Table1[[#This Row],[Quantity]]</f>
        <v>1800000</v>
      </c>
      <c r="O436" s="9">
        <f>Table1[[#This Row],[Revenue]]-Table1[[#This Row],[COGS]]</f>
        <v>450000</v>
      </c>
      <c r="P436" s="6">
        <v>435</v>
      </c>
    </row>
    <row r="437" spans="1:16">
      <c r="A437" s="7" t="s">
        <v>122</v>
      </c>
      <c r="B437" s="7" t="str">
        <f>TEXT(Table1[[#This Row],[Date]],"MMM")</f>
        <v>Mar</v>
      </c>
      <c r="C437" t="s">
        <v>27</v>
      </c>
      <c r="D437" t="s">
        <v>45</v>
      </c>
      <c r="E437" t="s">
        <v>41</v>
      </c>
      <c r="F437" t="s">
        <v>30</v>
      </c>
      <c r="G437" t="s">
        <v>56</v>
      </c>
      <c r="H437" t="s">
        <v>32</v>
      </c>
      <c r="I437" s="9">
        <v>320000</v>
      </c>
      <c r="J437">
        <v>1</v>
      </c>
      <c r="K437" t="s">
        <v>42</v>
      </c>
      <c r="L437" s="9">
        <f t="shared" si="6"/>
        <v>256000</v>
      </c>
      <c r="M437" s="9">
        <f>Table1[[#This Row],[Unit Price]]*Table1[[#This Row],[Quantity]]</f>
        <v>320000</v>
      </c>
      <c r="N437" s="9">
        <f>Table1[[#This Row],[Cost Price]]*Table1[[#This Row],[Quantity]]</f>
        <v>256000</v>
      </c>
      <c r="O437" s="9">
        <f>Table1[[#This Row],[Revenue]]-Table1[[#This Row],[COGS]]</f>
        <v>64000</v>
      </c>
      <c r="P437" s="6">
        <v>436</v>
      </c>
    </row>
    <row r="438" spans="1:16">
      <c r="A438" s="7" t="s">
        <v>144</v>
      </c>
      <c r="B438" s="7" t="str">
        <f>TEXT(Table1[[#This Row],[Date]],"MMM")</f>
        <v>Feb</v>
      </c>
      <c r="C438" t="s">
        <v>44</v>
      </c>
      <c r="D438" t="s">
        <v>36</v>
      </c>
      <c r="E438" t="s">
        <v>29</v>
      </c>
      <c r="F438" t="s">
        <v>37</v>
      </c>
      <c r="G438" t="s">
        <v>54</v>
      </c>
      <c r="H438" t="s">
        <v>39</v>
      </c>
      <c r="I438" s="9">
        <v>180000</v>
      </c>
      <c r="J438">
        <v>10</v>
      </c>
      <c r="K438" t="s">
        <v>33</v>
      </c>
      <c r="L438" s="9">
        <f t="shared" si="6"/>
        <v>144000</v>
      </c>
      <c r="M438" s="9">
        <f>Table1[[#This Row],[Unit Price]]*Table1[[#This Row],[Quantity]]</f>
        <v>1800000</v>
      </c>
      <c r="N438" s="9">
        <f>Table1[[#This Row],[Cost Price]]*Table1[[#This Row],[Quantity]]</f>
        <v>1440000</v>
      </c>
      <c r="O438" s="9">
        <f>Table1[[#This Row],[Revenue]]-Table1[[#This Row],[COGS]]</f>
        <v>360000</v>
      </c>
      <c r="P438" s="6">
        <v>437</v>
      </c>
    </row>
    <row r="439" spans="1:16">
      <c r="A439" s="7" t="s">
        <v>142</v>
      </c>
      <c r="B439" s="7" t="str">
        <f>TEXT(Table1[[#This Row],[Date]],"MMM")</f>
        <v>Apr</v>
      </c>
      <c r="C439" t="s">
        <v>35</v>
      </c>
      <c r="D439" t="s">
        <v>45</v>
      </c>
      <c r="E439" t="s">
        <v>29</v>
      </c>
      <c r="F439" t="s">
        <v>37</v>
      </c>
      <c r="G439" t="s">
        <v>50</v>
      </c>
      <c r="H439" t="s">
        <v>51</v>
      </c>
      <c r="I439" s="9">
        <v>300000</v>
      </c>
      <c r="J439">
        <v>10</v>
      </c>
      <c r="K439" t="s">
        <v>58</v>
      </c>
      <c r="L439" s="9">
        <f t="shared" si="6"/>
        <v>240000</v>
      </c>
      <c r="M439" s="9">
        <f>Table1[[#This Row],[Unit Price]]*Table1[[#This Row],[Quantity]]</f>
        <v>3000000</v>
      </c>
      <c r="N439" s="9">
        <f>Table1[[#This Row],[Cost Price]]*Table1[[#This Row],[Quantity]]</f>
        <v>2400000</v>
      </c>
      <c r="O439" s="9">
        <f>Table1[[#This Row],[Revenue]]-Table1[[#This Row],[COGS]]</f>
        <v>600000</v>
      </c>
      <c r="P439" s="6">
        <v>438</v>
      </c>
    </row>
    <row r="440" spans="1:16">
      <c r="A440" s="7" t="s">
        <v>78</v>
      </c>
      <c r="B440" s="7" t="str">
        <f>TEXT(Table1[[#This Row],[Date]],"MMM")</f>
        <v>Apr</v>
      </c>
      <c r="C440" t="s">
        <v>44</v>
      </c>
      <c r="D440" t="s">
        <v>28</v>
      </c>
      <c r="E440" t="s">
        <v>29</v>
      </c>
      <c r="F440" t="s">
        <v>30</v>
      </c>
      <c r="G440" t="s">
        <v>67</v>
      </c>
      <c r="H440" t="s">
        <v>51</v>
      </c>
      <c r="I440" s="9">
        <v>420000</v>
      </c>
      <c r="J440">
        <v>4</v>
      </c>
      <c r="K440" t="s">
        <v>65</v>
      </c>
      <c r="L440" s="9">
        <f t="shared" si="6"/>
        <v>336000</v>
      </c>
      <c r="M440" s="9">
        <f>Table1[[#This Row],[Unit Price]]*Table1[[#This Row],[Quantity]]</f>
        <v>1680000</v>
      </c>
      <c r="N440" s="9">
        <f>Table1[[#This Row],[Cost Price]]*Table1[[#This Row],[Quantity]]</f>
        <v>1344000</v>
      </c>
      <c r="O440" s="9">
        <f>Table1[[#This Row],[Revenue]]-Table1[[#This Row],[COGS]]</f>
        <v>336000</v>
      </c>
      <c r="P440" s="6">
        <v>439</v>
      </c>
    </row>
    <row r="441" spans="1:16">
      <c r="A441" s="7" t="s">
        <v>165</v>
      </c>
      <c r="B441" s="7" t="str">
        <f>TEXT(Table1[[#This Row],[Date]],"MMM")</f>
        <v>Apr</v>
      </c>
      <c r="C441" t="s">
        <v>27</v>
      </c>
      <c r="D441" t="s">
        <v>28</v>
      </c>
      <c r="E441" t="s">
        <v>41</v>
      </c>
      <c r="F441" t="s">
        <v>37</v>
      </c>
      <c r="G441" t="s">
        <v>38</v>
      </c>
      <c r="H441" t="s">
        <v>39</v>
      </c>
      <c r="I441" s="9">
        <v>30000</v>
      </c>
      <c r="J441">
        <v>4</v>
      </c>
      <c r="K441" t="s">
        <v>47</v>
      </c>
      <c r="L441" s="9">
        <f t="shared" si="6"/>
        <v>24000</v>
      </c>
      <c r="M441" s="9">
        <f>Table1[[#This Row],[Unit Price]]*Table1[[#This Row],[Quantity]]</f>
        <v>120000</v>
      </c>
      <c r="N441" s="9">
        <f>Table1[[#This Row],[Cost Price]]*Table1[[#This Row],[Quantity]]</f>
        <v>96000</v>
      </c>
      <c r="O441" s="9">
        <f>Table1[[#This Row],[Revenue]]-Table1[[#This Row],[COGS]]</f>
        <v>24000</v>
      </c>
      <c r="P441" s="6">
        <v>440</v>
      </c>
    </row>
    <row r="442" spans="1:16">
      <c r="A442" s="7" t="s">
        <v>164</v>
      </c>
      <c r="B442" s="7" t="str">
        <f>TEXT(Table1[[#This Row],[Date]],"MMM")</f>
        <v>Mar</v>
      </c>
      <c r="C442" t="s">
        <v>49</v>
      </c>
      <c r="D442" t="s">
        <v>45</v>
      </c>
      <c r="E442" t="s">
        <v>29</v>
      </c>
      <c r="F442" t="s">
        <v>30</v>
      </c>
      <c r="G442" t="s">
        <v>38</v>
      </c>
      <c r="H442" t="s">
        <v>39</v>
      </c>
      <c r="I442" s="9">
        <v>30000</v>
      </c>
      <c r="J442">
        <v>10</v>
      </c>
      <c r="K442" t="s">
        <v>58</v>
      </c>
      <c r="L442" s="9">
        <f t="shared" si="6"/>
        <v>24000</v>
      </c>
      <c r="M442" s="9">
        <f>Table1[[#This Row],[Unit Price]]*Table1[[#This Row],[Quantity]]</f>
        <v>300000</v>
      </c>
      <c r="N442" s="9">
        <f>Table1[[#This Row],[Cost Price]]*Table1[[#This Row],[Quantity]]</f>
        <v>240000</v>
      </c>
      <c r="O442" s="9">
        <f>Table1[[#This Row],[Revenue]]-Table1[[#This Row],[COGS]]</f>
        <v>60000</v>
      </c>
      <c r="P442" s="6">
        <v>441</v>
      </c>
    </row>
    <row r="443" spans="1:16">
      <c r="A443" s="7" t="s">
        <v>162</v>
      </c>
      <c r="B443" s="7" t="str">
        <f>TEXT(Table1[[#This Row],[Date]],"MMM")</f>
        <v>Apr</v>
      </c>
      <c r="C443" t="s">
        <v>44</v>
      </c>
      <c r="D443" t="s">
        <v>28</v>
      </c>
      <c r="E443" t="s">
        <v>41</v>
      </c>
      <c r="F443" t="s">
        <v>37</v>
      </c>
      <c r="G443" t="s">
        <v>46</v>
      </c>
      <c r="H443" t="s">
        <v>39</v>
      </c>
      <c r="I443" s="9">
        <v>60000</v>
      </c>
      <c r="J443">
        <v>7</v>
      </c>
      <c r="K443" t="s">
        <v>33</v>
      </c>
      <c r="L443" s="9">
        <f t="shared" si="6"/>
        <v>48000</v>
      </c>
      <c r="M443" s="9">
        <f>Table1[[#This Row],[Unit Price]]*Table1[[#This Row],[Quantity]]</f>
        <v>420000</v>
      </c>
      <c r="N443" s="9">
        <f>Table1[[#This Row],[Cost Price]]*Table1[[#This Row],[Quantity]]</f>
        <v>336000</v>
      </c>
      <c r="O443" s="9">
        <f>Table1[[#This Row],[Revenue]]-Table1[[#This Row],[COGS]]</f>
        <v>84000</v>
      </c>
      <c r="P443" s="6">
        <v>442</v>
      </c>
    </row>
    <row r="444" spans="1:16">
      <c r="A444" s="7" t="s">
        <v>102</v>
      </c>
      <c r="B444" s="7" t="str">
        <f>TEXT(Table1[[#This Row],[Date]],"MMM")</f>
        <v>Mar</v>
      </c>
      <c r="C444" t="s">
        <v>49</v>
      </c>
      <c r="D444" t="s">
        <v>28</v>
      </c>
      <c r="E444" t="s">
        <v>41</v>
      </c>
      <c r="F444" t="s">
        <v>37</v>
      </c>
      <c r="G444" t="s">
        <v>54</v>
      </c>
      <c r="H444" t="s">
        <v>39</v>
      </c>
      <c r="I444" s="9">
        <v>180000</v>
      </c>
      <c r="J444">
        <v>4</v>
      </c>
      <c r="K444" t="s">
        <v>69</v>
      </c>
      <c r="L444" s="9">
        <f t="shared" si="6"/>
        <v>144000</v>
      </c>
      <c r="M444" s="9">
        <f>Table1[[#This Row],[Unit Price]]*Table1[[#This Row],[Quantity]]</f>
        <v>720000</v>
      </c>
      <c r="N444" s="9">
        <f>Table1[[#This Row],[Cost Price]]*Table1[[#This Row],[Quantity]]</f>
        <v>576000</v>
      </c>
      <c r="O444" s="9">
        <f>Table1[[#This Row],[Revenue]]-Table1[[#This Row],[COGS]]</f>
        <v>144000</v>
      </c>
      <c r="P444" s="6">
        <v>443</v>
      </c>
    </row>
    <row r="445" spans="1:16">
      <c r="A445" s="7" t="s">
        <v>159</v>
      </c>
      <c r="B445" s="7" t="str">
        <f>TEXT(Table1[[#This Row],[Date]],"MMM")</f>
        <v>Feb</v>
      </c>
      <c r="C445" t="s">
        <v>27</v>
      </c>
      <c r="D445" t="s">
        <v>53</v>
      </c>
      <c r="E445" t="s">
        <v>29</v>
      </c>
      <c r="F445" t="s">
        <v>37</v>
      </c>
      <c r="G445" t="s">
        <v>38</v>
      </c>
      <c r="H445" t="s">
        <v>39</v>
      </c>
      <c r="I445" s="9">
        <v>30000</v>
      </c>
      <c r="J445">
        <v>7</v>
      </c>
      <c r="K445" t="s">
        <v>58</v>
      </c>
      <c r="L445" s="9">
        <f t="shared" si="6"/>
        <v>24000</v>
      </c>
      <c r="M445" s="9">
        <f>Table1[[#This Row],[Unit Price]]*Table1[[#This Row],[Quantity]]</f>
        <v>210000</v>
      </c>
      <c r="N445" s="9">
        <f>Table1[[#This Row],[Cost Price]]*Table1[[#This Row],[Quantity]]</f>
        <v>168000</v>
      </c>
      <c r="O445" s="9">
        <f>Table1[[#This Row],[Revenue]]-Table1[[#This Row],[COGS]]</f>
        <v>42000</v>
      </c>
      <c r="P445" s="6">
        <v>444</v>
      </c>
    </row>
    <row r="446" spans="1:16">
      <c r="A446" s="7" t="s">
        <v>103</v>
      </c>
      <c r="B446" s="7" t="str">
        <f>TEXT(Table1[[#This Row],[Date]],"MMM")</f>
        <v>Mar</v>
      </c>
      <c r="C446" t="s">
        <v>44</v>
      </c>
      <c r="D446" t="s">
        <v>36</v>
      </c>
      <c r="E446" t="s">
        <v>41</v>
      </c>
      <c r="F446" t="s">
        <v>37</v>
      </c>
      <c r="G446" t="s">
        <v>67</v>
      </c>
      <c r="H446" t="s">
        <v>51</v>
      </c>
      <c r="I446" s="9">
        <v>420000</v>
      </c>
      <c r="J446">
        <v>10</v>
      </c>
      <c r="K446" t="s">
        <v>33</v>
      </c>
      <c r="L446" s="9">
        <f t="shared" si="6"/>
        <v>336000</v>
      </c>
      <c r="M446" s="9">
        <f>Table1[[#This Row],[Unit Price]]*Table1[[#This Row],[Quantity]]</f>
        <v>4200000</v>
      </c>
      <c r="N446" s="9">
        <f>Table1[[#This Row],[Cost Price]]*Table1[[#This Row],[Quantity]]</f>
        <v>3360000</v>
      </c>
      <c r="O446" s="9">
        <f>Table1[[#This Row],[Revenue]]-Table1[[#This Row],[COGS]]</f>
        <v>840000</v>
      </c>
      <c r="P446" s="6">
        <v>445</v>
      </c>
    </row>
    <row r="447" spans="1:16">
      <c r="A447" s="7" t="s">
        <v>148</v>
      </c>
      <c r="B447" s="7" t="str">
        <f>TEXT(Table1[[#This Row],[Date]],"MMM")</f>
        <v>Feb</v>
      </c>
      <c r="C447" t="s">
        <v>35</v>
      </c>
      <c r="D447" t="s">
        <v>28</v>
      </c>
      <c r="E447" t="s">
        <v>41</v>
      </c>
      <c r="F447" t="s">
        <v>30</v>
      </c>
      <c r="G447" t="s">
        <v>67</v>
      </c>
      <c r="H447" t="s">
        <v>51</v>
      </c>
      <c r="I447" s="9">
        <v>420000</v>
      </c>
      <c r="J447">
        <v>7</v>
      </c>
      <c r="K447" t="s">
        <v>58</v>
      </c>
      <c r="L447" s="9">
        <f t="shared" si="6"/>
        <v>336000</v>
      </c>
      <c r="M447" s="9">
        <f>Table1[[#This Row],[Unit Price]]*Table1[[#This Row],[Quantity]]</f>
        <v>2940000</v>
      </c>
      <c r="N447" s="9">
        <f>Table1[[#This Row],[Cost Price]]*Table1[[#This Row],[Quantity]]</f>
        <v>2352000</v>
      </c>
      <c r="O447" s="9">
        <f>Table1[[#This Row],[Revenue]]-Table1[[#This Row],[COGS]]</f>
        <v>588000</v>
      </c>
      <c r="P447" s="6">
        <v>446</v>
      </c>
    </row>
    <row r="448" spans="1:16">
      <c r="A448" s="7" t="s">
        <v>48</v>
      </c>
      <c r="B448" s="7" t="str">
        <f>TEXT(Table1[[#This Row],[Date]],"MMM")</f>
        <v>Apr</v>
      </c>
      <c r="C448" t="s">
        <v>44</v>
      </c>
      <c r="D448" t="s">
        <v>45</v>
      </c>
      <c r="E448" t="s">
        <v>29</v>
      </c>
      <c r="F448" t="s">
        <v>37</v>
      </c>
      <c r="G448" t="s">
        <v>71</v>
      </c>
      <c r="H448" t="s">
        <v>51</v>
      </c>
      <c r="I448" s="9">
        <v>250000</v>
      </c>
      <c r="J448">
        <v>5</v>
      </c>
      <c r="K448" t="s">
        <v>42</v>
      </c>
      <c r="L448" s="9">
        <f t="shared" si="6"/>
        <v>200000</v>
      </c>
      <c r="M448" s="9">
        <f>Table1[[#This Row],[Unit Price]]*Table1[[#This Row],[Quantity]]</f>
        <v>1250000</v>
      </c>
      <c r="N448" s="9">
        <f>Table1[[#This Row],[Cost Price]]*Table1[[#This Row],[Quantity]]</f>
        <v>1000000</v>
      </c>
      <c r="O448" s="9">
        <f>Table1[[#This Row],[Revenue]]-Table1[[#This Row],[COGS]]</f>
        <v>250000</v>
      </c>
      <c r="P448" s="6">
        <v>447</v>
      </c>
    </row>
    <row r="449" spans="1:16">
      <c r="A449" s="7" t="s">
        <v>150</v>
      </c>
      <c r="B449" s="7" t="str">
        <f>TEXT(Table1[[#This Row],[Date]],"MMM")</f>
        <v>Jan</v>
      </c>
      <c r="C449" t="s">
        <v>27</v>
      </c>
      <c r="D449" t="s">
        <v>53</v>
      </c>
      <c r="E449" t="s">
        <v>41</v>
      </c>
      <c r="F449" t="s">
        <v>30</v>
      </c>
      <c r="G449" t="s">
        <v>67</v>
      </c>
      <c r="H449" t="s">
        <v>51</v>
      </c>
      <c r="I449" s="9">
        <v>420000</v>
      </c>
      <c r="J449">
        <v>5</v>
      </c>
      <c r="K449" t="s">
        <v>47</v>
      </c>
      <c r="L449" s="9">
        <f t="shared" si="6"/>
        <v>336000</v>
      </c>
      <c r="M449" s="9">
        <f>Table1[[#This Row],[Unit Price]]*Table1[[#This Row],[Quantity]]</f>
        <v>2100000</v>
      </c>
      <c r="N449" s="9">
        <f>Table1[[#This Row],[Cost Price]]*Table1[[#This Row],[Quantity]]</f>
        <v>1680000</v>
      </c>
      <c r="O449" s="9">
        <f>Table1[[#This Row],[Revenue]]-Table1[[#This Row],[COGS]]</f>
        <v>420000</v>
      </c>
      <c r="P449" s="6">
        <v>448</v>
      </c>
    </row>
    <row r="450" spans="1:16">
      <c r="A450" s="7" t="s">
        <v>114</v>
      </c>
      <c r="B450" s="7" t="str">
        <f>TEXT(Table1[[#This Row],[Date]],"MMM")</f>
        <v>Apr</v>
      </c>
      <c r="C450" t="s">
        <v>35</v>
      </c>
      <c r="D450" t="s">
        <v>45</v>
      </c>
      <c r="E450" t="s">
        <v>41</v>
      </c>
      <c r="F450" t="s">
        <v>37</v>
      </c>
      <c r="G450" t="s">
        <v>56</v>
      </c>
      <c r="H450" t="s">
        <v>32</v>
      </c>
      <c r="I450" s="9">
        <v>320000</v>
      </c>
      <c r="J450">
        <v>2</v>
      </c>
      <c r="K450" t="s">
        <v>47</v>
      </c>
      <c r="L450" s="9">
        <f t="shared" ref="L450:L513" si="7">I450-I450*0.2</f>
        <v>256000</v>
      </c>
      <c r="M450" s="9">
        <f>Table1[[#This Row],[Unit Price]]*Table1[[#This Row],[Quantity]]</f>
        <v>640000</v>
      </c>
      <c r="N450" s="9">
        <f>Table1[[#This Row],[Cost Price]]*Table1[[#This Row],[Quantity]]</f>
        <v>512000</v>
      </c>
      <c r="O450" s="9">
        <f>Table1[[#This Row],[Revenue]]-Table1[[#This Row],[COGS]]</f>
        <v>128000</v>
      </c>
      <c r="P450" s="6">
        <v>449</v>
      </c>
    </row>
    <row r="451" spans="1:16">
      <c r="A451" s="7" t="s">
        <v>78</v>
      </c>
      <c r="B451" s="7" t="str">
        <f>TEXT(Table1[[#This Row],[Date]],"MMM")</f>
        <v>Apr</v>
      </c>
      <c r="C451" t="s">
        <v>49</v>
      </c>
      <c r="D451" t="s">
        <v>28</v>
      </c>
      <c r="E451" t="s">
        <v>29</v>
      </c>
      <c r="F451" t="s">
        <v>37</v>
      </c>
      <c r="G451" t="s">
        <v>50</v>
      </c>
      <c r="H451" t="s">
        <v>51</v>
      </c>
      <c r="I451" s="9">
        <v>300000</v>
      </c>
      <c r="J451">
        <v>10</v>
      </c>
      <c r="K451" t="s">
        <v>65</v>
      </c>
      <c r="L451" s="9">
        <f t="shared" si="7"/>
        <v>240000</v>
      </c>
      <c r="M451" s="9">
        <f>Table1[[#This Row],[Unit Price]]*Table1[[#This Row],[Quantity]]</f>
        <v>3000000</v>
      </c>
      <c r="N451" s="9">
        <f>Table1[[#This Row],[Cost Price]]*Table1[[#This Row],[Quantity]]</f>
        <v>2400000</v>
      </c>
      <c r="O451" s="9">
        <f>Table1[[#This Row],[Revenue]]-Table1[[#This Row],[COGS]]</f>
        <v>600000</v>
      </c>
      <c r="P451" s="6">
        <v>450</v>
      </c>
    </row>
    <row r="452" spans="1:16">
      <c r="A452" s="7" t="s">
        <v>115</v>
      </c>
      <c r="B452" s="7" t="str">
        <f>TEXT(Table1[[#This Row],[Date]],"MMM")</f>
        <v>Jan</v>
      </c>
      <c r="C452" t="s">
        <v>35</v>
      </c>
      <c r="D452" t="s">
        <v>28</v>
      </c>
      <c r="E452" t="s">
        <v>29</v>
      </c>
      <c r="F452" t="s">
        <v>30</v>
      </c>
      <c r="G452" t="s">
        <v>71</v>
      </c>
      <c r="H452" t="s">
        <v>51</v>
      </c>
      <c r="I452" s="9">
        <v>250000</v>
      </c>
      <c r="J452">
        <v>5</v>
      </c>
      <c r="K452" t="s">
        <v>65</v>
      </c>
      <c r="L452" s="9">
        <f t="shared" si="7"/>
        <v>200000</v>
      </c>
      <c r="M452" s="9">
        <f>Table1[[#This Row],[Unit Price]]*Table1[[#This Row],[Quantity]]</f>
        <v>1250000</v>
      </c>
      <c r="N452" s="9">
        <f>Table1[[#This Row],[Cost Price]]*Table1[[#This Row],[Quantity]]</f>
        <v>1000000</v>
      </c>
      <c r="O452" s="9">
        <f>Table1[[#This Row],[Revenue]]-Table1[[#This Row],[COGS]]</f>
        <v>250000</v>
      </c>
      <c r="P452" s="6">
        <v>451</v>
      </c>
    </row>
    <row r="453" spans="1:16">
      <c r="A453" s="7" t="s">
        <v>162</v>
      </c>
      <c r="B453" s="7" t="str">
        <f>TEXT(Table1[[#This Row],[Date]],"MMM")</f>
        <v>Apr</v>
      </c>
      <c r="C453" t="s">
        <v>44</v>
      </c>
      <c r="D453" t="s">
        <v>45</v>
      </c>
      <c r="E453" t="s">
        <v>41</v>
      </c>
      <c r="F453" t="s">
        <v>37</v>
      </c>
      <c r="G453" t="s">
        <v>71</v>
      </c>
      <c r="H453" t="s">
        <v>51</v>
      </c>
      <c r="I453" s="9">
        <v>250000</v>
      </c>
      <c r="J453">
        <v>2</v>
      </c>
      <c r="K453" t="s">
        <v>42</v>
      </c>
      <c r="L453" s="9">
        <f t="shared" si="7"/>
        <v>200000</v>
      </c>
      <c r="M453" s="9">
        <f>Table1[[#This Row],[Unit Price]]*Table1[[#This Row],[Quantity]]</f>
        <v>500000</v>
      </c>
      <c r="N453" s="9">
        <f>Table1[[#This Row],[Cost Price]]*Table1[[#This Row],[Quantity]]</f>
        <v>400000</v>
      </c>
      <c r="O453" s="9">
        <f>Table1[[#This Row],[Revenue]]-Table1[[#This Row],[COGS]]</f>
        <v>100000</v>
      </c>
      <c r="P453" s="6">
        <v>452</v>
      </c>
    </row>
    <row r="454" spans="1:16">
      <c r="A454" s="7" t="s">
        <v>127</v>
      </c>
      <c r="B454" s="7" t="str">
        <f>TEXT(Table1[[#This Row],[Date]],"MMM")</f>
        <v>Jan</v>
      </c>
      <c r="C454" t="s">
        <v>49</v>
      </c>
      <c r="D454" t="s">
        <v>36</v>
      </c>
      <c r="E454" t="s">
        <v>29</v>
      </c>
      <c r="F454" t="s">
        <v>37</v>
      </c>
      <c r="G454" t="s">
        <v>54</v>
      </c>
      <c r="H454" t="s">
        <v>39</v>
      </c>
      <c r="I454" s="9">
        <v>180000</v>
      </c>
      <c r="J454">
        <v>1</v>
      </c>
      <c r="K454" t="s">
        <v>33</v>
      </c>
      <c r="L454" s="9">
        <f t="shared" si="7"/>
        <v>144000</v>
      </c>
      <c r="M454" s="9">
        <f>Table1[[#This Row],[Unit Price]]*Table1[[#This Row],[Quantity]]</f>
        <v>180000</v>
      </c>
      <c r="N454" s="9">
        <f>Table1[[#This Row],[Cost Price]]*Table1[[#This Row],[Quantity]]</f>
        <v>144000</v>
      </c>
      <c r="O454" s="9">
        <f>Table1[[#This Row],[Revenue]]-Table1[[#This Row],[COGS]]</f>
        <v>36000</v>
      </c>
      <c r="P454" s="6">
        <v>453</v>
      </c>
    </row>
    <row r="455" spans="1:16">
      <c r="A455" s="7" t="s">
        <v>81</v>
      </c>
      <c r="B455" s="7" t="str">
        <f>TEXT(Table1[[#This Row],[Date]],"MMM")</f>
        <v>Mar</v>
      </c>
      <c r="C455" t="s">
        <v>35</v>
      </c>
      <c r="D455" t="s">
        <v>36</v>
      </c>
      <c r="E455" t="s">
        <v>29</v>
      </c>
      <c r="F455" t="s">
        <v>37</v>
      </c>
      <c r="G455" t="s">
        <v>56</v>
      </c>
      <c r="H455" t="s">
        <v>32</v>
      </c>
      <c r="I455" s="9">
        <v>320000</v>
      </c>
      <c r="J455">
        <v>10</v>
      </c>
      <c r="K455" t="s">
        <v>58</v>
      </c>
      <c r="L455" s="9">
        <f t="shared" si="7"/>
        <v>256000</v>
      </c>
      <c r="M455" s="9">
        <f>Table1[[#This Row],[Unit Price]]*Table1[[#This Row],[Quantity]]</f>
        <v>3200000</v>
      </c>
      <c r="N455" s="9">
        <f>Table1[[#This Row],[Cost Price]]*Table1[[#This Row],[Quantity]]</f>
        <v>2560000</v>
      </c>
      <c r="O455" s="9">
        <f>Table1[[#This Row],[Revenue]]-Table1[[#This Row],[COGS]]</f>
        <v>640000</v>
      </c>
      <c r="P455" s="6">
        <v>454</v>
      </c>
    </row>
    <row r="456" spans="1:16">
      <c r="A456" s="7" t="s">
        <v>125</v>
      </c>
      <c r="B456" s="7" t="str">
        <f>TEXT(Table1[[#This Row],[Date]],"MMM")</f>
        <v>Feb</v>
      </c>
      <c r="C456" t="s">
        <v>44</v>
      </c>
      <c r="D456" t="s">
        <v>45</v>
      </c>
      <c r="E456" t="s">
        <v>41</v>
      </c>
      <c r="F456" t="s">
        <v>37</v>
      </c>
      <c r="G456" t="s">
        <v>62</v>
      </c>
      <c r="H456" t="s">
        <v>51</v>
      </c>
      <c r="I456" s="9">
        <v>150000</v>
      </c>
      <c r="J456">
        <v>2</v>
      </c>
      <c r="K456" t="s">
        <v>33</v>
      </c>
      <c r="L456" s="9">
        <f t="shared" si="7"/>
        <v>120000</v>
      </c>
      <c r="M456" s="9">
        <f>Table1[[#This Row],[Unit Price]]*Table1[[#This Row],[Quantity]]</f>
        <v>300000</v>
      </c>
      <c r="N456" s="9">
        <f>Table1[[#This Row],[Cost Price]]*Table1[[#This Row],[Quantity]]</f>
        <v>240000</v>
      </c>
      <c r="O456" s="9">
        <f>Table1[[#This Row],[Revenue]]-Table1[[#This Row],[COGS]]</f>
        <v>60000</v>
      </c>
      <c r="P456" s="6">
        <v>455</v>
      </c>
    </row>
    <row r="457" spans="1:16">
      <c r="A457" s="7" t="s">
        <v>87</v>
      </c>
      <c r="B457" s="7" t="str">
        <f>TEXT(Table1[[#This Row],[Date]],"MMM")</f>
        <v>Mar</v>
      </c>
      <c r="C457" t="s">
        <v>35</v>
      </c>
      <c r="D457" t="s">
        <v>36</v>
      </c>
      <c r="E457" t="s">
        <v>29</v>
      </c>
      <c r="F457" t="s">
        <v>37</v>
      </c>
      <c r="G457" t="s">
        <v>54</v>
      </c>
      <c r="H457" t="s">
        <v>39</v>
      </c>
      <c r="I457" s="9">
        <v>180000</v>
      </c>
      <c r="J457">
        <v>10</v>
      </c>
      <c r="K457" t="s">
        <v>47</v>
      </c>
      <c r="L457" s="9">
        <f t="shared" si="7"/>
        <v>144000</v>
      </c>
      <c r="M457" s="9">
        <f>Table1[[#This Row],[Unit Price]]*Table1[[#This Row],[Quantity]]</f>
        <v>1800000</v>
      </c>
      <c r="N457" s="9">
        <f>Table1[[#This Row],[Cost Price]]*Table1[[#This Row],[Quantity]]</f>
        <v>1440000</v>
      </c>
      <c r="O457" s="9">
        <f>Table1[[#This Row],[Revenue]]-Table1[[#This Row],[COGS]]</f>
        <v>360000</v>
      </c>
      <c r="P457" s="6">
        <v>456</v>
      </c>
    </row>
    <row r="458" spans="1:16">
      <c r="A458" s="7" t="s">
        <v>116</v>
      </c>
      <c r="B458" s="7" t="str">
        <f>TEXT(Table1[[#This Row],[Date]],"MMM")</f>
        <v>Apr</v>
      </c>
      <c r="C458" t="s">
        <v>27</v>
      </c>
      <c r="D458" t="s">
        <v>36</v>
      </c>
      <c r="E458" t="s">
        <v>29</v>
      </c>
      <c r="F458" t="s">
        <v>30</v>
      </c>
      <c r="G458" t="s">
        <v>62</v>
      </c>
      <c r="H458" t="s">
        <v>51</v>
      </c>
      <c r="I458" s="9">
        <v>150000</v>
      </c>
      <c r="J458">
        <v>2</v>
      </c>
      <c r="K458" t="s">
        <v>47</v>
      </c>
      <c r="L458" s="9">
        <f t="shared" si="7"/>
        <v>120000</v>
      </c>
      <c r="M458" s="9">
        <f>Table1[[#This Row],[Unit Price]]*Table1[[#This Row],[Quantity]]</f>
        <v>300000</v>
      </c>
      <c r="N458" s="9">
        <f>Table1[[#This Row],[Cost Price]]*Table1[[#This Row],[Quantity]]</f>
        <v>240000</v>
      </c>
      <c r="O458" s="9">
        <f>Table1[[#This Row],[Revenue]]-Table1[[#This Row],[COGS]]</f>
        <v>60000</v>
      </c>
      <c r="P458" s="6">
        <v>457</v>
      </c>
    </row>
    <row r="459" spans="1:16">
      <c r="A459" s="7" t="s">
        <v>116</v>
      </c>
      <c r="B459" s="7" t="str">
        <f>TEXT(Table1[[#This Row],[Date]],"MMM")</f>
        <v>Apr</v>
      </c>
      <c r="C459" t="s">
        <v>44</v>
      </c>
      <c r="D459" t="s">
        <v>45</v>
      </c>
      <c r="E459" t="s">
        <v>41</v>
      </c>
      <c r="F459" t="s">
        <v>37</v>
      </c>
      <c r="G459" t="s">
        <v>46</v>
      </c>
      <c r="H459" t="s">
        <v>39</v>
      </c>
      <c r="I459" s="9">
        <v>60000</v>
      </c>
      <c r="J459">
        <v>10</v>
      </c>
      <c r="K459" t="s">
        <v>47</v>
      </c>
      <c r="L459" s="9">
        <f t="shared" si="7"/>
        <v>48000</v>
      </c>
      <c r="M459" s="9">
        <f>Table1[[#This Row],[Unit Price]]*Table1[[#This Row],[Quantity]]</f>
        <v>600000</v>
      </c>
      <c r="N459" s="9">
        <f>Table1[[#This Row],[Cost Price]]*Table1[[#This Row],[Quantity]]</f>
        <v>480000</v>
      </c>
      <c r="O459" s="9">
        <f>Table1[[#This Row],[Revenue]]-Table1[[#This Row],[COGS]]</f>
        <v>120000</v>
      </c>
      <c r="P459" s="6">
        <v>458</v>
      </c>
    </row>
    <row r="460" spans="1:16">
      <c r="A460" s="7" t="s">
        <v>129</v>
      </c>
      <c r="B460" s="7" t="str">
        <f>TEXT(Table1[[#This Row],[Date]],"MMM")</f>
        <v>Mar</v>
      </c>
      <c r="C460" t="s">
        <v>27</v>
      </c>
      <c r="D460" t="s">
        <v>53</v>
      </c>
      <c r="E460" t="s">
        <v>41</v>
      </c>
      <c r="F460" t="s">
        <v>30</v>
      </c>
      <c r="G460" t="s">
        <v>73</v>
      </c>
      <c r="H460" t="s">
        <v>39</v>
      </c>
      <c r="I460" s="9">
        <v>220000</v>
      </c>
      <c r="J460">
        <v>4</v>
      </c>
      <c r="K460" t="s">
        <v>58</v>
      </c>
      <c r="L460" s="9">
        <f t="shared" si="7"/>
        <v>176000</v>
      </c>
      <c r="M460" s="9">
        <f>Table1[[#This Row],[Unit Price]]*Table1[[#This Row],[Quantity]]</f>
        <v>880000</v>
      </c>
      <c r="N460" s="9">
        <f>Table1[[#This Row],[Cost Price]]*Table1[[#This Row],[Quantity]]</f>
        <v>704000</v>
      </c>
      <c r="O460" s="9">
        <f>Table1[[#This Row],[Revenue]]-Table1[[#This Row],[COGS]]</f>
        <v>176000</v>
      </c>
      <c r="P460" s="6">
        <v>459</v>
      </c>
    </row>
    <row r="461" spans="1:16">
      <c r="A461" s="7" t="s">
        <v>48</v>
      </c>
      <c r="B461" s="7" t="str">
        <f>TEXT(Table1[[#This Row],[Date]],"MMM")</f>
        <v>Apr</v>
      </c>
      <c r="C461" t="s">
        <v>44</v>
      </c>
      <c r="D461" t="s">
        <v>36</v>
      </c>
      <c r="E461" t="s">
        <v>29</v>
      </c>
      <c r="F461" t="s">
        <v>30</v>
      </c>
      <c r="G461" t="s">
        <v>46</v>
      </c>
      <c r="H461" t="s">
        <v>39</v>
      </c>
      <c r="I461" s="9">
        <v>60000</v>
      </c>
      <c r="J461">
        <v>5</v>
      </c>
      <c r="K461" t="s">
        <v>58</v>
      </c>
      <c r="L461" s="9">
        <f t="shared" si="7"/>
        <v>48000</v>
      </c>
      <c r="M461" s="9">
        <f>Table1[[#This Row],[Unit Price]]*Table1[[#This Row],[Quantity]]</f>
        <v>300000</v>
      </c>
      <c r="N461" s="9">
        <f>Table1[[#This Row],[Cost Price]]*Table1[[#This Row],[Quantity]]</f>
        <v>240000</v>
      </c>
      <c r="O461" s="9">
        <f>Table1[[#This Row],[Revenue]]-Table1[[#This Row],[COGS]]</f>
        <v>60000</v>
      </c>
      <c r="P461" s="6">
        <v>460</v>
      </c>
    </row>
    <row r="462" spans="1:16">
      <c r="A462" s="7" t="s">
        <v>125</v>
      </c>
      <c r="B462" s="7" t="str">
        <f>TEXT(Table1[[#This Row],[Date]],"MMM")</f>
        <v>Feb</v>
      </c>
      <c r="C462" t="s">
        <v>44</v>
      </c>
      <c r="D462" t="s">
        <v>53</v>
      </c>
      <c r="E462" t="s">
        <v>41</v>
      </c>
      <c r="F462" t="s">
        <v>30</v>
      </c>
      <c r="G462" t="s">
        <v>71</v>
      </c>
      <c r="H462" t="s">
        <v>51</v>
      </c>
      <c r="I462" s="9">
        <v>250000</v>
      </c>
      <c r="J462">
        <v>3</v>
      </c>
      <c r="K462" t="s">
        <v>42</v>
      </c>
      <c r="L462" s="9">
        <f t="shared" si="7"/>
        <v>200000</v>
      </c>
      <c r="M462" s="9">
        <f>Table1[[#This Row],[Unit Price]]*Table1[[#This Row],[Quantity]]</f>
        <v>750000</v>
      </c>
      <c r="N462" s="9">
        <f>Table1[[#This Row],[Cost Price]]*Table1[[#This Row],[Quantity]]</f>
        <v>600000</v>
      </c>
      <c r="O462" s="9">
        <f>Table1[[#This Row],[Revenue]]-Table1[[#This Row],[COGS]]</f>
        <v>150000</v>
      </c>
      <c r="P462" s="6">
        <v>461</v>
      </c>
    </row>
    <row r="463" spans="1:16">
      <c r="A463" s="7" t="s">
        <v>126</v>
      </c>
      <c r="B463" s="7" t="str">
        <f>TEXT(Table1[[#This Row],[Date]],"MMM")</f>
        <v>Jan</v>
      </c>
      <c r="C463" t="s">
        <v>44</v>
      </c>
      <c r="D463" t="s">
        <v>36</v>
      </c>
      <c r="E463" t="s">
        <v>41</v>
      </c>
      <c r="F463" t="s">
        <v>37</v>
      </c>
      <c r="G463" t="s">
        <v>62</v>
      </c>
      <c r="H463" t="s">
        <v>51</v>
      </c>
      <c r="I463" s="9">
        <v>150000</v>
      </c>
      <c r="J463">
        <v>1</v>
      </c>
      <c r="K463" t="s">
        <v>65</v>
      </c>
      <c r="L463" s="9">
        <f t="shared" si="7"/>
        <v>120000</v>
      </c>
      <c r="M463" s="9">
        <f>Table1[[#This Row],[Unit Price]]*Table1[[#This Row],[Quantity]]</f>
        <v>150000</v>
      </c>
      <c r="N463" s="9">
        <f>Table1[[#This Row],[Cost Price]]*Table1[[#This Row],[Quantity]]</f>
        <v>120000</v>
      </c>
      <c r="O463" s="9">
        <f>Table1[[#This Row],[Revenue]]-Table1[[#This Row],[COGS]]</f>
        <v>30000</v>
      </c>
      <c r="P463" s="6">
        <v>462</v>
      </c>
    </row>
    <row r="464" spans="1:16">
      <c r="A464" s="7" t="s">
        <v>124</v>
      </c>
      <c r="B464" s="7" t="str">
        <f>TEXT(Table1[[#This Row],[Date]],"MMM")</f>
        <v>Feb</v>
      </c>
      <c r="C464" t="s">
        <v>49</v>
      </c>
      <c r="D464" t="s">
        <v>53</v>
      </c>
      <c r="E464" t="s">
        <v>41</v>
      </c>
      <c r="F464" t="s">
        <v>37</v>
      </c>
      <c r="G464" t="s">
        <v>73</v>
      </c>
      <c r="H464" t="s">
        <v>39</v>
      </c>
      <c r="I464" s="9">
        <v>220000</v>
      </c>
      <c r="J464">
        <v>1</v>
      </c>
      <c r="K464" t="s">
        <v>42</v>
      </c>
      <c r="L464" s="9">
        <f t="shared" si="7"/>
        <v>176000</v>
      </c>
      <c r="M464" s="9">
        <f>Table1[[#This Row],[Unit Price]]*Table1[[#This Row],[Quantity]]</f>
        <v>220000</v>
      </c>
      <c r="N464" s="9">
        <f>Table1[[#This Row],[Cost Price]]*Table1[[#This Row],[Quantity]]</f>
        <v>176000</v>
      </c>
      <c r="O464" s="9">
        <f>Table1[[#This Row],[Revenue]]-Table1[[#This Row],[COGS]]</f>
        <v>44000</v>
      </c>
      <c r="P464" s="6">
        <v>463</v>
      </c>
    </row>
    <row r="465" spans="1:16">
      <c r="A465" s="7" t="s">
        <v>160</v>
      </c>
      <c r="B465" s="7" t="str">
        <f>TEXT(Table1[[#This Row],[Date]],"MMM")</f>
        <v>Jan</v>
      </c>
      <c r="C465" t="s">
        <v>35</v>
      </c>
      <c r="D465" t="s">
        <v>45</v>
      </c>
      <c r="E465" t="s">
        <v>29</v>
      </c>
      <c r="F465" t="s">
        <v>37</v>
      </c>
      <c r="G465" t="s">
        <v>71</v>
      </c>
      <c r="H465" t="s">
        <v>51</v>
      </c>
      <c r="I465" s="9">
        <v>250000</v>
      </c>
      <c r="J465">
        <v>6</v>
      </c>
      <c r="K465" t="s">
        <v>65</v>
      </c>
      <c r="L465" s="9">
        <f t="shared" si="7"/>
        <v>200000</v>
      </c>
      <c r="M465" s="9">
        <f>Table1[[#This Row],[Unit Price]]*Table1[[#This Row],[Quantity]]</f>
        <v>1500000</v>
      </c>
      <c r="N465" s="9">
        <f>Table1[[#This Row],[Cost Price]]*Table1[[#This Row],[Quantity]]</f>
        <v>1200000</v>
      </c>
      <c r="O465" s="9">
        <f>Table1[[#This Row],[Revenue]]-Table1[[#This Row],[COGS]]</f>
        <v>300000</v>
      </c>
      <c r="P465" s="6">
        <v>464</v>
      </c>
    </row>
    <row r="466" spans="1:16">
      <c r="A466" s="7" t="s">
        <v>102</v>
      </c>
      <c r="B466" s="7" t="str">
        <f>TEXT(Table1[[#This Row],[Date]],"MMM")</f>
        <v>Mar</v>
      </c>
      <c r="C466" t="s">
        <v>27</v>
      </c>
      <c r="D466" t="s">
        <v>53</v>
      </c>
      <c r="E466" t="s">
        <v>29</v>
      </c>
      <c r="F466" t="s">
        <v>37</v>
      </c>
      <c r="G466" t="s">
        <v>73</v>
      </c>
      <c r="H466" t="s">
        <v>39</v>
      </c>
      <c r="I466" s="9">
        <v>220000</v>
      </c>
      <c r="J466">
        <v>10</v>
      </c>
      <c r="K466" t="s">
        <v>58</v>
      </c>
      <c r="L466" s="9">
        <f t="shared" si="7"/>
        <v>176000</v>
      </c>
      <c r="M466" s="9">
        <f>Table1[[#This Row],[Unit Price]]*Table1[[#This Row],[Quantity]]</f>
        <v>2200000</v>
      </c>
      <c r="N466" s="9">
        <f>Table1[[#This Row],[Cost Price]]*Table1[[#This Row],[Quantity]]</f>
        <v>1760000</v>
      </c>
      <c r="O466" s="9">
        <f>Table1[[#This Row],[Revenue]]-Table1[[#This Row],[COGS]]</f>
        <v>440000</v>
      </c>
      <c r="P466" s="6">
        <v>465</v>
      </c>
    </row>
    <row r="467" spans="1:16">
      <c r="A467" s="7" t="s">
        <v>64</v>
      </c>
      <c r="B467" s="7" t="str">
        <f>TEXT(Table1[[#This Row],[Date]],"MMM")</f>
        <v>Apr</v>
      </c>
      <c r="C467" t="s">
        <v>35</v>
      </c>
      <c r="D467" t="s">
        <v>28</v>
      </c>
      <c r="E467" t="s">
        <v>29</v>
      </c>
      <c r="F467" t="s">
        <v>37</v>
      </c>
      <c r="G467" t="s">
        <v>54</v>
      </c>
      <c r="H467" t="s">
        <v>39</v>
      </c>
      <c r="I467" s="9">
        <v>180000</v>
      </c>
      <c r="J467">
        <v>10</v>
      </c>
      <c r="K467" t="s">
        <v>42</v>
      </c>
      <c r="L467" s="9">
        <f t="shared" si="7"/>
        <v>144000</v>
      </c>
      <c r="M467" s="9">
        <f>Table1[[#This Row],[Unit Price]]*Table1[[#This Row],[Quantity]]</f>
        <v>1800000</v>
      </c>
      <c r="N467" s="9">
        <f>Table1[[#This Row],[Cost Price]]*Table1[[#This Row],[Quantity]]</f>
        <v>1440000</v>
      </c>
      <c r="O467" s="9">
        <f>Table1[[#This Row],[Revenue]]-Table1[[#This Row],[COGS]]</f>
        <v>360000</v>
      </c>
      <c r="P467" s="6">
        <v>466</v>
      </c>
    </row>
    <row r="468" spans="1:16">
      <c r="A468" s="7" t="s">
        <v>171</v>
      </c>
      <c r="B468" s="7" t="str">
        <f>TEXT(Table1[[#This Row],[Date]],"MMM")</f>
        <v>Mar</v>
      </c>
      <c r="C468" t="s">
        <v>27</v>
      </c>
      <c r="D468" t="s">
        <v>28</v>
      </c>
      <c r="E468" t="s">
        <v>41</v>
      </c>
      <c r="F468" t="s">
        <v>30</v>
      </c>
      <c r="G468" t="s">
        <v>46</v>
      </c>
      <c r="H468" t="s">
        <v>39</v>
      </c>
      <c r="I468" s="9">
        <v>60000</v>
      </c>
      <c r="J468">
        <v>6</v>
      </c>
      <c r="K468" t="s">
        <v>69</v>
      </c>
      <c r="L468" s="9">
        <f t="shared" si="7"/>
        <v>48000</v>
      </c>
      <c r="M468" s="9">
        <f>Table1[[#This Row],[Unit Price]]*Table1[[#This Row],[Quantity]]</f>
        <v>360000</v>
      </c>
      <c r="N468" s="9">
        <f>Table1[[#This Row],[Cost Price]]*Table1[[#This Row],[Quantity]]</f>
        <v>288000</v>
      </c>
      <c r="O468" s="9">
        <f>Table1[[#This Row],[Revenue]]-Table1[[#This Row],[COGS]]</f>
        <v>72000</v>
      </c>
      <c r="P468" s="6">
        <v>467</v>
      </c>
    </row>
    <row r="469" spans="1:16">
      <c r="A469" s="7" t="s">
        <v>165</v>
      </c>
      <c r="B469" s="7" t="str">
        <f>TEXT(Table1[[#This Row],[Date]],"MMM")</f>
        <v>Apr</v>
      </c>
      <c r="C469" t="s">
        <v>49</v>
      </c>
      <c r="D469" t="s">
        <v>45</v>
      </c>
      <c r="E469" t="s">
        <v>29</v>
      </c>
      <c r="F469" t="s">
        <v>37</v>
      </c>
      <c r="G469" t="s">
        <v>73</v>
      </c>
      <c r="H469" t="s">
        <v>39</v>
      </c>
      <c r="I469" s="9">
        <v>220000</v>
      </c>
      <c r="J469">
        <v>4</v>
      </c>
      <c r="K469" t="s">
        <v>42</v>
      </c>
      <c r="L469" s="9">
        <f t="shared" si="7"/>
        <v>176000</v>
      </c>
      <c r="M469" s="9">
        <f>Table1[[#This Row],[Unit Price]]*Table1[[#This Row],[Quantity]]</f>
        <v>880000</v>
      </c>
      <c r="N469" s="9">
        <f>Table1[[#This Row],[Cost Price]]*Table1[[#This Row],[Quantity]]</f>
        <v>704000</v>
      </c>
      <c r="O469" s="9">
        <f>Table1[[#This Row],[Revenue]]-Table1[[#This Row],[COGS]]</f>
        <v>176000</v>
      </c>
      <c r="P469" s="6">
        <v>468</v>
      </c>
    </row>
    <row r="470" spans="1:16">
      <c r="A470" s="7" t="s">
        <v>86</v>
      </c>
      <c r="B470" s="7" t="str">
        <f>TEXT(Table1[[#This Row],[Date]],"MMM")</f>
        <v>Feb</v>
      </c>
      <c r="C470" t="s">
        <v>44</v>
      </c>
      <c r="D470" t="s">
        <v>53</v>
      </c>
      <c r="E470" t="s">
        <v>41</v>
      </c>
      <c r="F470" t="s">
        <v>30</v>
      </c>
      <c r="G470" t="s">
        <v>62</v>
      </c>
      <c r="H470" t="s">
        <v>51</v>
      </c>
      <c r="I470" s="9">
        <v>150000</v>
      </c>
      <c r="J470">
        <v>1</v>
      </c>
      <c r="K470" t="s">
        <v>42</v>
      </c>
      <c r="L470" s="9">
        <f t="shared" si="7"/>
        <v>120000</v>
      </c>
      <c r="M470" s="9">
        <f>Table1[[#This Row],[Unit Price]]*Table1[[#This Row],[Quantity]]</f>
        <v>150000</v>
      </c>
      <c r="N470" s="9">
        <f>Table1[[#This Row],[Cost Price]]*Table1[[#This Row],[Quantity]]</f>
        <v>120000</v>
      </c>
      <c r="O470" s="9">
        <f>Table1[[#This Row],[Revenue]]-Table1[[#This Row],[COGS]]</f>
        <v>30000</v>
      </c>
      <c r="P470" s="6">
        <v>469</v>
      </c>
    </row>
    <row r="471" spans="1:16">
      <c r="A471" s="7" t="s">
        <v>88</v>
      </c>
      <c r="B471" s="7" t="str">
        <f>TEXT(Table1[[#This Row],[Date]],"MMM")</f>
        <v>Feb</v>
      </c>
      <c r="C471" t="s">
        <v>44</v>
      </c>
      <c r="D471" t="s">
        <v>45</v>
      </c>
      <c r="E471" t="s">
        <v>29</v>
      </c>
      <c r="F471" t="s">
        <v>37</v>
      </c>
      <c r="G471" t="s">
        <v>54</v>
      </c>
      <c r="H471" t="s">
        <v>39</v>
      </c>
      <c r="I471" s="9">
        <v>180000</v>
      </c>
      <c r="J471">
        <v>1</v>
      </c>
      <c r="K471" t="s">
        <v>47</v>
      </c>
      <c r="L471" s="9">
        <f t="shared" si="7"/>
        <v>144000</v>
      </c>
      <c r="M471" s="9">
        <f>Table1[[#This Row],[Unit Price]]*Table1[[#This Row],[Quantity]]</f>
        <v>180000</v>
      </c>
      <c r="N471" s="9">
        <f>Table1[[#This Row],[Cost Price]]*Table1[[#This Row],[Quantity]]</f>
        <v>144000</v>
      </c>
      <c r="O471" s="9">
        <f>Table1[[#This Row],[Revenue]]-Table1[[#This Row],[COGS]]</f>
        <v>36000</v>
      </c>
      <c r="P471" s="6">
        <v>470</v>
      </c>
    </row>
    <row r="472" spans="1:16">
      <c r="A472" s="7" t="s">
        <v>70</v>
      </c>
      <c r="B472" s="7" t="str">
        <f>TEXT(Table1[[#This Row],[Date]],"MMM")</f>
        <v>Apr</v>
      </c>
      <c r="C472" t="s">
        <v>35</v>
      </c>
      <c r="D472" t="s">
        <v>53</v>
      </c>
      <c r="E472" t="s">
        <v>41</v>
      </c>
      <c r="F472" t="s">
        <v>37</v>
      </c>
      <c r="G472" t="s">
        <v>73</v>
      </c>
      <c r="H472" t="s">
        <v>39</v>
      </c>
      <c r="I472" s="9">
        <v>220000</v>
      </c>
      <c r="J472">
        <v>8</v>
      </c>
      <c r="K472" t="s">
        <v>47</v>
      </c>
      <c r="L472" s="9">
        <f t="shared" si="7"/>
        <v>176000</v>
      </c>
      <c r="M472" s="9">
        <f>Table1[[#This Row],[Unit Price]]*Table1[[#This Row],[Quantity]]</f>
        <v>1760000</v>
      </c>
      <c r="N472" s="9">
        <f>Table1[[#This Row],[Cost Price]]*Table1[[#This Row],[Quantity]]</f>
        <v>1408000</v>
      </c>
      <c r="O472" s="9">
        <f>Table1[[#This Row],[Revenue]]-Table1[[#This Row],[COGS]]</f>
        <v>352000</v>
      </c>
      <c r="P472" s="6">
        <v>471</v>
      </c>
    </row>
    <row r="473" spans="1:16">
      <c r="A473" s="7" t="s">
        <v>97</v>
      </c>
      <c r="B473" s="7" t="str">
        <f>TEXT(Table1[[#This Row],[Date]],"MMM")</f>
        <v>Jan</v>
      </c>
      <c r="C473" t="s">
        <v>27</v>
      </c>
      <c r="D473" t="s">
        <v>36</v>
      </c>
      <c r="E473" t="s">
        <v>29</v>
      </c>
      <c r="F473" t="s">
        <v>37</v>
      </c>
      <c r="G473" t="s">
        <v>71</v>
      </c>
      <c r="H473" t="s">
        <v>51</v>
      </c>
      <c r="I473" s="9">
        <v>250000</v>
      </c>
      <c r="J473">
        <v>3</v>
      </c>
      <c r="K473" t="s">
        <v>42</v>
      </c>
      <c r="L473" s="9">
        <f t="shared" si="7"/>
        <v>200000</v>
      </c>
      <c r="M473" s="9">
        <f>Table1[[#This Row],[Unit Price]]*Table1[[#This Row],[Quantity]]</f>
        <v>750000</v>
      </c>
      <c r="N473" s="9">
        <f>Table1[[#This Row],[Cost Price]]*Table1[[#This Row],[Quantity]]</f>
        <v>600000</v>
      </c>
      <c r="O473" s="9">
        <f>Table1[[#This Row],[Revenue]]-Table1[[#This Row],[COGS]]</f>
        <v>150000</v>
      </c>
      <c r="P473" s="6">
        <v>472</v>
      </c>
    </row>
    <row r="474" spans="1:16">
      <c r="A474" s="7" t="s">
        <v>103</v>
      </c>
      <c r="B474" s="7" t="str">
        <f>TEXT(Table1[[#This Row],[Date]],"MMM")</f>
        <v>Mar</v>
      </c>
      <c r="C474" t="s">
        <v>49</v>
      </c>
      <c r="D474" t="s">
        <v>36</v>
      </c>
      <c r="E474" t="s">
        <v>41</v>
      </c>
      <c r="F474" t="s">
        <v>37</v>
      </c>
      <c r="G474" t="s">
        <v>46</v>
      </c>
      <c r="H474" t="s">
        <v>39</v>
      </c>
      <c r="I474" s="9">
        <v>60000</v>
      </c>
      <c r="J474">
        <v>1</v>
      </c>
      <c r="K474" t="s">
        <v>58</v>
      </c>
      <c r="L474" s="9">
        <f t="shared" si="7"/>
        <v>48000</v>
      </c>
      <c r="M474" s="9">
        <f>Table1[[#This Row],[Unit Price]]*Table1[[#This Row],[Quantity]]</f>
        <v>60000</v>
      </c>
      <c r="N474" s="9">
        <f>Table1[[#This Row],[Cost Price]]*Table1[[#This Row],[Quantity]]</f>
        <v>48000</v>
      </c>
      <c r="O474" s="9">
        <f>Table1[[#This Row],[Revenue]]-Table1[[#This Row],[COGS]]</f>
        <v>12000</v>
      </c>
      <c r="P474" s="6">
        <v>473</v>
      </c>
    </row>
    <row r="475" spans="1:16">
      <c r="A475" s="7" t="s">
        <v>114</v>
      </c>
      <c r="B475" s="7" t="str">
        <f>TEXT(Table1[[#This Row],[Date]],"MMM")</f>
        <v>Apr</v>
      </c>
      <c r="C475" t="s">
        <v>35</v>
      </c>
      <c r="D475" t="s">
        <v>53</v>
      </c>
      <c r="E475" t="s">
        <v>29</v>
      </c>
      <c r="F475" t="s">
        <v>37</v>
      </c>
      <c r="G475" t="s">
        <v>56</v>
      </c>
      <c r="H475" t="s">
        <v>32</v>
      </c>
      <c r="I475" s="9">
        <v>320000</v>
      </c>
      <c r="J475">
        <v>4</v>
      </c>
      <c r="K475" t="s">
        <v>33</v>
      </c>
      <c r="L475" s="9">
        <f t="shared" si="7"/>
        <v>256000</v>
      </c>
      <c r="M475" s="9">
        <f>Table1[[#This Row],[Unit Price]]*Table1[[#This Row],[Quantity]]</f>
        <v>1280000</v>
      </c>
      <c r="N475" s="9">
        <f>Table1[[#This Row],[Cost Price]]*Table1[[#This Row],[Quantity]]</f>
        <v>1024000</v>
      </c>
      <c r="O475" s="9">
        <f>Table1[[#This Row],[Revenue]]-Table1[[#This Row],[COGS]]</f>
        <v>256000</v>
      </c>
      <c r="P475" s="6">
        <v>474</v>
      </c>
    </row>
    <row r="476" spans="1:16">
      <c r="A476" s="7" t="s">
        <v>66</v>
      </c>
      <c r="B476" s="7" t="str">
        <f>TEXT(Table1[[#This Row],[Date]],"MMM")</f>
        <v>Mar</v>
      </c>
      <c r="C476" t="s">
        <v>44</v>
      </c>
      <c r="D476" t="s">
        <v>45</v>
      </c>
      <c r="E476" t="s">
        <v>41</v>
      </c>
      <c r="F476" t="s">
        <v>37</v>
      </c>
      <c r="G476" t="s">
        <v>67</v>
      </c>
      <c r="H476" t="s">
        <v>51</v>
      </c>
      <c r="I476" s="9">
        <v>420000</v>
      </c>
      <c r="J476">
        <v>8</v>
      </c>
      <c r="K476" t="s">
        <v>42</v>
      </c>
      <c r="L476" s="9">
        <f t="shared" si="7"/>
        <v>336000</v>
      </c>
      <c r="M476" s="9">
        <f>Table1[[#This Row],[Unit Price]]*Table1[[#This Row],[Quantity]]</f>
        <v>3360000</v>
      </c>
      <c r="N476" s="9">
        <f>Table1[[#This Row],[Cost Price]]*Table1[[#This Row],[Quantity]]</f>
        <v>2688000</v>
      </c>
      <c r="O476" s="9">
        <f>Table1[[#This Row],[Revenue]]-Table1[[#This Row],[COGS]]</f>
        <v>672000</v>
      </c>
      <c r="P476" s="6">
        <v>475</v>
      </c>
    </row>
    <row r="477" spans="1:16">
      <c r="A477" s="7" t="s">
        <v>91</v>
      </c>
      <c r="B477" s="7" t="str">
        <f>TEXT(Table1[[#This Row],[Date]],"MMM")</f>
        <v>Feb</v>
      </c>
      <c r="C477" t="s">
        <v>44</v>
      </c>
      <c r="D477" t="s">
        <v>36</v>
      </c>
      <c r="E477" t="s">
        <v>41</v>
      </c>
      <c r="F477" t="s">
        <v>37</v>
      </c>
      <c r="G477" t="s">
        <v>67</v>
      </c>
      <c r="H477" t="s">
        <v>51</v>
      </c>
      <c r="I477" s="9">
        <v>420000</v>
      </c>
      <c r="J477">
        <v>8</v>
      </c>
      <c r="K477" t="s">
        <v>58</v>
      </c>
      <c r="L477" s="9">
        <f t="shared" si="7"/>
        <v>336000</v>
      </c>
      <c r="M477" s="9">
        <f>Table1[[#This Row],[Unit Price]]*Table1[[#This Row],[Quantity]]</f>
        <v>3360000</v>
      </c>
      <c r="N477" s="9">
        <f>Table1[[#This Row],[Cost Price]]*Table1[[#This Row],[Quantity]]</f>
        <v>2688000</v>
      </c>
      <c r="O477" s="9">
        <f>Table1[[#This Row],[Revenue]]-Table1[[#This Row],[COGS]]</f>
        <v>672000</v>
      </c>
      <c r="P477" s="6">
        <v>476</v>
      </c>
    </row>
    <row r="478" spans="1:16">
      <c r="A478" s="7" t="s">
        <v>166</v>
      </c>
      <c r="B478" s="7" t="str">
        <f>TEXT(Table1[[#This Row],[Date]],"MMM")</f>
        <v>Jan</v>
      </c>
      <c r="C478" t="s">
        <v>49</v>
      </c>
      <c r="D478" t="s">
        <v>36</v>
      </c>
      <c r="E478" t="s">
        <v>29</v>
      </c>
      <c r="F478" t="s">
        <v>37</v>
      </c>
      <c r="G478" t="s">
        <v>46</v>
      </c>
      <c r="H478" t="s">
        <v>39</v>
      </c>
      <c r="I478" s="9">
        <v>60000</v>
      </c>
      <c r="J478">
        <v>1</v>
      </c>
      <c r="K478" t="s">
        <v>69</v>
      </c>
      <c r="L478" s="9">
        <f t="shared" si="7"/>
        <v>48000</v>
      </c>
      <c r="M478" s="9">
        <f>Table1[[#This Row],[Unit Price]]*Table1[[#This Row],[Quantity]]</f>
        <v>60000</v>
      </c>
      <c r="N478" s="9">
        <f>Table1[[#This Row],[Cost Price]]*Table1[[#This Row],[Quantity]]</f>
        <v>48000</v>
      </c>
      <c r="O478" s="9">
        <f>Table1[[#This Row],[Revenue]]-Table1[[#This Row],[COGS]]</f>
        <v>12000</v>
      </c>
      <c r="P478" s="6">
        <v>477</v>
      </c>
    </row>
    <row r="479" spans="1:16">
      <c r="A479" s="7" t="s">
        <v>118</v>
      </c>
      <c r="B479" s="7" t="str">
        <f>TEXT(Table1[[#This Row],[Date]],"MMM")</f>
        <v>Mar</v>
      </c>
      <c r="C479" t="s">
        <v>35</v>
      </c>
      <c r="D479" t="s">
        <v>28</v>
      </c>
      <c r="E479" t="s">
        <v>41</v>
      </c>
      <c r="F479" t="s">
        <v>37</v>
      </c>
      <c r="G479" t="s">
        <v>54</v>
      </c>
      <c r="H479" t="s">
        <v>39</v>
      </c>
      <c r="I479" s="9">
        <v>180000</v>
      </c>
      <c r="J479">
        <v>8</v>
      </c>
      <c r="K479" t="s">
        <v>42</v>
      </c>
      <c r="L479" s="9">
        <f t="shared" si="7"/>
        <v>144000</v>
      </c>
      <c r="M479" s="9">
        <f>Table1[[#This Row],[Unit Price]]*Table1[[#This Row],[Quantity]]</f>
        <v>1440000</v>
      </c>
      <c r="N479" s="9">
        <f>Table1[[#This Row],[Cost Price]]*Table1[[#This Row],[Quantity]]</f>
        <v>1152000</v>
      </c>
      <c r="O479" s="9">
        <f>Table1[[#This Row],[Revenue]]-Table1[[#This Row],[COGS]]</f>
        <v>288000</v>
      </c>
      <c r="P479" s="6">
        <v>478</v>
      </c>
    </row>
    <row r="480" spans="1:16">
      <c r="A480" s="7" t="s">
        <v>101</v>
      </c>
      <c r="B480" s="7" t="str">
        <f>TEXT(Table1[[#This Row],[Date]],"MMM")</f>
        <v>Jan</v>
      </c>
      <c r="C480" t="s">
        <v>27</v>
      </c>
      <c r="D480" t="s">
        <v>36</v>
      </c>
      <c r="E480" t="s">
        <v>41</v>
      </c>
      <c r="F480" t="s">
        <v>37</v>
      </c>
      <c r="G480" t="s">
        <v>54</v>
      </c>
      <c r="H480" t="s">
        <v>39</v>
      </c>
      <c r="I480" s="9">
        <v>180000</v>
      </c>
      <c r="J480">
        <v>2</v>
      </c>
      <c r="K480" t="s">
        <v>42</v>
      </c>
      <c r="L480" s="9">
        <f t="shared" si="7"/>
        <v>144000</v>
      </c>
      <c r="M480" s="9">
        <f>Table1[[#This Row],[Unit Price]]*Table1[[#This Row],[Quantity]]</f>
        <v>360000</v>
      </c>
      <c r="N480" s="9">
        <f>Table1[[#This Row],[Cost Price]]*Table1[[#This Row],[Quantity]]</f>
        <v>288000</v>
      </c>
      <c r="O480" s="9">
        <f>Table1[[#This Row],[Revenue]]-Table1[[#This Row],[COGS]]</f>
        <v>72000</v>
      </c>
      <c r="P480" s="6">
        <v>479</v>
      </c>
    </row>
    <row r="481" spans="1:16">
      <c r="A481" s="7" t="s">
        <v>165</v>
      </c>
      <c r="B481" s="7" t="str">
        <f>TEXT(Table1[[#This Row],[Date]],"MMM")</f>
        <v>Apr</v>
      </c>
      <c r="C481" t="s">
        <v>44</v>
      </c>
      <c r="D481" t="s">
        <v>36</v>
      </c>
      <c r="E481" t="s">
        <v>41</v>
      </c>
      <c r="F481" t="s">
        <v>30</v>
      </c>
      <c r="G481" t="s">
        <v>50</v>
      </c>
      <c r="H481" t="s">
        <v>51</v>
      </c>
      <c r="I481" s="9">
        <v>300000</v>
      </c>
      <c r="J481">
        <v>7</v>
      </c>
      <c r="K481" t="s">
        <v>58</v>
      </c>
      <c r="L481" s="9">
        <f t="shared" si="7"/>
        <v>240000</v>
      </c>
      <c r="M481" s="9">
        <f>Table1[[#This Row],[Unit Price]]*Table1[[#This Row],[Quantity]]</f>
        <v>2100000</v>
      </c>
      <c r="N481" s="9">
        <f>Table1[[#This Row],[Cost Price]]*Table1[[#This Row],[Quantity]]</f>
        <v>1680000</v>
      </c>
      <c r="O481" s="9">
        <f>Table1[[#This Row],[Revenue]]-Table1[[#This Row],[COGS]]</f>
        <v>420000</v>
      </c>
      <c r="P481" s="6">
        <v>480</v>
      </c>
    </row>
    <row r="482" spans="1:16">
      <c r="A482" s="7" t="s">
        <v>145</v>
      </c>
      <c r="B482" s="7" t="str">
        <f>TEXT(Table1[[#This Row],[Date]],"MMM")</f>
        <v>Jan</v>
      </c>
      <c r="C482" t="s">
        <v>27</v>
      </c>
      <c r="D482" t="s">
        <v>45</v>
      </c>
      <c r="E482" t="s">
        <v>29</v>
      </c>
      <c r="F482" t="s">
        <v>30</v>
      </c>
      <c r="G482" t="s">
        <v>71</v>
      </c>
      <c r="H482" t="s">
        <v>51</v>
      </c>
      <c r="I482" s="9">
        <v>250000</v>
      </c>
      <c r="J482">
        <v>6</v>
      </c>
      <c r="K482" t="s">
        <v>58</v>
      </c>
      <c r="L482" s="9">
        <f t="shared" si="7"/>
        <v>200000</v>
      </c>
      <c r="M482" s="9">
        <f>Table1[[#This Row],[Unit Price]]*Table1[[#This Row],[Quantity]]</f>
        <v>1500000</v>
      </c>
      <c r="N482" s="9">
        <f>Table1[[#This Row],[Cost Price]]*Table1[[#This Row],[Quantity]]</f>
        <v>1200000</v>
      </c>
      <c r="O482" s="9">
        <f>Table1[[#This Row],[Revenue]]-Table1[[#This Row],[COGS]]</f>
        <v>300000</v>
      </c>
      <c r="P482" s="6">
        <v>481</v>
      </c>
    </row>
    <row r="483" spans="1:16">
      <c r="A483" s="7" t="s">
        <v>108</v>
      </c>
      <c r="B483" s="7" t="str">
        <f>TEXT(Table1[[#This Row],[Date]],"MMM")</f>
        <v>Apr</v>
      </c>
      <c r="C483" t="s">
        <v>49</v>
      </c>
      <c r="D483" t="s">
        <v>45</v>
      </c>
      <c r="E483" t="s">
        <v>29</v>
      </c>
      <c r="F483" t="s">
        <v>37</v>
      </c>
      <c r="G483" t="s">
        <v>62</v>
      </c>
      <c r="H483" t="s">
        <v>51</v>
      </c>
      <c r="I483" s="9">
        <v>150000</v>
      </c>
      <c r="J483">
        <v>5</v>
      </c>
      <c r="K483" t="s">
        <v>42</v>
      </c>
      <c r="L483" s="9">
        <f t="shared" si="7"/>
        <v>120000</v>
      </c>
      <c r="M483" s="9">
        <f>Table1[[#This Row],[Unit Price]]*Table1[[#This Row],[Quantity]]</f>
        <v>750000</v>
      </c>
      <c r="N483" s="9">
        <f>Table1[[#This Row],[Cost Price]]*Table1[[#This Row],[Quantity]]</f>
        <v>600000</v>
      </c>
      <c r="O483" s="9">
        <f>Table1[[#This Row],[Revenue]]-Table1[[#This Row],[COGS]]</f>
        <v>150000</v>
      </c>
      <c r="P483" s="6">
        <v>482</v>
      </c>
    </row>
    <row r="484" spans="1:16">
      <c r="A484" s="7" t="s">
        <v>55</v>
      </c>
      <c r="B484" s="7" t="str">
        <f>TEXT(Table1[[#This Row],[Date]],"MMM")</f>
        <v>Mar</v>
      </c>
      <c r="C484" t="s">
        <v>27</v>
      </c>
      <c r="D484" t="s">
        <v>53</v>
      </c>
      <c r="E484" t="s">
        <v>29</v>
      </c>
      <c r="F484" t="s">
        <v>30</v>
      </c>
      <c r="G484" t="s">
        <v>31</v>
      </c>
      <c r="H484" t="s">
        <v>32</v>
      </c>
      <c r="I484" s="9">
        <v>85000</v>
      </c>
      <c r="J484">
        <v>10</v>
      </c>
      <c r="K484" t="s">
        <v>42</v>
      </c>
      <c r="L484" s="9">
        <f t="shared" si="7"/>
        <v>68000</v>
      </c>
      <c r="M484" s="9">
        <f>Table1[[#This Row],[Unit Price]]*Table1[[#This Row],[Quantity]]</f>
        <v>850000</v>
      </c>
      <c r="N484" s="9">
        <f>Table1[[#This Row],[Cost Price]]*Table1[[#This Row],[Quantity]]</f>
        <v>680000</v>
      </c>
      <c r="O484" s="9">
        <f>Table1[[#This Row],[Revenue]]-Table1[[#This Row],[COGS]]</f>
        <v>170000</v>
      </c>
      <c r="P484" s="6">
        <v>483</v>
      </c>
    </row>
    <row r="485" spans="1:16">
      <c r="A485" s="7" t="s">
        <v>117</v>
      </c>
      <c r="B485" s="7" t="str">
        <f>TEXT(Table1[[#This Row],[Date]],"MMM")</f>
        <v>Jan</v>
      </c>
      <c r="C485" t="s">
        <v>49</v>
      </c>
      <c r="D485" t="s">
        <v>53</v>
      </c>
      <c r="E485" t="s">
        <v>29</v>
      </c>
      <c r="F485" t="s">
        <v>30</v>
      </c>
      <c r="G485" t="s">
        <v>31</v>
      </c>
      <c r="H485" t="s">
        <v>32</v>
      </c>
      <c r="I485" s="9">
        <v>85000</v>
      </c>
      <c r="J485">
        <v>8</v>
      </c>
      <c r="K485" t="s">
        <v>58</v>
      </c>
      <c r="L485" s="9">
        <f t="shared" si="7"/>
        <v>68000</v>
      </c>
      <c r="M485" s="9">
        <f>Table1[[#This Row],[Unit Price]]*Table1[[#This Row],[Quantity]]</f>
        <v>680000</v>
      </c>
      <c r="N485" s="9">
        <f>Table1[[#This Row],[Cost Price]]*Table1[[#This Row],[Quantity]]</f>
        <v>544000</v>
      </c>
      <c r="O485" s="9">
        <f>Table1[[#This Row],[Revenue]]-Table1[[#This Row],[COGS]]</f>
        <v>136000</v>
      </c>
      <c r="P485" s="6">
        <v>484</v>
      </c>
    </row>
    <row r="486" spans="1:16">
      <c r="A486" s="7" t="s">
        <v>76</v>
      </c>
      <c r="B486" s="7" t="str">
        <f>TEXT(Table1[[#This Row],[Date]],"MMM")</f>
        <v>May</v>
      </c>
      <c r="C486" t="s">
        <v>44</v>
      </c>
      <c r="D486" t="s">
        <v>28</v>
      </c>
      <c r="E486" t="s">
        <v>29</v>
      </c>
      <c r="F486" t="s">
        <v>30</v>
      </c>
      <c r="G486" t="s">
        <v>31</v>
      </c>
      <c r="H486" t="s">
        <v>32</v>
      </c>
      <c r="I486" s="9">
        <v>85000</v>
      </c>
      <c r="J486">
        <v>2</v>
      </c>
      <c r="K486" t="s">
        <v>47</v>
      </c>
      <c r="L486" s="9">
        <f t="shared" si="7"/>
        <v>68000</v>
      </c>
      <c r="M486" s="9">
        <f>Table1[[#This Row],[Unit Price]]*Table1[[#This Row],[Quantity]]</f>
        <v>170000</v>
      </c>
      <c r="N486" s="9">
        <f>Table1[[#This Row],[Cost Price]]*Table1[[#This Row],[Quantity]]</f>
        <v>136000</v>
      </c>
      <c r="O486" s="9">
        <f>Table1[[#This Row],[Revenue]]-Table1[[#This Row],[COGS]]</f>
        <v>34000</v>
      </c>
      <c r="P486" s="6">
        <v>485</v>
      </c>
    </row>
    <row r="487" spans="1:16">
      <c r="A487" s="7" t="s">
        <v>103</v>
      </c>
      <c r="B487" s="7" t="str">
        <f>TEXT(Table1[[#This Row],[Date]],"MMM")</f>
        <v>Mar</v>
      </c>
      <c r="C487" t="s">
        <v>27</v>
      </c>
      <c r="D487" t="s">
        <v>53</v>
      </c>
      <c r="E487" t="s">
        <v>29</v>
      </c>
      <c r="F487" t="s">
        <v>30</v>
      </c>
      <c r="G487" t="s">
        <v>71</v>
      </c>
      <c r="H487" t="s">
        <v>51</v>
      </c>
      <c r="I487" s="9">
        <v>250000</v>
      </c>
      <c r="J487">
        <v>4</v>
      </c>
      <c r="K487" t="s">
        <v>33</v>
      </c>
      <c r="L487" s="9">
        <f t="shared" si="7"/>
        <v>200000</v>
      </c>
      <c r="M487" s="9">
        <f>Table1[[#This Row],[Unit Price]]*Table1[[#This Row],[Quantity]]</f>
        <v>1000000</v>
      </c>
      <c r="N487" s="9">
        <f>Table1[[#This Row],[Cost Price]]*Table1[[#This Row],[Quantity]]</f>
        <v>800000</v>
      </c>
      <c r="O487" s="9">
        <f>Table1[[#This Row],[Revenue]]-Table1[[#This Row],[COGS]]</f>
        <v>200000</v>
      </c>
      <c r="P487" s="6">
        <v>486</v>
      </c>
    </row>
    <row r="488" spans="1:16">
      <c r="A488" s="7" t="s">
        <v>64</v>
      </c>
      <c r="B488" s="7" t="str">
        <f>TEXT(Table1[[#This Row],[Date]],"MMM")</f>
        <v>Apr</v>
      </c>
      <c r="C488" t="s">
        <v>44</v>
      </c>
      <c r="D488" t="s">
        <v>28</v>
      </c>
      <c r="E488" t="s">
        <v>29</v>
      </c>
      <c r="F488" t="s">
        <v>30</v>
      </c>
      <c r="G488" t="s">
        <v>62</v>
      </c>
      <c r="H488" t="s">
        <v>51</v>
      </c>
      <c r="I488" s="9">
        <v>150000</v>
      </c>
      <c r="J488">
        <v>6</v>
      </c>
      <c r="K488" t="s">
        <v>69</v>
      </c>
      <c r="L488" s="9">
        <f t="shared" si="7"/>
        <v>120000</v>
      </c>
      <c r="M488" s="9">
        <f>Table1[[#This Row],[Unit Price]]*Table1[[#This Row],[Quantity]]</f>
        <v>900000</v>
      </c>
      <c r="N488" s="9">
        <f>Table1[[#This Row],[Cost Price]]*Table1[[#This Row],[Quantity]]</f>
        <v>720000</v>
      </c>
      <c r="O488" s="9">
        <f>Table1[[#This Row],[Revenue]]-Table1[[#This Row],[COGS]]</f>
        <v>180000</v>
      </c>
      <c r="P488" s="6">
        <v>487</v>
      </c>
    </row>
    <row r="489" spans="1:16">
      <c r="A489" s="7" t="s">
        <v>40</v>
      </c>
      <c r="B489" s="7" t="str">
        <f>TEXT(Table1[[#This Row],[Date]],"MMM")</f>
        <v>Feb</v>
      </c>
      <c r="C489" t="s">
        <v>44</v>
      </c>
      <c r="D489" t="s">
        <v>53</v>
      </c>
      <c r="E489" t="s">
        <v>41</v>
      </c>
      <c r="F489" t="s">
        <v>37</v>
      </c>
      <c r="G489" t="s">
        <v>54</v>
      </c>
      <c r="H489" t="s">
        <v>39</v>
      </c>
      <c r="I489" s="9">
        <v>180000</v>
      </c>
      <c r="J489">
        <v>10</v>
      </c>
      <c r="K489" t="s">
        <v>65</v>
      </c>
      <c r="L489" s="9">
        <f t="shared" si="7"/>
        <v>144000</v>
      </c>
      <c r="M489" s="9">
        <f>Table1[[#This Row],[Unit Price]]*Table1[[#This Row],[Quantity]]</f>
        <v>1800000</v>
      </c>
      <c r="N489" s="9">
        <f>Table1[[#This Row],[Cost Price]]*Table1[[#This Row],[Quantity]]</f>
        <v>1440000</v>
      </c>
      <c r="O489" s="9">
        <f>Table1[[#This Row],[Revenue]]-Table1[[#This Row],[COGS]]</f>
        <v>360000</v>
      </c>
      <c r="P489" s="6">
        <v>488</v>
      </c>
    </row>
    <row r="490" spans="1:16">
      <c r="A490" s="7" t="s">
        <v>164</v>
      </c>
      <c r="B490" s="7" t="str">
        <f>TEXT(Table1[[#This Row],[Date]],"MMM")</f>
        <v>Mar</v>
      </c>
      <c r="C490" t="s">
        <v>44</v>
      </c>
      <c r="D490" t="s">
        <v>53</v>
      </c>
      <c r="E490" t="s">
        <v>29</v>
      </c>
      <c r="F490" t="s">
        <v>30</v>
      </c>
      <c r="G490" t="s">
        <v>62</v>
      </c>
      <c r="H490" t="s">
        <v>51</v>
      </c>
      <c r="I490" s="9">
        <v>150000</v>
      </c>
      <c r="J490">
        <v>8</v>
      </c>
      <c r="K490" t="s">
        <v>33</v>
      </c>
      <c r="L490" s="9">
        <f t="shared" si="7"/>
        <v>120000</v>
      </c>
      <c r="M490" s="9">
        <f>Table1[[#This Row],[Unit Price]]*Table1[[#This Row],[Quantity]]</f>
        <v>1200000</v>
      </c>
      <c r="N490" s="9">
        <f>Table1[[#This Row],[Cost Price]]*Table1[[#This Row],[Quantity]]</f>
        <v>960000</v>
      </c>
      <c r="O490" s="9">
        <f>Table1[[#This Row],[Revenue]]-Table1[[#This Row],[COGS]]</f>
        <v>240000</v>
      </c>
      <c r="P490" s="6">
        <v>489</v>
      </c>
    </row>
    <row r="491" spans="1:16">
      <c r="A491" s="7" t="s">
        <v>134</v>
      </c>
      <c r="B491" s="7" t="str">
        <f>TEXT(Table1[[#This Row],[Date]],"MMM")</f>
        <v>Jan</v>
      </c>
      <c r="C491" t="s">
        <v>44</v>
      </c>
      <c r="D491" t="s">
        <v>36</v>
      </c>
      <c r="E491" t="s">
        <v>29</v>
      </c>
      <c r="F491" t="s">
        <v>30</v>
      </c>
      <c r="G491" t="s">
        <v>54</v>
      </c>
      <c r="H491" t="s">
        <v>39</v>
      </c>
      <c r="I491" s="9">
        <v>180000</v>
      </c>
      <c r="J491">
        <v>8</v>
      </c>
      <c r="K491" t="s">
        <v>42</v>
      </c>
      <c r="L491" s="9">
        <f t="shared" si="7"/>
        <v>144000</v>
      </c>
      <c r="M491" s="9">
        <f>Table1[[#This Row],[Unit Price]]*Table1[[#This Row],[Quantity]]</f>
        <v>1440000</v>
      </c>
      <c r="N491" s="9">
        <f>Table1[[#This Row],[Cost Price]]*Table1[[#This Row],[Quantity]]</f>
        <v>1152000</v>
      </c>
      <c r="O491" s="9">
        <f>Table1[[#This Row],[Revenue]]-Table1[[#This Row],[COGS]]</f>
        <v>288000</v>
      </c>
      <c r="P491" s="6">
        <v>490</v>
      </c>
    </row>
    <row r="492" spans="1:16">
      <c r="A492" s="7" t="s">
        <v>85</v>
      </c>
      <c r="B492" s="7" t="str">
        <f>TEXT(Table1[[#This Row],[Date]],"MMM")</f>
        <v>Feb</v>
      </c>
      <c r="C492" t="s">
        <v>35</v>
      </c>
      <c r="D492" t="s">
        <v>45</v>
      </c>
      <c r="E492" t="s">
        <v>41</v>
      </c>
      <c r="F492" t="s">
        <v>30</v>
      </c>
      <c r="G492" t="s">
        <v>62</v>
      </c>
      <c r="H492" t="s">
        <v>51</v>
      </c>
      <c r="I492" s="9">
        <v>150000</v>
      </c>
      <c r="J492">
        <v>6</v>
      </c>
      <c r="K492" t="s">
        <v>58</v>
      </c>
      <c r="L492" s="9">
        <f t="shared" si="7"/>
        <v>120000</v>
      </c>
      <c r="M492" s="9">
        <f>Table1[[#This Row],[Unit Price]]*Table1[[#This Row],[Quantity]]</f>
        <v>900000</v>
      </c>
      <c r="N492" s="9">
        <f>Table1[[#This Row],[Cost Price]]*Table1[[#This Row],[Quantity]]</f>
        <v>720000</v>
      </c>
      <c r="O492" s="9">
        <f>Table1[[#This Row],[Revenue]]-Table1[[#This Row],[COGS]]</f>
        <v>180000</v>
      </c>
      <c r="P492" s="6">
        <v>491</v>
      </c>
    </row>
    <row r="493" spans="1:16">
      <c r="A493" s="7" t="s">
        <v>114</v>
      </c>
      <c r="B493" s="7" t="str">
        <f>TEXT(Table1[[#This Row],[Date]],"MMM")</f>
        <v>Apr</v>
      </c>
      <c r="C493" t="s">
        <v>44</v>
      </c>
      <c r="D493" t="s">
        <v>53</v>
      </c>
      <c r="E493" t="s">
        <v>41</v>
      </c>
      <c r="F493" t="s">
        <v>37</v>
      </c>
      <c r="G493" t="s">
        <v>62</v>
      </c>
      <c r="H493" t="s">
        <v>51</v>
      </c>
      <c r="I493" s="9">
        <v>150000</v>
      </c>
      <c r="J493">
        <v>4</v>
      </c>
      <c r="K493" t="s">
        <v>69</v>
      </c>
      <c r="L493" s="9">
        <f t="shared" si="7"/>
        <v>120000</v>
      </c>
      <c r="M493" s="9">
        <f>Table1[[#This Row],[Unit Price]]*Table1[[#This Row],[Quantity]]</f>
        <v>600000</v>
      </c>
      <c r="N493" s="9">
        <f>Table1[[#This Row],[Cost Price]]*Table1[[#This Row],[Quantity]]</f>
        <v>480000</v>
      </c>
      <c r="O493" s="9">
        <f>Table1[[#This Row],[Revenue]]-Table1[[#This Row],[COGS]]</f>
        <v>120000</v>
      </c>
      <c r="P493" s="6">
        <v>492</v>
      </c>
    </row>
    <row r="494" spans="1:16">
      <c r="A494" s="7" t="s">
        <v>94</v>
      </c>
      <c r="B494" s="7" t="str">
        <f>TEXT(Table1[[#This Row],[Date]],"MMM")</f>
        <v>Jan</v>
      </c>
      <c r="C494" t="s">
        <v>27</v>
      </c>
      <c r="D494" t="s">
        <v>36</v>
      </c>
      <c r="E494" t="s">
        <v>29</v>
      </c>
      <c r="F494" t="s">
        <v>30</v>
      </c>
      <c r="G494" t="s">
        <v>54</v>
      </c>
      <c r="H494" t="s">
        <v>39</v>
      </c>
      <c r="I494" s="9">
        <v>180000</v>
      </c>
      <c r="J494">
        <v>1</v>
      </c>
      <c r="K494" t="s">
        <v>58</v>
      </c>
      <c r="L494" s="9">
        <f t="shared" si="7"/>
        <v>144000</v>
      </c>
      <c r="M494" s="9">
        <f>Table1[[#This Row],[Unit Price]]*Table1[[#This Row],[Quantity]]</f>
        <v>180000</v>
      </c>
      <c r="N494" s="9">
        <f>Table1[[#This Row],[Cost Price]]*Table1[[#This Row],[Quantity]]</f>
        <v>144000</v>
      </c>
      <c r="O494" s="9">
        <f>Table1[[#This Row],[Revenue]]-Table1[[#This Row],[COGS]]</f>
        <v>36000</v>
      </c>
      <c r="P494" s="6">
        <v>493</v>
      </c>
    </row>
    <row r="495" spans="1:16">
      <c r="A495" s="7" t="s">
        <v>114</v>
      </c>
      <c r="B495" s="7" t="str">
        <f>TEXT(Table1[[#This Row],[Date]],"MMM")</f>
        <v>Apr</v>
      </c>
      <c r="C495" t="s">
        <v>49</v>
      </c>
      <c r="D495" t="s">
        <v>36</v>
      </c>
      <c r="E495" t="s">
        <v>29</v>
      </c>
      <c r="F495" t="s">
        <v>30</v>
      </c>
      <c r="G495" t="s">
        <v>71</v>
      </c>
      <c r="H495" t="s">
        <v>51</v>
      </c>
      <c r="I495" s="9">
        <v>250000</v>
      </c>
      <c r="J495">
        <v>6</v>
      </c>
      <c r="K495" t="s">
        <v>69</v>
      </c>
      <c r="L495" s="9">
        <f t="shared" si="7"/>
        <v>200000</v>
      </c>
      <c r="M495" s="9">
        <f>Table1[[#This Row],[Unit Price]]*Table1[[#This Row],[Quantity]]</f>
        <v>1500000</v>
      </c>
      <c r="N495" s="9">
        <f>Table1[[#This Row],[Cost Price]]*Table1[[#This Row],[Quantity]]</f>
        <v>1200000</v>
      </c>
      <c r="O495" s="9">
        <f>Table1[[#This Row],[Revenue]]-Table1[[#This Row],[COGS]]</f>
        <v>300000</v>
      </c>
      <c r="P495" s="6">
        <v>494</v>
      </c>
    </row>
    <row r="496" spans="1:16">
      <c r="A496" s="7" t="s">
        <v>103</v>
      </c>
      <c r="B496" s="7" t="str">
        <f>TEXT(Table1[[#This Row],[Date]],"MMM")</f>
        <v>Mar</v>
      </c>
      <c r="C496" t="s">
        <v>44</v>
      </c>
      <c r="D496" t="s">
        <v>28</v>
      </c>
      <c r="E496" t="s">
        <v>29</v>
      </c>
      <c r="F496" t="s">
        <v>30</v>
      </c>
      <c r="G496" t="s">
        <v>46</v>
      </c>
      <c r="H496" t="s">
        <v>39</v>
      </c>
      <c r="I496" s="9">
        <v>60000</v>
      </c>
      <c r="J496">
        <v>6</v>
      </c>
      <c r="K496" t="s">
        <v>42</v>
      </c>
      <c r="L496" s="9">
        <f t="shared" si="7"/>
        <v>48000</v>
      </c>
      <c r="M496" s="9">
        <f>Table1[[#This Row],[Unit Price]]*Table1[[#This Row],[Quantity]]</f>
        <v>360000</v>
      </c>
      <c r="N496" s="9">
        <f>Table1[[#This Row],[Cost Price]]*Table1[[#This Row],[Quantity]]</f>
        <v>288000</v>
      </c>
      <c r="O496" s="9">
        <f>Table1[[#This Row],[Revenue]]-Table1[[#This Row],[COGS]]</f>
        <v>72000</v>
      </c>
      <c r="P496" s="6">
        <v>495</v>
      </c>
    </row>
    <row r="497" spans="1:16">
      <c r="A497" s="7" t="s">
        <v>97</v>
      </c>
      <c r="B497" s="7" t="str">
        <f>TEXT(Table1[[#This Row],[Date]],"MMM")</f>
        <v>Jan</v>
      </c>
      <c r="C497" t="s">
        <v>49</v>
      </c>
      <c r="D497" t="s">
        <v>53</v>
      </c>
      <c r="E497" t="s">
        <v>41</v>
      </c>
      <c r="F497" t="s">
        <v>37</v>
      </c>
      <c r="G497" t="s">
        <v>62</v>
      </c>
      <c r="H497" t="s">
        <v>51</v>
      </c>
      <c r="I497" s="9">
        <v>150000</v>
      </c>
      <c r="J497">
        <v>2</v>
      </c>
      <c r="K497" t="s">
        <v>42</v>
      </c>
      <c r="L497" s="9">
        <f t="shared" si="7"/>
        <v>120000</v>
      </c>
      <c r="M497" s="9">
        <f>Table1[[#This Row],[Unit Price]]*Table1[[#This Row],[Quantity]]</f>
        <v>300000</v>
      </c>
      <c r="N497" s="9">
        <f>Table1[[#This Row],[Cost Price]]*Table1[[#This Row],[Quantity]]</f>
        <v>240000</v>
      </c>
      <c r="O497" s="9">
        <f>Table1[[#This Row],[Revenue]]-Table1[[#This Row],[COGS]]</f>
        <v>60000</v>
      </c>
      <c r="P497" s="6">
        <v>496</v>
      </c>
    </row>
    <row r="498" spans="1:16">
      <c r="A498" s="7" t="s">
        <v>89</v>
      </c>
      <c r="B498" s="7" t="str">
        <f>TEXT(Table1[[#This Row],[Date]],"MMM")</f>
        <v>Feb</v>
      </c>
      <c r="C498" t="s">
        <v>35</v>
      </c>
      <c r="D498" t="s">
        <v>45</v>
      </c>
      <c r="E498" t="s">
        <v>41</v>
      </c>
      <c r="F498" t="s">
        <v>30</v>
      </c>
      <c r="G498" t="s">
        <v>31</v>
      </c>
      <c r="H498" t="s">
        <v>32</v>
      </c>
      <c r="I498" s="9">
        <v>85000</v>
      </c>
      <c r="J498">
        <v>2</v>
      </c>
      <c r="K498" t="s">
        <v>33</v>
      </c>
      <c r="L498" s="9">
        <f t="shared" si="7"/>
        <v>68000</v>
      </c>
      <c r="M498" s="9">
        <f>Table1[[#This Row],[Unit Price]]*Table1[[#This Row],[Quantity]]</f>
        <v>170000</v>
      </c>
      <c r="N498" s="9">
        <f>Table1[[#This Row],[Cost Price]]*Table1[[#This Row],[Quantity]]</f>
        <v>136000</v>
      </c>
      <c r="O498" s="9">
        <f>Table1[[#This Row],[Revenue]]-Table1[[#This Row],[COGS]]</f>
        <v>34000</v>
      </c>
      <c r="P498" s="6">
        <v>497</v>
      </c>
    </row>
    <row r="499" spans="1:16">
      <c r="A499" s="7" t="s">
        <v>124</v>
      </c>
      <c r="B499" s="7" t="str">
        <f>TEXT(Table1[[#This Row],[Date]],"MMM")</f>
        <v>Feb</v>
      </c>
      <c r="C499" t="s">
        <v>44</v>
      </c>
      <c r="D499" t="s">
        <v>36</v>
      </c>
      <c r="E499" t="s">
        <v>29</v>
      </c>
      <c r="F499" t="s">
        <v>37</v>
      </c>
      <c r="G499" t="s">
        <v>50</v>
      </c>
      <c r="H499" t="s">
        <v>51</v>
      </c>
      <c r="I499" s="9">
        <v>300000</v>
      </c>
      <c r="J499">
        <v>5</v>
      </c>
      <c r="K499" t="s">
        <v>58</v>
      </c>
      <c r="L499" s="9">
        <f t="shared" si="7"/>
        <v>240000</v>
      </c>
      <c r="M499" s="9">
        <f>Table1[[#This Row],[Unit Price]]*Table1[[#This Row],[Quantity]]</f>
        <v>1500000</v>
      </c>
      <c r="N499" s="9">
        <f>Table1[[#This Row],[Cost Price]]*Table1[[#This Row],[Quantity]]</f>
        <v>1200000</v>
      </c>
      <c r="O499" s="9">
        <f>Table1[[#This Row],[Revenue]]-Table1[[#This Row],[COGS]]</f>
        <v>300000</v>
      </c>
      <c r="P499" s="6">
        <v>498</v>
      </c>
    </row>
    <row r="500" spans="1:16">
      <c r="A500" s="7" t="s">
        <v>106</v>
      </c>
      <c r="B500" s="7" t="str">
        <f>TEXT(Table1[[#This Row],[Date]],"MMM")</f>
        <v>Apr</v>
      </c>
      <c r="C500" t="s">
        <v>35</v>
      </c>
      <c r="D500" t="s">
        <v>45</v>
      </c>
      <c r="E500" t="s">
        <v>41</v>
      </c>
      <c r="F500" t="s">
        <v>30</v>
      </c>
      <c r="G500" t="s">
        <v>67</v>
      </c>
      <c r="H500" t="s">
        <v>51</v>
      </c>
      <c r="I500" s="9">
        <v>420000</v>
      </c>
      <c r="J500">
        <v>10</v>
      </c>
      <c r="K500" t="s">
        <v>58</v>
      </c>
      <c r="L500" s="9">
        <f t="shared" si="7"/>
        <v>336000</v>
      </c>
      <c r="M500" s="9">
        <f>Table1[[#This Row],[Unit Price]]*Table1[[#This Row],[Quantity]]</f>
        <v>4200000</v>
      </c>
      <c r="N500" s="9">
        <f>Table1[[#This Row],[Cost Price]]*Table1[[#This Row],[Quantity]]</f>
        <v>3360000</v>
      </c>
      <c r="O500" s="9">
        <f>Table1[[#This Row],[Revenue]]-Table1[[#This Row],[COGS]]</f>
        <v>840000</v>
      </c>
      <c r="P500" s="6">
        <v>499</v>
      </c>
    </row>
    <row r="501" spans="1:16">
      <c r="A501" s="7" t="s">
        <v>83</v>
      </c>
      <c r="B501" s="7" t="str">
        <f>TEXT(Table1[[#This Row],[Date]],"MMM")</f>
        <v>Jan</v>
      </c>
      <c r="C501" t="s">
        <v>27</v>
      </c>
      <c r="D501" t="s">
        <v>53</v>
      </c>
      <c r="E501" t="s">
        <v>41</v>
      </c>
      <c r="F501" t="s">
        <v>30</v>
      </c>
      <c r="G501" t="s">
        <v>54</v>
      </c>
      <c r="H501" t="s">
        <v>39</v>
      </c>
      <c r="I501" s="9">
        <v>180000</v>
      </c>
      <c r="J501">
        <v>6</v>
      </c>
      <c r="K501" t="s">
        <v>42</v>
      </c>
      <c r="L501" s="9">
        <f t="shared" si="7"/>
        <v>144000</v>
      </c>
      <c r="M501" s="9">
        <f>Table1[[#This Row],[Unit Price]]*Table1[[#This Row],[Quantity]]</f>
        <v>1080000</v>
      </c>
      <c r="N501" s="9">
        <f>Table1[[#This Row],[Cost Price]]*Table1[[#This Row],[Quantity]]</f>
        <v>864000</v>
      </c>
      <c r="O501" s="9">
        <f>Table1[[#This Row],[Revenue]]-Table1[[#This Row],[COGS]]</f>
        <v>216000</v>
      </c>
      <c r="P501" s="6">
        <v>500</v>
      </c>
    </row>
    <row r="502" spans="1:16">
      <c r="A502" s="7" t="s">
        <v>52</v>
      </c>
      <c r="B502" s="7" t="str">
        <f>TEXT(Table1[[#This Row],[Date]],"MMM")</f>
        <v>Mar</v>
      </c>
      <c r="C502" t="s">
        <v>35</v>
      </c>
      <c r="D502" t="s">
        <v>53</v>
      </c>
      <c r="E502" t="s">
        <v>29</v>
      </c>
      <c r="F502" t="s">
        <v>37</v>
      </c>
      <c r="G502" t="s">
        <v>31</v>
      </c>
      <c r="H502" t="s">
        <v>32</v>
      </c>
      <c r="I502" s="9">
        <v>85000</v>
      </c>
      <c r="J502">
        <v>4</v>
      </c>
      <c r="K502" t="s">
        <v>58</v>
      </c>
      <c r="L502" s="9">
        <f t="shared" si="7"/>
        <v>68000</v>
      </c>
      <c r="M502" s="9">
        <f>Table1[[#This Row],[Unit Price]]*Table1[[#This Row],[Quantity]]</f>
        <v>340000</v>
      </c>
      <c r="N502" s="9">
        <f>Table1[[#This Row],[Cost Price]]*Table1[[#This Row],[Quantity]]</f>
        <v>272000</v>
      </c>
      <c r="O502" s="9">
        <f>Table1[[#This Row],[Revenue]]-Table1[[#This Row],[COGS]]</f>
        <v>68000</v>
      </c>
      <c r="P502" s="6">
        <v>501</v>
      </c>
    </row>
    <row r="503" spans="1:16">
      <c r="A503" s="7" t="s">
        <v>85</v>
      </c>
      <c r="B503" s="7" t="str">
        <f>TEXT(Table1[[#This Row],[Date]],"MMM")</f>
        <v>Feb</v>
      </c>
      <c r="C503" t="s">
        <v>49</v>
      </c>
      <c r="D503" t="s">
        <v>45</v>
      </c>
      <c r="E503" t="s">
        <v>41</v>
      </c>
      <c r="F503" t="s">
        <v>30</v>
      </c>
      <c r="G503" t="s">
        <v>50</v>
      </c>
      <c r="H503" t="s">
        <v>51</v>
      </c>
      <c r="I503" s="9">
        <v>300000</v>
      </c>
      <c r="J503">
        <v>4</v>
      </c>
      <c r="K503" t="s">
        <v>65</v>
      </c>
      <c r="L503" s="9">
        <f t="shared" si="7"/>
        <v>240000</v>
      </c>
      <c r="M503" s="9">
        <f>Table1[[#This Row],[Unit Price]]*Table1[[#This Row],[Quantity]]</f>
        <v>1200000</v>
      </c>
      <c r="N503" s="9">
        <f>Table1[[#This Row],[Cost Price]]*Table1[[#This Row],[Quantity]]</f>
        <v>960000</v>
      </c>
      <c r="O503" s="9">
        <f>Table1[[#This Row],[Revenue]]-Table1[[#This Row],[COGS]]</f>
        <v>240000</v>
      </c>
      <c r="P503" s="6">
        <v>502</v>
      </c>
    </row>
    <row r="504" spans="1:16">
      <c r="A504" s="7" t="s">
        <v>92</v>
      </c>
      <c r="B504" s="7" t="str">
        <f>TEXT(Table1[[#This Row],[Date]],"MMM")</f>
        <v>Jan</v>
      </c>
      <c r="C504" t="s">
        <v>44</v>
      </c>
      <c r="D504" t="s">
        <v>53</v>
      </c>
      <c r="E504" t="s">
        <v>29</v>
      </c>
      <c r="F504" t="s">
        <v>30</v>
      </c>
      <c r="G504" t="s">
        <v>31</v>
      </c>
      <c r="H504" t="s">
        <v>32</v>
      </c>
      <c r="I504" s="9">
        <v>85000</v>
      </c>
      <c r="J504">
        <v>3</v>
      </c>
      <c r="K504" t="s">
        <v>58</v>
      </c>
      <c r="L504" s="9">
        <f t="shared" si="7"/>
        <v>68000</v>
      </c>
      <c r="M504" s="9">
        <f>Table1[[#This Row],[Unit Price]]*Table1[[#This Row],[Quantity]]</f>
        <v>255000</v>
      </c>
      <c r="N504" s="9">
        <f>Table1[[#This Row],[Cost Price]]*Table1[[#This Row],[Quantity]]</f>
        <v>204000</v>
      </c>
      <c r="O504" s="9">
        <f>Table1[[#This Row],[Revenue]]-Table1[[#This Row],[COGS]]</f>
        <v>51000</v>
      </c>
      <c r="P504" s="6">
        <v>503</v>
      </c>
    </row>
    <row r="505" spans="1:16">
      <c r="A505" s="7" t="s">
        <v>95</v>
      </c>
      <c r="B505" s="7" t="str">
        <f>TEXT(Table1[[#This Row],[Date]],"MMM")</f>
        <v>Feb</v>
      </c>
      <c r="C505" t="s">
        <v>49</v>
      </c>
      <c r="D505" t="s">
        <v>28</v>
      </c>
      <c r="E505" t="s">
        <v>29</v>
      </c>
      <c r="F505" t="s">
        <v>37</v>
      </c>
      <c r="G505" t="s">
        <v>73</v>
      </c>
      <c r="H505" t="s">
        <v>39</v>
      </c>
      <c r="I505" s="9">
        <v>220000</v>
      </c>
      <c r="J505">
        <v>9</v>
      </c>
      <c r="K505" t="s">
        <v>65</v>
      </c>
      <c r="L505" s="9">
        <f t="shared" si="7"/>
        <v>176000</v>
      </c>
      <c r="M505" s="9">
        <f>Table1[[#This Row],[Unit Price]]*Table1[[#This Row],[Quantity]]</f>
        <v>1980000</v>
      </c>
      <c r="N505" s="9">
        <f>Table1[[#This Row],[Cost Price]]*Table1[[#This Row],[Quantity]]</f>
        <v>1584000</v>
      </c>
      <c r="O505" s="9">
        <f>Table1[[#This Row],[Revenue]]-Table1[[#This Row],[COGS]]</f>
        <v>396000</v>
      </c>
      <c r="P505" s="6">
        <v>504</v>
      </c>
    </row>
    <row r="506" spans="1:16">
      <c r="A506" s="7" t="s">
        <v>157</v>
      </c>
      <c r="B506" s="7" t="str">
        <f>TEXT(Table1[[#This Row],[Date]],"MMM")</f>
        <v>Apr</v>
      </c>
      <c r="C506" t="s">
        <v>27</v>
      </c>
      <c r="D506" t="s">
        <v>45</v>
      </c>
      <c r="E506" t="s">
        <v>41</v>
      </c>
      <c r="F506" t="s">
        <v>30</v>
      </c>
      <c r="G506" t="s">
        <v>54</v>
      </c>
      <c r="H506" t="s">
        <v>39</v>
      </c>
      <c r="I506" s="9">
        <v>180000</v>
      </c>
      <c r="J506">
        <v>3</v>
      </c>
      <c r="K506" t="s">
        <v>58</v>
      </c>
      <c r="L506" s="9">
        <f t="shared" si="7"/>
        <v>144000</v>
      </c>
      <c r="M506" s="9">
        <f>Table1[[#This Row],[Unit Price]]*Table1[[#This Row],[Quantity]]</f>
        <v>540000</v>
      </c>
      <c r="N506" s="9">
        <f>Table1[[#This Row],[Cost Price]]*Table1[[#This Row],[Quantity]]</f>
        <v>432000</v>
      </c>
      <c r="O506" s="9">
        <f>Table1[[#This Row],[Revenue]]-Table1[[#This Row],[COGS]]</f>
        <v>108000</v>
      </c>
      <c r="P506" s="6">
        <v>505</v>
      </c>
    </row>
    <row r="507" spans="1:16">
      <c r="A507" s="7" t="s">
        <v>172</v>
      </c>
      <c r="B507" s="7" t="str">
        <f>TEXT(Table1[[#This Row],[Date]],"MMM")</f>
        <v>Mar</v>
      </c>
      <c r="C507" t="s">
        <v>35</v>
      </c>
      <c r="D507" t="s">
        <v>36</v>
      </c>
      <c r="E507" t="s">
        <v>41</v>
      </c>
      <c r="F507" t="s">
        <v>37</v>
      </c>
      <c r="G507" t="s">
        <v>50</v>
      </c>
      <c r="H507" t="s">
        <v>51</v>
      </c>
      <c r="I507" s="9">
        <v>300000</v>
      </c>
      <c r="J507">
        <v>9</v>
      </c>
      <c r="K507" t="s">
        <v>42</v>
      </c>
      <c r="L507" s="9">
        <f t="shared" si="7"/>
        <v>240000</v>
      </c>
      <c r="M507" s="9">
        <f>Table1[[#This Row],[Unit Price]]*Table1[[#This Row],[Quantity]]</f>
        <v>2700000</v>
      </c>
      <c r="N507" s="9">
        <f>Table1[[#This Row],[Cost Price]]*Table1[[#This Row],[Quantity]]</f>
        <v>2160000</v>
      </c>
      <c r="O507" s="9">
        <f>Table1[[#This Row],[Revenue]]-Table1[[#This Row],[COGS]]</f>
        <v>540000</v>
      </c>
      <c r="P507" s="6">
        <v>506</v>
      </c>
    </row>
    <row r="508" spans="1:16">
      <c r="A508" s="7" t="s">
        <v>161</v>
      </c>
      <c r="B508" s="7" t="str">
        <f>TEXT(Table1[[#This Row],[Date]],"MMM")</f>
        <v>Mar</v>
      </c>
      <c r="C508" t="s">
        <v>49</v>
      </c>
      <c r="D508" t="s">
        <v>28</v>
      </c>
      <c r="E508" t="s">
        <v>41</v>
      </c>
      <c r="F508" t="s">
        <v>37</v>
      </c>
      <c r="G508" t="s">
        <v>62</v>
      </c>
      <c r="H508" t="s">
        <v>51</v>
      </c>
      <c r="I508" s="9">
        <v>150000</v>
      </c>
      <c r="J508">
        <v>4</v>
      </c>
      <c r="K508" t="s">
        <v>47</v>
      </c>
      <c r="L508" s="9">
        <f t="shared" si="7"/>
        <v>120000</v>
      </c>
      <c r="M508" s="9">
        <f>Table1[[#This Row],[Unit Price]]*Table1[[#This Row],[Quantity]]</f>
        <v>600000</v>
      </c>
      <c r="N508" s="9">
        <f>Table1[[#This Row],[Cost Price]]*Table1[[#This Row],[Quantity]]</f>
        <v>480000</v>
      </c>
      <c r="O508" s="9">
        <f>Table1[[#This Row],[Revenue]]-Table1[[#This Row],[COGS]]</f>
        <v>120000</v>
      </c>
      <c r="P508" s="6">
        <v>507</v>
      </c>
    </row>
    <row r="509" spans="1:16">
      <c r="A509" s="7" t="s">
        <v>92</v>
      </c>
      <c r="B509" s="7" t="str">
        <f>TEXT(Table1[[#This Row],[Date]],"MMM")</f>
        <v>Jan</v>
      </c>
      <c r="C509" t="s">
        <v>35</v>
      </c>
      <c r="D509" t="s">
        <v>53</v>
      </c>
      <c r="E509" t="s">
        <v>41</v>
      </c>
      <c r="F509" t="s">
        <v>37</v>
      </c>
      <c r="G509" t="s">
        <v>56</v>
      </c>
      <c r="H509" t="s">
        <v>32</v>
      </c>
      <c r="I509" s="9">
        <v>320000</v>
      </c>
      <c r="J509">
        <v>8</v>
      </c>
      <c r="K509" t="s">
        <v>65</v>
      </c>
      <c r="L509" s="9">
        <f t="shared" si="7"/>
        <v>256000</v>
      </c>
      <c r="M509" s="9">
        <f>Table1[[#This Row],[Unit Price]]*Table1[[#This Row],[Quantity]]</f>
        <v>2560000</v>
      </c>
      <c r="N509" s="9">
        <f>Table1[[#This Row],[Cost Price]]*Table1[[#This Row],[Quantity]]</f>
        <v>2048000</v>
      </c>
      <c r="O509" s="9">
        <f>Table1[[#This Row],[Revenue]]-Table1[[#This Row],[COGS]]</f>
        <v>512000</v>
      </c>
      <c r="P509" s="6">
        <v>508</v>
      </c>
    </row>
    <row r="510" spans="1:16">
      <c r="A510" s="7" t="s">
        <v>145</v>
      </c>
      <c r="B510" s="7" t="str">
        <f>TEXT(Table1[[#This Row],[Date]],"MMM")</f>
        <v>Jan</v>
      </c>
      <c r="C510" t="s">
        <v>49</v>
      </c>
      <c r="D510" t="s">
        <v>53</v>
      </c>
      <c r="E510" t="s">
        <v>29</v>
      </c>
      <c r="F510" t="s">
        <v>30</v>
      </c>
      <c r="G510" t="s">
        <v>56</v>
      </c>
      <c r="H510" t="s">
        <v>32</v>
      </c>
      <c r="I510" s="9">
        <v>320000</v>
      </c>
      <c r="J510">
        <v>7</v>
      </c>
      <c r="K510" t="s">
        <v>69</v>
      </c>
      <c r="L510" s="9">
        <f t="shared" si="7"/>
        <v>256000</v>
      </c>
      <c r="M510" s="9">
        <f>Table1[[#This Row],[Unit Price]]*Table1[[#This Row],[Quantity]]</f>
        <v>2240000</v>
      </c>
      <c r="N510" s="9">
        <f>Table1[[#This Row],[Cost Price]]*Table1[[#This Row],[Quantity]]</f>
        <v>1792000</v>
      </c>
      <c r="O510" s="9">
        <f>Table1[[#This Row],[Revenue]]-Table1[[#This Row],[COGS]]</f>
        <v>448000</v>
      </c>
      <c r="P510" s="6">
        <v>509</v>
      </c>
    </row>
    <row r="511" spans="1:16">
      <c r="A511" s="7" t="s">
        <v>68</v>
      </c>
      <c r="B511" s="7" t="str">
        <f>TEXT(Table1[[#This Row],[Date]],"MMM")</f>
        <v>Mar</v>
      </c>
      <c r="C511" t="s">
        <v>35</v>
      </c>
      <c r="D511" t="s">
        <v>53</v>
      </c>
      <c r="E511" t="s">
        <v>29</v>
      </c>
      <c r="F511" t="s">
        <v>37</v>
      </c>
      <c r="G511" t="s">
        <v>73</v>
      </c>
      <c r="H511" t="s">
        <v>39</v>
      </c>
      <c r="I511" s="9">
        <v>220000</v>
      </c>
      <c r="J511">
        <v>10</v>
      </c>
      <c r="K511" t="s">
        <v>47</v>
      </c>
      <c r="L511" s="9">
        <f t="shared" si="7"/>
        <v>176000</v>
      </c>
      <c r="M511" s="9">
        <f>Table1[[#This Row],[Unit Price]]*Table1[[#This Row],[Quantity]]</f>
        <v>2200000</v>
      </c>
      <c r="N511" s="9">
        <f>Table1[[#This Row],[Cost Price]]*Table1[[#This Row],[Quantity]]</f>
        <v>1760000</v>
      </c>
      <c r="O511" s="9">
        <f>Table1[[#This Row],[Revenue]]-Table1[[#This Row],[COGS]]</f>
        <v>440000</v>
      </c>
      <c r="P511" s="6">
        <v>510</v>
      </c>
    </row>
    <row r="512" spans="1:16">
      <c r="A512" s="7" t="s">
        <v>75</v>
      </c>
      <c r="B512" s="7" t="str">
        <f>TEXT(Table1[[#This Row],[Date]],"MMM")</f>
        <v>Mar</v>
      </c>
      <c r="C512" t="s">
        <v>44</v>
      </c>
      <c r="D512" t="s">
        <v>36</v>
      </c>
      <c r="E512" t="s">
        <v>29</v>
      </c>
      <c r="F512" t="s">
        <v>37</v>
      </c>
      <c r="G512" t="s">
        <v>38</v>
      </c>
      <c r="H512" t="s">
        <v>39</v>
      </c>
      <c r="I512" s="9">
        <v>30000</v>
      </c>
      <c r="J512">
        <v>7</v>
      </c>
      <c r="K512" t="s">
        <v>47</v>
      </c>
      <c r="L512" s="9">
        <f t="shared" si="7"/>
        <v>24000</v>
      </c>
      <c r="M512" s="9">
        <f>Table1[[#This Row],[Unit Price]]*Table1[[#This Row],[Quantity]]</f>
        <v>210000</v>
      </c>
      <c r="N512" s="9">
        <f>Table1[[#This Row],[Cost Price]]*Table1[[#This Row],[Quantity]]</f>
        <v>168000</v>
      </c>
      <c r="O512" s="9">
        <f>Table1[[#This Row],[Revenue]]-Table1[[#This Row],[COGS]]</f>
        <v>42000</v>
      </c>
      <c r="P512" s="6">
        <v>511</v>
      </c>
    </row>
    <row r="513" spans="1:16">
      <c r="A513" s="7" t="s">
        <v>138</v>
      </c>
      <c r="B513" s="7" t="str">
        <f>TEXT(Table1[[#This Row],[Date]],"MMM")</f>
        <v>Apr</v>
      </c>
      <c r="C513" t="s">
        <v>35</v>
      </c>
      <c r="D513" t="s">
        <v>45</v>
      </c>
      <c r="E513" t="s">
        <v>29</v>
      </c>
      <c r="F513" t="s">
        <v>30</v>
      </c>
      <c r="G513" t="s">
        <v>56</v>
      </c>
      <c r="H513" t="s">
        <v>32</v>
      </c>
      <c r="I513" s="9">
        <v>320000</v>
      </c>
      <c r="J513">
        <v>2</v>
      </c>
      <c r="K513" t="s">
        <v>47</v>
      </c>
      <c r="L513" s="9">
        <f t="shared" si="7"/>
        <v>256000</v>
      </c>
      <c r="M513" s="9">
        <f>Table1[[#This Row],[Unit Price]]*Table1[[#This Row],[Quantity]]</f>
        <v>640000</v>
      </c>
      <c r="N513" s="9">
        <f>Table1[[#This Row],[Cost Price]]*Table1[[#This Row],[Quantity]]</f>
        <v>512000</v>
      </c>
      <c r="O513" s="9">
        <f>Table1[[#This Row],[Revenue]]-Table1[[#This Row],[COGS]]</f>
        <v>128000</v>
      </c>
      <c r="P513" s="6">
        <v>512</v>
      </c>
    </row>
    <row r="514" spans="1:16">
      <c r="A514" s="7" t="s">
        <v>130</v>
      </c>
      <c r="B514" s="7" t="str">
        <f>TEXT(Table1[[#This Row],[Date]],"MMM")</f>
        <v>Jan</v>
      </c>
      <c r="C514" t="s">
        <v>49</v>
      </c>
      <c r="D514" t="s">
        <v>45</v>
      </c>
      <c r="E514" t="s">
        <v>41</v>
      </c>
      <c r="F514" t="s">
        <v>37</v>
      </c>
      <c r="G514" t="s">
        <v>50</v>
      </c>
      <c r="H514" t="s">
        <v>51</v>
      </c>
      <c r="I514" s="9">
        <v>300000</v>
      </c>
      <c r="J514">
        <v>3</v>
      </c>
      <c r="K514" t="s">
        <v>65</v>
      </c>
      <c r="L514" s="9">
        <f t="shared" ref="L514:L577" si="8">I514-I514*0.2</f>
        <v>240000</v>
      </c>
      <c r="M514" s="9">
        <f>Table1[[#This Row],[Unit Price]]*Table1[[#This Row],[Quantity]]</f>
        <v>900000</v>
      </c>
      <c r="N514" s="9">
        <f>Table1[[#This Row],[Cost Price]]*Table1[[#This Row],[Quantity]]</f>
        <v>720000</v>
      </c>
      <c r="O514" s="9">
        <f>Table1[[#This Row],[Revenue]]-Table1[[#This Row],[COGS]]</f>
        <v>180000</v>
      </c>
      <c r="P514" s="6">
        <v>513</v>
      </c>
    </row>
    <row r="515" spans="1:16">
      <c r="A515" s="7" t="s">
        <v>34</v>
      </c>
      <c r="B515" s="7" t="str">
        <f>TEXT(Table1[[#This Row],[Date]],"MMM")</f>
        <v>Apr</v>
      </c>
      <c r="C515" t="s">
        <v>44</v>
      </c>
      <c r="D515" t="s">
        <v>28</v>
      </c>
      <c r="E515" t="s">
        <v>29</v>
      </c>
      <c r="F515" t="s">
        <v>30</v>
      </c>
      <c r="G515" t="s">
        <v>50</v>
      </c>
      <c r="H515" t="s">
        <v>51</v>
      </c>
      <c r="I515" s="9">
        <v>300000</v>
      </c>
      <c r="J515">
        <v>3</v>
      </c>
      <c r="K515" t="s">
        <v>47</v>
      </c>
      <c r="L515" s="9">
        <f t="shared" si="8"/>
        <v>240000</v>
      </c>
      <c r="M515" s="9">
        <f>Table1[[#This Row],[Unit Price]]*Table1[[#This Row],[Quantity]]</f>
        <v>900000</v>
      </c>
      <c r="N515" s="9">
        <f>Table1[[#This Row],[Cost Price]]*Table1[[#This Row],[Quantity]]</f>
        <v>720000</v>
      </c>
      <c r="O515" s="9">
        <f>Table1[[#This Row],[Revenue]]-Table1[[#This Row],[COGS]]</f>
        <v>180000</v>
      </c>
      <c r="P515" s="6">
        <v>514</v>
      </c>
    </row>
    <row r="516" spans="1:16">
      <c r="A516" s="7" t="s">
        <v>72</v>
      </c>
      <c r="B516" s="7" t="str">
        <f>TEXT(Table1[[#This Row],[Date]],"MMM")</f>
        <v>Feb</v>
      </c>
      <c r="C516" t="s">
        <v>44</v>
      </c>
      <c r="D516" t="s">
        <v>53</v>
      </c>
      <c r="E516" t="s">
        <v>29</v>
      </c>
      <c r="F516" t="s">
        <v>37</v>
      </c>
      <c r="G516" t="s">
        <v>62</v>
      </c>
      <c r="H516" t="s">
        <v>51</v>
      </c>
      <c r="I516" s="9">
        <v>150000</v>
      </c>
      <c r="J516">
        <v>10</v>
      </c>
      <c r="K516" t="s">
        <v>47</v>
      </c>
      <c r="L516" s="9">
        <f t="shared" si="8"/>
        <v>120000</v>
      </c>
      <c r="M516" s="9">
        <f>Table1[[#This Row],[Unit Price]]*Table1[[#This Row],[Quantity]]</f>
        <v>1500000</v>
      </c>
      <c r="N516" s="9">
        <f>Table1[[#This Row],[Cost Price]]*Table1[[#This Row],[Quantity]]</f>
        <v>1200000</v>
      </c>
      <c r="O516" s="9">
        <f>Table1[[#This Row],[Revenue]]-Table1[[#This Row],[COGS]]</f>
        <v>300000</v>
      </c>
      <c r="P516" s="6">
        <v>515</v>
      </c>
    </row>
    <row r="517" spans="1:16">
      <c r="A517" s="7" t="s">
        <v>132</v>
      </c>
      <c r="B517" s="7" t="str">
        <f>TEXT(Table1[[#This Row],[Date]],"MMM")</f>
        <v>Apr</v>
      </c>
      <c r="C517" t="s">
        <v>44</v>
      </c>
      <c r="D517" t="s">
        <v>36</v>
      </c>
      <c r="E517" t="s">
        <v>41</v>
      </c>
      <c r="F517" t="s">
        <v>37</v>
      </c>
      <c r="G517" t="s">
        <v>38</v>
      </c>
      <c r="H517" t="s">
        <v>39</v>
      </c>
      <c r="I517" s="9">
        <v>30000</v>
      </c>
      <c r="J517">
        <v>7</v>
      </c>
      <c r="K517" t="s">
        <v>58</v>
      </c>
      <c r="L517" s="9">
        <f t="shared" si="8"/>
        <v>24000</v>
      </c>
      <c r="M517" s="9">
        <f>Table1[[#This Row],[Unit Price]]*Table1[[#This Row],[Quantity]]</f>
        <v>210000</v>
      </c>
      <c r="N517" s="9">
        <f>Table1[[#This Row],[Cost Price]]*Table1[[#This Row],[Quantity]]</f>
        <v>168000</v>
      </c>
      <c r="O517" s="9">
        <f>Table1[[#This Row],[Revenue]]-Table1[[#This Row],[COGS]]</f>
        <v>42000</v>
      </c>
      <c r="P517" s="6">
        <v>516</v>
      </c>
    </row>
    <row r="518" spans="1:16">
      <c r="A518" s="7" t="s">
        <v>93</v>
      </c>
      <c r="B518" s="7" t="str">
        <f>TEXT(Table1[[#This Row],[Date]],"MMM")</f>
        <v>Apr</v>
      </c>
      <c r="C518" t="s">
        <v>27</v>
      </c>
      <c r="D518" t="s">
        <v>28</v>
      </c>
      <c r="E518" t="s">
        <v>29</v>
      </c>
      <c r="F518" t="s">
        <v>30</v>
      </c>
      <c r="G518" t="s">
        <v>46</v>
      </c>
      <c r="H518" t="s">
        <v>39</v>
      </c>
      <c r="I518" s="9">
        <v>60000</v>
      </c>
      <c r="J518">
        <v>2</v>
      </c>
      <c r="K518" t="s">
        <v>65</v>
      </c>
      <c r="L518" s="9">
        <f t="shared" si="8"/>
        <v>48000</v>
      </c>
      <c r="M518" s="9">
        <f>Table1[[#This Row],[Unit Price]]*Table1[[#This Row],[Quantity]]</f>
        <v>120000</v>
      </c>
      <c r="N518" s="9">
        <f>Table1[[#This Row],[Cost Price]]*Table1[[#This Row],[Quantity]]</f>
        <v>96000</v>
      </c>
      <c r="O518" s="9">
        <f>Table1[[#This Row],[Revenue]]-Table1[[#This Row],[COGS]]</f>
        <v>24000</v>
      </c>
      <c r="P518" s="6">
        <v>517</v>
      </c>
    </row>
    <row r="519" spans="1:16">
      <c r="A519" s="7" t="s">
        <v>158</v>
      </c>
      <c r="B519" s="7" t="str">
        <f>TEXT(Table1[[#This Row],[Date]],"MMM")</f>
        <v>Jan</v>
      </c>
      <c r="C519" t="s">
        <v>35</v>
      </c>
      <c r="D519" t="s">
        <v>36</v>
      </c>
      <c r="E519" t="s">
        <v>29</v>
      </c>
      <c r="F519" t="s">
        <v>30</v>
      </c>
      <c r="G519" t="s">
        <v>50</v>
      </c>
      <c r="H519" t="s">
        <v>51</v>
      </c>
      <c r="I519" s="9">
        <v>300000</v>
      </c>
      <c r="J519">
        <v>8</v>
      </c>
      <c r="K519" t="s">
        <v>33</v>
      </c>
      <c r="L519" s="9">
        <f t="shared" si="8"/>
        <v>240000</v>
      </c>
      <c r="M519" s="9">
        <f>Table1[[#This Row],[Unit Price]]*Table1[[#This Row],[Quantity]]</f>
        <v>2400000</v>
      </c>
      <c r="N519" s="9">
        <f>Table1[[#This Row],[Cost Price]]*Table1[[#This Row],[Quantity]]</f>
        <v>1920000</v>
      </c>
      <c r="O519" s="9">
        <f>Table1[[#This Row],[Revenue]]-Table1[[#This Row],[COGS]]</f>
        <v>480000</v>
      </c>
      <c r="P519" s="6">
        <v>518</v>
      </c>
    </row>
    <row r="520" spans="1:16">
      <c r="A520" s="7" t="s">
        <v>109</v>
      </c>
      <c r="B520" s="7" t="str">
        <f>TEXT(Table1[[#This Row],[Date]],"MMM")</f>
        <v>Mar</v>
      </c>
      <c r="C520" t="s">
        <v>49</v>
      </c>
      <c r="D520" t="s">
        <v>36</v>
      </c>
      <c r="E520" t="s">
        <v>41</v>
      </c>
      <c r="F520" t="s">
        <v>37</v>
      </c>
      <c r="G520" t="s">
        <v>38</v>
      </c>
      <c r="H520" t="s">
        <v>39</v>
      </c>
      <c r="I520" s="9">
        <v>30000</v>
      </c>
      <c r="J520">
        <v>6</v>
      </c>
      <c r="K520" t="s">
        <v>47</v>
      </c>
      <c r="L520" s="9">
        <f t="shared" si="8"/>
        <v>24000</v>
      </c>
      <c r="M520" s="9">
        <f>Table1[[#This Row],[Unit Price]]*Table1[[#This Row],[Quantity]]</f>
        <v>180000</v>
      </c>
      <c r="N520" s="9">
        <f>Table1[[#This Row],[Cost Price]]*Table1[[#This Row],[Quantity]]</f>
        <v>144000</v>
      </c>
      <c r="O520" s="9">
        <f>Table1[[#This Row],[Revenue]]-Table1[[#This Row],[COGS]]</f>
        <v>36000</v>
      </c>
      <c r="P520" s="6">
        <v>519</v>
      </c>
    </row>
    <row r="521" spans="1:16">
      <c r="A521" s="7" t="s">
        <v>72</v>
      </c>
      <c r="B521" s="7" t="str">
        <f>TEXT(Table1[[#This Row],[Date]],"MMM")</f>
        <v>Feb</v>
      </c>
      <c r="C521" t="s">
        <v>27</v>
      </c>
      <c r="D521" t="s">
        <v>36</v>
      </c>
      <c r="E521" t="s">
        <v>41</v>
      </c>
      <c r="F521" t="s">
        <v>30</v>
      </c>
      <c r="G521" t="s">
        <v>71</v>
      </c>
      <c r="H521" t="s">
        <v>51</v>
      </c>
      <c r="I521" s="9">
        <v>250000</v>
      </c>
      <c r="J521">
        <v>6</v>
      </c>
      <c r="K521" t="s">
        <v>42</v>
      </c>
      <c r="L521" s="9">
        <f t="shared" si="8"/>
        <v>200000</v>
      </c>
      <c r="M521" s="9">
        <f>Table1[[#This Row],[Unit Price]]*Table1[[#This Row],[Quantity]]</f>
        <v>1500000</v>
      </c>
      <c r="N521" s="9">
        <f>Table1[[#This Row],[Cost Price]]*Table1[[#This Row],[Quantity]]</f>
        <v>1200000</v>
      </c>
      <c r="O521" s="9">
        <f>Table1[[#This Row],[Revenue]]-Table1[[#This Row],[COGS]]</f>
        <v>300000</v>
      </c>
      <c r="P521" s="6">
        <v>520</v>
      </c>
    </row>
    <row r="522" spans="1:16">
      <c r="A522" s="7" t="s">
        <v>141</v>
      </c>
      <c r="B522" s="7" t="str">
        <f>TEXT(Table1[[#This Row],[Date]],"MMM")</f>
        <v>Mar</v>
      </c>
      <c r="C522" t="s">
        <v>35</v>
      </c>
      <c r="D522" t="s">
        <v>53</v>
      </c>
      <c r="E522" t="s">
        <v>29</v>
      </c>
      <c r="F522" t="s">
        <v>30</v>
      </c>
      <c r="G522" t="s">
        <v>67</v>
      </c>
      <c r="H522" t="s">
        <v>51</v>
      </c>
      <c r="I522" s="9">
        <v>420000</v>
      </c>
      <c r="J522">
        <v>10</v>
      </c>
      <c r="K522" t="s">
        <v>58</v>
      </c>
      <c r="L522" s="9">
        <f t="shared" si="8"/>
        <v>336000</v>
      </c>
      <c r="M522" s="9">
        <f>Table1[[#This Row],[Unit Price]]*Table1[[#This Row],[Quantity]]</f>
        <v>4200000</v>
      </c>
      <c r="N522" s="9">
        <f>Table1[[#This Row],[Cost Price]]*Table1[[#This Row],[Quantity]]</f>
        <v>3360000</v>
      </c>
      <c r="O522" s="9">
        <f>Table1[[#This Row],[Revenue]]-Table1[[#This Row],[COGS]]</f>
        <v>840000</v>
      </c>
      <c r="P522" s="6">
        <v>521</v>
      </c>
    </row>
    <row r="523" spans="1:16">
      <c r="A523" s="7" t="s">
        <v>171</v>
      </c>
      <c r="B523" s="7" t="str">
        <f>TEXT(Table1[[#This Row],[Date]],"MMM")</f>
        <v>Mar</v>
      </c>
      <c r="C523" t="s">
        <v>44</v>
      </c>
      <c r="D523" t="s">
        <v>53</v>
      </c>
      <c r="E523" t="s">
        <v>29</v>
      </c>
      <c r="F523" t="s">
        <v>30</v>
      </c>
      <c r="G523" t="s">
        <v>46</v>
      </c>
      <c r="H523" t="s">
        <v>39</v>
      </c>
      <c r="I523" s="9">
        <v>60000</v>
      </c>
      <c r="J523">
        <v>9</v>
      </c>
      <c r="K523" t="s">
        <v>69</v>
      </c>
      <c r="L523" s="9">
        <f t="shared" si="8"/>
        <v>48000</v>
      </c>
      <c r="M523" s="9">
        <f>Table1[[#This Row],[Unit Price]]*Table1[[#This Row],[Quantity]]</f>
        <v>540000</v>
      </c>
      <c r="N523" s="9">
        <f>Table1[[#This Row],[Cost Price]]*Table1[[#This Row],[Quantity]]</f>
        <v>432000</v>
      </c>
      <c r="O523" s="9">
        <f>Table1[[#This Row],[Revenue]]-Table1[[#This Row],[COGS]]</f>
        <v>108000</v>
      </c>
      <c r="P523" s="6">
        <v>522</v>
      </c>
    </row>
    <row r="524" spans="1:16">
      <c r="A524" s="7" t="s">
        <v>83</v>
      </c>
      <c r="B524" s="7" t="str">
        <f>TEXT(Table1[[#This Row],[Date]],"MMM")</f>
        <v>Jan</v>
      </c>
      <c r="C524" t="s">
        <v>35</v>
      </c>
      <c r="D524" t="s">
        <v>45</v>
      </c>
      <c r="E524" t="s">
        <v>41</v>
      </c>
      <c r="F524" t="s">
        <v>37</v>
      </c>
      <c r="G524" t="s">
        <v>54</v>
      </c>
      <c r="H524" t="s">
        <v>39</v>
      </c>
      <c r="I524" s="9">
        <v>180000</v>
      </c>
      <c r="J524">
        <v>4</v>
      </c>
      <c r="K524" t="s">
        <v>33</v>
      </c>
      <c r="L524" s="9">
        <f t="shared" si="8"/>
        <v>144000</v>
      </c>
      <c r="M524" s="9">
        <f>Table1[[#This Row],[Unit Price]]*Table1[[#This Row],[Quantity]]</f>
        <v>720000</v>
      </c>
      <c r="N524" s="9">
        <f>Table1[[#This Row],[Cost Price]]*Table1[[#This Row],[Quantity]]</f>
        <v>576000</v>
      </c>
      <c r="O524" s="9">
        <f>Table1[[#This Row],[Revenue]]-Table1[[#This Row],[COGS]]</f>
        <v>144000</v>
      </c>
      <c r="P524" s="6">
        <v>523</v>
      </c>
    </row>
    <row r="525" spans="1:16">
      <c r="A525" s="7" t="s">
        <v>112</v>
      </c>
      <c r="B525" s="7" t="str">
        <f>TEXT(Table1[[#This Row],[Date]],"MMM")</f>
        <v>Feb</v>
      </c>
      <c r="C525" t="s">
        <v>49</v>
      </c>
      <c r="D525" t="s">
        <v>45</v>
      </c>
      <c r="E525" t="s">
        <v>29</v>
      </c>
      <c r="F525" t="s">
        <v>37</v>
      </c>
      <c r="G525" t="s">
        <v>54</v>
      </c>
      <c r="H525" t="s">
        <v>39</v>
      </c>
      <c r="I525" s="9">
        <v>180000</v>
      </c>
      <c r="J525">
        <v>10</v>
      </c>
      <c r="K525" t="s">
        <v>33</v>
      </c>
      <c r="L525" s="9">
        <f t="shared" si="8"/>
        <v>144000</v>
      </c>
      <c r="M525" s="9">
        <f>Table1[[#This Row],[Unit Price]]*Table1[[#This Row],[Quantity]]</f>
        <v>1800000</v>
      </c>
      <c r="N525" s="9">
        <f>Table1[[#This Row],[Cost Price]]*Table1[[#This Row],[Quantity]]</f>
        <v>1440000</v>
      </c>
      <c r="O525" s="9">
        <f>Table1[[#This Row],[Revenue]]-Table1[[#This Row],[COGS]]</f>
        <v>360000</v>
      </c>
      <c r="P525" s="6">
        <v>524</v>
      </c>
    </row>
    <row r="526" spans="1:16">
      <c r="A526" s="7" t="s">
        <v>143</v>
      </c>
      <c r="B526" s="7" t="str">
        <f>TEXT(Table1[[#This Row],[Date]],"MMM")</f>
        <v>Apr</v>
      </c>
      <c r="C526" t="s">
        <v>49</v>
      </c>
      <c r="D526" t="s">
        <v>36</v>
      </c>
      <c r="E526" t="s">
        <v>41</v>
      </c>
      <c r="F526" t="s">
        <v>30</v>
      </c>
      <c r="G526" t="s">
        <v>38</v>
      </c>
      <c r="H526" t="s">
        <v>39</v>
      </c>
      <c r="I526" s="9">
        <v>30000</v>
      </c>
      <c r="J526">
        <v>1</v>
      </c>
      <c r="K526" t="s">
        <v>65</v>
      </c>
      <c r="L526" s="9">
        <f t="shared" si="8"/>
        <v>24000</v>
      </c>
      <c r="M526" s="9">
        <f>Table1[[#This Row],[Unit Price]]*Table1[[#This Row],[Quantity]]</f>
        <v>30000</v>
      </c>
      <c r="N526" s="9">
        <f>Table1[[#This Row],[Cost Price]]*Table1[[#This Row],[Quantity]]</f>
        <v>24000</v>
      </c>
      <c r="O526" s="9">
        <f>Table1[[#This Row],[Revenue]]-Table1[[#This Row],[COGS]]</f>
        <v>6000</v>
      </c>
      <c r="P526" s="6">
        <v>525</v>
      </c>
    </row>
    <row r="527" spans="1:16">
      <c r="A527" s="7" t="s">
        <v>116</v>
      </c>
      <c r="B527" s="7" t="str">
        <f>TEXT(Table1[[#This Row],[Date]],"MMM")</f>
        <v>Apr</v>
      </c>
      <c r="C527" t="s">
        <v>35</v>
      </c>
      <c r="D527" t="s">
        <v>45</v>
      </c>
      <c r="E527" t="s">
        <v>29</v>
      </c>
      <c r="F527" t="s">
        <v>37</v>
      </c>
      <c r="G527" t="s">
        <v>67</v>
      </c>
      <c r="H527" t="s">
        <v>51</v>
      </c>
      <c r="I527" s="9">
        <v>420000</v>
      </c>
      <c r="J527">
        <v>3</v>
      </c>
      <c r="K527" t="s">
        <v>58</v>
      </c>
      <c r="L527" s="9">
        <f t="shared" si="8"/>
        <v>336000</v>
      </c>
      <c r="M527" s="9">
        <f>Table1[[#This Row],[Unit Price]]*Table1[[#This Row],[Quantity]]</f>
        <v>1260000</v>
      </c>
      <c r="N527" s="9">
        <f>Table1[[#This Row],[Cost Price]]*Table1[[#This Row],[Quantity]]</f>
        <v>1008000</v>
      </c>
      <c r="O527" s="9">
        <f>Table1[[#This Row],[Revenue]]-Table1[[#This Row],[COGS]]</f>
        <v>252000</v>
      </c>
      <c r="P527" s="6">
        <v>526</v>
      </c>
    </row>
    <row r="528" spans="1:16">
      <c r="A528" s="7" t="s">
        <v>142</v>
      </c>
      <c r="B528" s="7" t="str">
        <f>TEXT(Table1[[#This Row],[Date]],"MMM")</f>
        <v>Apr</v>
      </c>
      <c r="C528" t="s">
        <v>35</v>
      </c>
      <c r="D528" t="s">
        <v>28</v>
      </c>
      <c r="E528" t="s">
        <v>29</v>
      </c>
      <c r="F528" t="s">
        <v>37</v>
      </c>
      <c r="G528" t="s">
        <v>38</v>
      </c>
      <c r="H528" t="s">
        <v>39</v>
      </c>
      <c r="I528" s="9">
        <v>30000</v>
      </c>
      <c r="J528">
        <v>8</v>
      </c>
      <c r="K528" t="s">
        <v>58</v>
      </c>
      <c r="L528" s="9">
        <f t="shared" si="8"/>
        <v>24000</v>
      </c>
      <c r="M528" s="9">
        <f>Table1[[#This Row],[Unit Price]]*Table1[[#This Row],[Quantity]]</f>
        <v>240000</v>
      </c>
      <c r="N528" s="9">
        <f>Table1[[#This Row],[Cost Price]]*Table1[[#This Row],[Quantity]]</f>
        <v>192000</v>
      </c>
      <c r="O528" s="9">
        <f>Table1[[#This Row],[Revenue]]-Table1[[#This Row],[COGS]]</f>
        <v>48000</v>
      </c>
      <c r="P528" s="6">
        <v>527</v>
      </c>
    </row>
    <row r="529" spans="1:16">
      <c r="A529" s="7" t="s">
        <v>135</v>
      </c>
      <c r="B529" s="7" t="str">
        <f>TEXT(Table1[[#This Row],[Date]],"MMM")</f>
        <v>Mar</v>
      </c>
      <c r="C529" t="s">
        <v>44</v>
      </c>
      <c r="D529" t="s">
        <v>53</v>
      </c>
      <c r="E529" t="s">
        <v>41</v>
      </c>
      <c r="F529" t="s">
        <v>30</v>
      </c>
      <c r="G529" t="s">
        <v>56</v>
      </c>
      <c r="H529" t="s">
        <v>32</v>
      </c>
      <c r="I529" s="9">
        <v>320000</v>
      </c>
      <c r="J529">
        <v>2</v>
      </c>
      <c r="K529" t="s">
        <v>47</v>
      </c>
      <c r="L529" s="9">
        <f t="shared" si="8"/>
        <v>256000</v>
      </c>
      <c r="M529" s="9">
        <f>Table1[[#This Row],[Unit Price]]*Table1[[#This Row],[Quantity]]</f>
        <v>640000</v>
      </c>
      <c r="N529" s="9">
        <f>Table1[[#This Row],[Cost Price]]*Table1[[#This Row],[Quantity]]</f>
        <v>512000</v>
      </c>
      <c r="O529" s="9">
        <f>Table1[[#This Row],[Revenue]]-Table1[[#This Row],[COGS]]</f>
        <v>128000</v>
      </c>
      <c r="P529" s="6">
        <v>528</v>
      </c>
    </row>
    <row r="530" spans="1:16">
      <c r="A530" s="7" t="s">
        <v>123</v>
      </c>
      <c r="B530" s="7" t="str">
        <f>TEXT(Table1[[#This Row],[Date]],"MMM")</f>
        <v>Apr</v>
      </c>
      <c r="C530" t="s">
        <v>27</v>
      </c>
      <c r="D530" t="s">
        <v>36</v>
      </c>
      <c r="E530" t="s">
        <v>41</v>
      </c>
      <c r="F530" t="s">
        <v>37</v>
      </c>
      <c r="G530" t="s">
        <v>62</v>
      </c>
      <c r="H530" t="s">
        <v>51</v>
      </c>
      <c r="I530" s="9">
        <v>150000</v>
      </c>
      <c r="J530">
        <v>10</v>
      </c>
      <c r="K530" t="s">
        <v>47</v>
      </c>
      <c r="L530" s="9">
        <f t="shared" si="8"/>
        <v>120000</v>
      </c>
      <c r="M530" s="9">
        <f>Table1[[#This Row],[Unit Price]]*Table1[[#This Row],[Quantity]]</f>
        <v>1500000</v>
      </c>
      <c r="N530" s="9">
        <f>Table1[[#This Row],[Cost Price]]*Table1[[#This Row],[Quantity]]</f>
        <v>1200000</v>
      </c>
      <c r="O530" s="9">
        <f>Table1[[#This Row],[Revenue]]-Table1[[#This Row],[COGS]]</f>
        <v>300000</v>
      </c>
      <c r="P530" s="6">
        <v>529</v>
      </c>
    </row>
    <row r="531" spans="1:16">
      <c r="A531" s="7" t="s">
        <v>132</v>
      </c>
      <c r="B531" s="7" t="str">
        <f>TEXT(Table1[[#This Row],[Date]],"MMM")</f>
        <v>Apr</v>
      </c>
      <c r="C531" t="s">
        <v>49</v>
      </c>
      <c r="D531" t="s">
        <v>45</v>
      </c>
      <c r="E531" t="s">
        <v>41</v>
      </c>
      <c r="F531" t="s">
        <v>30</v>
      </c>
      <c r="G531" t="s">
        <v>71</v>
      </c>
      <c r="H531" t="s">
        <v>51</v>
      </c>
      <c r="I531" s="9">
        <v>250000</v>
      </c>
      <c r="J531">
        <v>9</v>
      </c>
      <c r="K531" t="s">
        <v>42</v>
      </c>
      <c r="L531" s="9">
        <f t="shared" si="8"/>
        <v>200000</v>
      </c>
      <c r="M531" s="9">
        <f>Table1[[#This Row],[Unit Price]]*Table1[[#This Row],[Quantity]]</f>
        <v>2250000</v>
      </c>
      <c r="N531" s="9">
        <f>Table1[[#This Row],[Cost Price]]*Table1[[#This Row],[Quantity]]</f>
        <v>1800000</v>
      </c>
      <c r="O531" s="9">
        <f>Table1[[#This Row],[Revenue]]-Table1[[#This Row],[COGS]]</f>
        <v>450000</v>
      </c>
      <c r="P531" s="6">
        <v>530</v>
      </c>
    </row>
    <row r="532" spans="1:16">
      <c r="A532" s="7" t="s">
        <v>149</v>
      </c>
      <c r="B532" s="7" t="str">
        <f>TEXT(Table1[[#This Row],[Date]],"MMM")</f>
        <v>Apr</v>
      </c>
      <c r="C532" t="s">
        <v>44</v>
      </c>
      <c r="D532" t="s">
        <v>45</v>
      </c>
      <c r="E532" t="s">
        <v>41</v>
      </c>
      <c r="F532" t="s">
        <v>37</v>
      </c>
      <c r="G532" t="s">
        <v>73</v>
      </c>
      <c r="H532" t="s">
        <v>39</v>
      </c>
      <c r="I532" s="9">
        <v>220000</v>
      </c>
      <c r="J532">
        <v>5</v>
      </c>
      <c r="K532" t="s">
        <v>42</v>
      </c>
      <c r="L532" s="9">
        <f t="shared" si="8"/>
        <v>176000</v>
      </c>
      <c r="M532" s="9">
        <f>Table1[[#This Row],[Unit Price]]*Table1[[#This Row],[Quantity]]</f>
        <v>1100000</v>
      </c>
      <c r="N532" s="9">
        <f>Table1[[#This Row],[Cost Price]]*Table1[[#This Row],[Quantity]]</f>
        <v>880000</v>
      </c>
      <c r="O532" s="9">
        <f>Table1[[#This Row],[Revenue]]-Table1[[#This Row],[COGS]]</f>
        <v>220000</v>
      </c>
      <c r="P532" s="6">
        <v>531</v>
      </c>
    </row>
    <row r="533" spans="1:16">
      <c r="A533" s="7" t="s">
        <v>173</v>
      </c>
      <c r="B533" s="7" t="str">
        <f>TEXT(Table1[[#This Row],[Date]],"MMM")</f>
        <v>Mar</v>
      </c>
      <c r="C533" t="s">
        <v>27</v>
      </c>
      <c r="D533" t="s">
        <v>45</v>
      </c>
      <c r="E533" t="s">
        <v>29</v>
      </c>
      <c r="F533" t="s">
        <v>37</v>
      </c>
      <c r="G533" t="s">
        <v>62</v>
      </c>
      <c r="H533" t="s">
        <v>51</v>
      </c>
      <c r="I533" s="9">
        <v>150000</v>
      </c>
      <c r="J533">
        <v>5</v>
      </c>
      <c r="K533" t="s">
        <v>33</v>
      </c>
      <c r="L533" s="9">
        <f t="shared" si="8"/>
        <v>120000</v>
      </c>
      <c r="M533" s="9">
        <f>Table1[[#This Row],[Unit Price]]*Table1[[#This Row],[Quantity]]</f>
        <v>750000</v>
      </c>
      <c r="N533" s="9">
        <f>Table1[[#This Row],[Cost Price]]*Table1[[#This Row],[Quantity]]</f>
        <v>600000</v>
      </c>
      <c r="O533" s="9">
        <f>Table1[[#This Row],[Revenue]]-Table1[[#This Row],[COGS]]</f>
        <v>150000</v>
      </c>
      <c r="P533" s="6">
        <v>532</v>
      </c>
    </row>
    <row r="534" spans="1:16">
      <c r="A534" s="7" t="s">
        <v>159</v>
      </c>
      <c r="B534" s="7" t="str">
        <f>TEXT(Table1[[#This Row],[Date]],"MMM")</f>
        <v>Feb</v>
      </c>
      <c r="C534" t="s">
        <v>35</v>
      </c>
      <c r="D534" t="s">
        <v>53</v>
      </c>
      <c r="E534" t="s">
        <v>41</v>
      </c>
      <c r="F534" t="s">
        <v>37</v>
      </c>
      <c r="G534" t="s">
        <v>73</v>
      </c>
      <c r="H534" t="s">
        <v>39</v>
      </c>
      <c r="I534" s="9">
        <v>220000</v>
      </c>
      <c r="J534">
        <v>8</v>
      </c>
      <c r="K534" t="s">
        <v>65</v>
      </c>
      <c r="L534" s="9">
        <f t="shared" si="8"/>
        <v>176000</v>
      </c>
      <c r="M534" s="9">
        <f>Table1[[#This Row],[Unit Price]]*Table1[[#This Row],[Quantity]]</f>
        <v>1760000</v>
      </c>
      <c r="N534" s="9">
        <f>Table1[[#This Row],[Cost Price]]*Table1[[#This Row],[Quantity]]</f>
        <v>1408000</v>
      </c>
      <c r="O534" s="9">
        <f>Table1[[#This Row],[Revenue]]-Table1[[#This Row],[COGS]]</f>
        <v>352000</v>
      </c>
      <c r="P534" s="6">
        <v>533</v>
      </c>
    </row>
    <row r="535" spans="1:16">
      <c r="A535" s="7" t="s">
        <v>66</v>
      </c>
      <c r="B535" s="7" t="str">
        <f>TEXT(Table1[[#This Row],[Date]],"MMM")</f>
        <v>Mar</v>
      </c>
      <c r="C535" t="s">
        <v>35</v>
      </c>
      <c r="D535" t="s">
        <v>36</v>
      </c>
      <c r="E535" t="s">
        <v>29</v>
      </c>
      <c r="F535" t="s">
        <v>30</v>
      </c>
      <c r="G535" t="s">
        <v>31</v>
      </c>
      <c r="H535" t="s">
        <v>32</v>
      </c>
      <c r="I535" s="9">
        <v>85000</v>
      </c>
      <c r="J535">
        <v>4</v>
      </c>
      <c r="K535" t="s">
        <v>58</v>
      </c>
      <c r="L535" s="9">
        <f t="shared" si="8"/>
        <v>68000</v>
      </c>
      <c r="M535" s="9">
        <f>Table1[[#This Row],[Unit Price]]*Table1[[#This Row],[Quantity]]</f>
        <v>340000</v>
      </c>
      <c r="N535" s="9">
        <f>Table1[[#This Row],[Cost Price]]*Table1[[#This Row],[Quantity]]</f>
        <v>272000</v>
      </c>
      <c r="O535" s="9">
        <f>Table1[[#This Row],[Revenue]]-Table1[[#This Row],[COGS]]</f>
        <v>68000</v>
      </c>
      <c r="P535" s="6">
        <v>534</v>
      </c>
    </row>
    <row r="536" spans="1:16">
      <c r="A536" s="7" t="s">
        <v>77</v>
      </c>
      <c r="B536" s="7" t="str">
        <f>TEXT(Table1[[#This Row],[Date]],"MMM")</f>
        <v>Apr</v>
      </c>
      <c r="C536" t="s">
        <v>44</v>
      </c>
      <c r="D536" t="s">
        <v>45</v>
      </c>
      <c r="E536" t="s">
        <v>29</v>
      </c>
      <c r="F536" t="s">
        <v>30</v>
      </c>
      <c r="G536" t="s">
        <v>56</v>
      </c>
      <c r="H536" t="s">
        <v>32</v>
      </c>
      <c r="I536" s="9">
        <v>320000</v>
      </c>
      <c r="J536">
        <v>4</v>
      </c>
      <c r="K536" t="s">
        <v>58</v>
      </c>
      <c r="L536" s="9">
        <f t="shared" si="8"/>
        <v>256000</v>
      </c>
      <c r="M536" s="9">
        <f>Table1[[#This Row],[Unit Price]]*Table1[[#This Row],[Quantity]]</f>
        <v>1280000</v>
      </c>
      <c r="N536" s="9">
        <f>Table1[[#This Row],[Cost Price]]*Table1[[#This Row],[Quantity]]</f>
        <v>1024000</v>
      </c>
      <c r="O536" s="9">
        <f>Table1[[#This Row],[Revenue]]-Table1[[#This Row],[COGS]]</f>
        <v>256000</v>
      </c>
      <c r="P536" s="6">
        <v>535</v>
      </c>
    </row>
    <row r="537" spans="1:16">
      <c r="A537" s="7" t="s">
        <v>94</v>
      </c>
      <c r="B537" s="7" t="str">
        <f>TEXT(Table1[[#This Row],[Date]],"MMM")</f>
        <v>Jan</v>
      </c>
      <c r="C537" t="s">
        <v>35</v>
      </c>
      <c r="D537" t="s">
        <v>45</v>
      </c>
      <c r="E537" t="s">
        <v>41</v>
      </c>
      <c r="F537" t="s">
        <v>30</v>
      </c>
      <c r="G537" t="s">
        <v>71</v>
      </c>
      <c r="H537" t="s">
        <v>51</v>
      </c>
      <c r="I537" s="9">
        <v>250000</v>
      </c>
      <c r="J537">
        <v>2</v>
      </c>
      <c r="K537" t="s">
        <v>42</v>
      </c>
      <c r="L537" s="9">
        <f t="shared" si="8"/>
        <v>200000</v>
      </c>
      <c r="M537" s="9">
        <f>Table1[[#This Row],[Unit Price]]*Table1[[#This Row],[Quantity]]</f>
        <v>500000</v>
      </c>
      <c r="N537" s="9">
        <f>Table1[[#This Row],[Cost Price]]*Table1[[#This Row],[Quantity]]</f>
        <v>400000</v>
      </c>
      <c r="O537" s="9">
        <f>Table1[[#This Row],[Revenue]]-Table1[[#This Row],[COGS]]</f>
        <v>100000</v>
      </c>
      <c r="P537" s="6">
        <v>536</v>
      </c>
    </row>
    <row r="538" spans="1:16">
      <c r="A538" s="7" t="s">
        <v>146</v>
      </c>
      <c r="B538" s="7" t="str">
        <f>TEXT(Table1[[#This Row],[Date]],"MMM")</f>
        <v>Jan</v>
      </c>
      <c r="C538" t="s">
        <v>35</v>
      </c>
      <c r="D538" t="s">
        <v>28</v>
      </c>
      <c r="E538" t="s">
        <v>29</v>
      </c>
      <c r="F538" t="s">
        <v>30</v>
      </c>
      <c r="G538" t="s">
        <v>50</v>
      </c>
      <c r="H538" t="s">
        <v>51</v>
      </c>
      <c r="I538" s="9">
        <v>300000</v>
      </c>
      <c r="J538">
        <v>5</v>
      </c>
      <c r="K538" t="s">
        <v>42</v>
      </c>
      <c r="L538" s="9">
        <f t="shared" si="8"/>
        <v>240000</v>
      </c>
      <c r="M538" s="9">
        <f>Table1[[#This Row],[Unit Price]]*Table1[[#This Row],[Quantity]]</f>
        <v>1500000</v>
      </c>
      <c r="N538" s="9">
        <f>Table1[[#This Row],[Cost Price]]*Table1[[#This Row],[Quantity]]</f>
        <v>1200000</v>
      </c>
      <c r="O538" s="9">
        <f>Table1[[#This Row],[Revenue]]-Table1[[#This Row],[COGS]]</f>
        <v>300000</v>
      </c>
      <c r="P538" s="6">
        <v>537</v>
      </c>
    </row>
    <row r="539" spans="1:16">
      <c r="A539" s="7" t="s">
        <v>154</v>
      </c>
      <c r="B539" s="7" t="str">
        <f>TEXT(Table1[[#This Row],[Date]],"MMM")</f>
        <v>Feb</v>
      </c>
      <c r="C539" t="s">
        <v>35</v>
      </c>
      <c r="D539" t="s">
        <v>45</v>
      </c>
      <c r="E539" t="s">
        <v>29</v>
      </c>
      <c r="F539" t="s">
        <v>30</v>
      </c>
      <c r="G539" t="s">
        <v>46</v>
      </c>
      <c r="H539" t="s">
        <v>39</v>
      </c>
      <c r="I539" s="9">
        <v>60000</v>
      </c>
      <c r="J539">
        <v>9</v>
      </c>
      <c r="K539" t="s">
        <v>47</v>
      </c>
      <c r="L539" s="9">
        <f t="shared" si="8"/>
        <v>48000</v>
      </c>
      <c r="M539" s="9">
        <f>Table1[[#This Row],[Unit Price]]*Table1[[#This Row],[Quantity]]</f>
        <v>540000</v>
      </c>
      <c r="N539" s="9">
        <f>Table1[[#This Row],[Cost Price]]*Table1[[#This Row],[Quantity]]</f>
        <v>432000</v>
      </c>
      <c r="O539" s="9">
        <f>Table1[[#This Row],[Revenue]]-Table1[[#This Row],[COGS]]</f>
        <v>108000</v>
      </c>
      <c r="P539" s="6">
        <v>538</v>
      </c>
    </row>
    <row r="540" spans="1:16">
      <c r="A540" s="7" t="s">
        <v>134</v>
      </c>
      <c r="B540" s="7" t="str">
        <f>TEXT(Table1[[#This Row],[Date]],"MMM")</f>
        <v>Jan</v>
      </c>
      <c r="C540" t="s">
        <v>35</v>
      </c>
      <c r="D540" t="s">
        <v>45</v>
      </c>
      <c r="E540" t="s">
        <v>41</v>
      </c>
      <c r="F540" t="s">
        <v>30</v>
      </c>
      <c r="G540" t="s">
        <v>62</v>
      </c>
      <c r="H540" t="s">
        <v>51</v>
      </c>
      <c r="I540" s="9">
        <v>150000</v>
      </c>
      <c r="J540">
        <v>6</v>
      </c>
      <c r="K540" t="s">
        <v>47</v>
      </c>
      <c r="L540" s="9">
        <f t="shared" si="8"/>
        <v>120000</v>
      </c>
      <c r="M540" s="9">
        <f>Table1[[#This Row],[Unit Price]]*Table1[[#This Row],[Quantity]]</f>
        <v>900000</v>
      </c>
      <c r="N540" s="9">
        <f>Table1[[#This Row],[Cost Price]]*Table1[[#This Row],[Quantity]]</f>
        <v>720000</v>
      </c>
      <c r="O540" s="9">
        <f>Table1[[#This Row],[Revenue]]-Table1[[#This Row],[COGS]]</f>
        <v>180000</v>
      </c>
      <c r="P540" s="6">
        <v>539</v>
      </c>
    </row>
    <row r="541" spans="1:16">
      <c r="A541" s="7" t="s">
        <v>126</v>
      </c>
      <c r="B541" s="7" t="str">
        <f>TEXT(Table1[[#This Row],[Date]],"MMM")</f>
        <v>Jan</v>
      </c>
      <c r="C541" t="s">
        <v>44</v>
      </c>
      <c r="D541" t="s">
        <v>45</v>
      </c>
      <c r="E541" t="s">
        <v>41</v>
      </c>
      <c r="F541" t="s">
        <v>37</v>
      </c>
      <c r="G541" t="s">
        <v>31</v>
      </c>
      <c r="H541" t="s">
        <v>32</v>
      </c>
      <c r="I541" s="9">
        <v>85000</v>
      </c>
      <c r="J541">
        <v>3</v>
      </c>
      <c r="K541" t="s">
        <v>58</v>
      </c>
      <c r="L541" s="9">
        <f t="shared" si="8"/>
        <v>68000</v>
      </c>
      <c r="M541" s="9">
        <f>Table1[[#This Row],[Unit Price]]*Table1[[#This Row],[Quantity]]</f>
        <v>255000</v>
      </c>
      <c r="N541" s="9">
        <f>Table1[[#This Row],[Cost Price]]*Table1[[#This Row],[Quantity]]</f>
        <v>204000</v>
      </c>
      <c r="O541" s="9">
        <f>Table1[[#This Row],[Revenue]]-Table1[[#This Row],[COGS]]</f>
        <v>51000</v>
      </c>
      <c r="P541" s="6">
        <v>540</v>
      </c>
    </row>
    <row r="542" spans="1:16">
      <c r="A542" s="7" t="s">
        <v>171</v>
      </c>
      <c r="B542" s="7" t="str">
        <f>TEXT(Table1[[#This Row],[Date]],"MMM")</f>
        <v>Mar</v>
      </c>
      <c r="C542" t="s">
        <v>44</v>
      </c>
      <c r="D542" t="s">
        <v>36</v>
      </c>
      <c r="E542" t="s">
        <v>41</v>
      </c>
      <c r="F542" t="s">
        <v>37</v>
      </c>
      <c r="G542" t="s">
        <v>56</v>
      </c>
      <c r="H542" t="s">
        <v>32</v>
      </c>
      <c r="I542" s="9">
        <v>320000</v>
      </c>
      <c r="J542">
        <v>8</v>
      </c>
      <c r="K542" t="s">
        <v>47</v>
      </c>
      <c r="L542" s="9">
        <f t="shared" si="8"/>
        <v>256000</v>
      </c>
      <c r="M542" s="9">
        <f>Table1[[#This Row],[Unit Price]]*Table1[[#This Row],[Quantity]]</f>
        <v>2560000</v>
      </c>
      <c r="N542" s="9">
        <f>Table1[[#This Row],[Cost Price]]*Table1[[#This Row],[Quantity]]</f>
        <v>2048000</v>
      </c>
      <c r="O542" s="9">
        <f>Table1[[#This Row],[Revenue]]-Table1[[#This Row],[COGS]]</f>
        <v>512000</v>
      </c>
      <c r="P542" s="6">
        <v>541</v>
      </c>
    </row>
    <row r="543" spans="1:16">
      <c r="A543" s="7" t="s">
        <v>81</v>
      </c>
      <c r="B543" s="7" t="str">
        <f>TEXT(Table1[[#This Row],[Date]],"MMM")</f>
        <v>Mar</v>
      </c>
      <c r="C543" t="s">
        <v>35</v>
      </c>
      <c r="D543" t="s">
        <v>28</v>
      </c>
      <c r="E543" t="s">
        <v>41</v>
      </c>
      <c r="F543" t="s">
        <v>30</v>
      </c>
      <c r="G543" t="s">
        <v>71</v>
      </c>
      <c r="H543" t="s">
        <v>51</v>
      </c>
      <c r="I543" s="9">
        <v>250000</v>
      </c>
      <c r="J543">
        <v>1</v>
      </c>
      <c r="K543" t="s">
        <v>58</v>
      </c>
      <c r="L543" s="9">
        <f t="shared" si="8"/>
        <v>200000</v>
      </c>
      <c r="M543" s="9">
        <f>Table1[[#This Row],[Unit Price]]*Table1[[#This Row],[Quantity]]</f>
        <v>250000</v>
      </c>
      <c r="N543" s="9">
        <f>Table1[[#This Row],[Cost Price]]*Table1[[#This Row],[Quantity]]</f>
        <v>200000</v>
      </c>
      <c r="O543" s="9">
        <f>Table1[[#This Row],[Revenue]]-Table1[[#This Row],[COGS]]</f>
        <v>50000</v>
      </c>
      <c r="P543" s="6">
        <v>542</v>
      </c>
    </row>
    <row r="544" spans="1:16">
      <c r="A544" s="7" t="s">
        <v>164</v>
      </c>
      <c r="B544" s="7" t="str">
        <f>TEXT(Table1[[#This Row],[Date]],"MMM")</f>
        <v>Mar</v>
      </c>
      <c r="C544" t="s">
        <v>27</v>
      </c>
      <c r="D544" t="s">
        <v>36</v>
      </c>
      <c r="E544" t="s">
        <v>41</v>
      </c>
      <c r="F544" t="s">
        <v>37</v>
      </c>
      <c r="G544" t="s">
        <v>54</v>
      </c>
      <c r="H544" t="s">
        <v>39</v>
      </c>
      <c r="I544" s="9">
        <v>180000</v>
      </c>
      <c r="J544">
        <v>4</v>
      </c>
      <c r="K544" t="s">
        <v>33</v>
      </c>
      <c r="L544" s="9">
        <f t="shared" si="8"/>
        <v>144000</v>
      </c>
      <c r="M544" s="9">
        <f>Table1[[#This Row],[Unit Price]]*Table1[[#This Row],[Quantity]]</f>
        <v>720000</v>
      </c>
      <c r="N544" s="9">
        <f>Table1[[#This Row],[Cost Price]]*Table1[[#This Row],[Quantity]]</f>
        <v>576000</v>
      </c>
      <c r="O544" s="9">
        <f>Table1[[#This Row],[Revenue]]-Table1[[#This Row],[COGS]]</f>
        <v>144000</v>
      </c>
      <c r="P544" s="6">
        <v>543</v>
      </c>
    </row>
    <row r="545" spans="1:16">
      <c r="A545" s="7" t="s">
        <v>110</v>
      </c>
      <c r="B545" s="7" t="str">
        <f>TEXT(Table1[[#This Row],[Date]],"MMM")</f>
        <v>Jan</v>
      </c>
      <c r="C545" t="s">
        <v>35</v>
      </c>
      <c r="D545" t="s">
        <v>45</v>
      </c>
      <c r="E545" t="s">
        <v>29</v>
      </c>
      <c r="F545" t="s">
        <v>30</v>
      </c>
      <c r="G545" t="s">
        <v>46</v>
      </c>
      <c r="H545" t="s">
        <v>39</v>
      </c>
      <c r="I545" s="9">
        <v>60000</v>
      </c>
      <c r="J545">
        <v>6</v>
      </c>
      <c r="K545" t="s">
        <v>69</v>
      </c>
      <c r="L545" s="9">
        <f t="shared" si="8"/>
        <v>48000</v>
      </c>
      <c r="M545" s="9">
        <f>Table1[[#This Row],[Unit Price]]*Table1[[#This Row],[Quantity]]</f>
        <v>360000</v>
      </c>
      <c r="N545" s="9">
        <f>Table1[[#This Row],[Cost Price]]*Table1[[#This Row],[Quantity]]</f>
        <v>288000</v>
      </c>
      <c r="O545" s="9">
        <f>Table1[[#This Row],[Revenue]]-Table1[[#This Row],[COGS]]</f>
        <v>72000</v>
      </c>
      <c r="P545" s="6">
        <v>544</v>
      </c>
    </row>
    <row r="546" spans="1:16">
      <c r="A546" s="7" t="s">
        <v>139</v>
      </c>
      <c r="B546" s="7" t="str">
        <f>TEXT(Table1[[#This Row],[Date]],"MMM")</f>
        <v>Jan</v>
      </c>
      <c r="C546" t="s">
        <v>49</v>
      </c>
      <c r="D546" t="s">
        <v>53</v>
      </c>
      <c r="E546" t="s">
        <v>29</v>
      </c>
      <c r="F546" t="s">
        <v>37</v>
      </c>
      <c r="G546" t="s">
        <v>54</v>
      </c>
      <c r="H546" t="s">
        <v>39</v>
      </c>
      <c r="I546" s="9">
        <v>180000</v>
      </c>
      <c r="J546">
        <v>7</v>
      </c>
      <c r="K546" t="s">
        <v>33</v>
      </c>
      <c r="L546" s="9">
        <f t="shared" si="8"/>
        <v>144000</v>
      </c>
      <c r="M546" s="9">
        <f>Table1[[#This Row],[Unit Price]]*Table1[[#This Row],[Quantity]]</f>
        <v>1260000</v>
      </c>
      <c r="N546" s="9">
        <f>Table1[[#This Row],[Cost Price]]*Table1[[#This Row],[Quantity]]</f>
        <v>1008000</v>
      </c>
      <c r="O546" s="9">
        <f>Table1[[#This Row],[Revenue]]-Table1[[#This Row],[COGS]]</f>
        <v>252000</v>
      </c>
      <c r="P546" s="6">
        <v>545</v>
      </c>
    </row>
    <row r="547" spans="1:16">
      <c r="A547" s="7" t="s">
        <v>133</v>
      </c>
      <c r="B547" s="7" t="str">
        <f>TEXT(Table1[[#This Row],[Date]],"MMM")</f>
        <v>Jan</v>
      </c>
      <c r="C547" t="s">
        <v>49</v>
      </c>
      <c r="D547" t="s">
        <v>36</v>
      </c>
      <c r="E547" t="s">
        <v>29</v>
      </c>
      <c r="F547" t="s">
        <v>30</v>
      </c>
      <c r="G547" t="s">
        <v>62</v>
      </c>
      <c r="H547" t="s">
        <v>51</v>
      </c>
      <c r="I547" s="9">
        <v>150000</v>
      </c>
      <c r="J547">
        <v>10</v>
      </c>
      <c r="K547" t="s">
        <v>65</v>
      </c>
      <c r="L547" s="9">
        <f t="shared" si="8"/>
        <v>120000</v>
      </c>
      <c r="M547" s="9">
        <f>Table1[[#This Row],[Unit Price]]*Table1[[#This Row],[Quantity]]</f>
        <v>1500000</v>
      </c>
      <c r="N547" s="9">
        <f>Table1[[#This Row],[Cost Price]]*Table1[[#This Row],[Quantity]]</f>
        <v>1200000</v>
      </c>
      <c r="O547" s="9">
        <f>Table1[[#This Row],[Revenue]]-Table1[[#This Row],[COGS]]</f>
        <v>300000</v>
      </c>
      <c r="P547" s="6">
        <v>546</v>
      </c>
    </row>
    <row r="548" spans="1:16">
      <c r="A548" s="7" t="s">
        <v>109</v>
      </c>
      <c r="B548" s="7" t="str">
        <f>TEXT(Table1[[#This Row],[Date]],"MMM")</f>
        <v>Mar</v>
      </c>
      <c r="C548" t="s">
        <v>35</v>
      </c>
      <c r="D548" t="s">
        <v>45</v>
      </c>
      <c r="E548" t="s">
        <v>29</v>
      </c>
      <c r="F548" t="s">
        <v>37</v>
      </c>
      <c r="G548" t="s">
        <v>56</v>
      </c>
      <c r="H548" t="s">
        <v>32</v>
      </c>
      <c r="I548" s="9">
        <v>320000</v>
      </c>
      <c r="J548">
        <v>5</v>
      </c>
      <c r="K548" t="s">
        <v>65</v>
      </c>
      <c r="L548" s="9">
        <f t="shared" si="8"/>
        <v>256000</v>
      </c>
      <c r="M548" s="9">
        <f>Table1[[#This Row],[Unit Price]]*Table1[[#This Row],[Quantity]]</f>
        <v>1600000</v>
      </c>
      <c r="N548" s="9">
        <f>Table1[[#This Row],[Cost Price]]*Table1[[#This Row],[Quantity]]</f>
        <v>1280000</v>
      </c>
      <c r="O548" s="9">
        <f>Table1[[#This Row],[Revenue]]-Table1[[#This Row],[COGS]]</f>
        <v>320000</v>
      </c>
      <c r="P548" s="6">
        <v>547</v>
      </c>
    </row>
    <row r="549" spans="1:16">
      <c r="A549" s="7" t="s">
        <v>60</v>
      </c>
      <c r="B549" s="7" t="str">
        <f>TEXT(Table1[[#This Row],[Date]],"MMM")</f>
        <v>Mar</v>
      </c>
      <c r="C549" t="s">
        <v>27</v>
      </c>
      <c r="D549" t="s">
        <v>28</v>
      </c>
      <c r="E549" t="s">
        <v>41</v>
      </c>
      <c r="F549" t="s">
        <v>37</v>
      </c>
      <c r="G549" t="s">
        <v>62</v>
      </c>
      <c r="H549" t="s">
        <v>51</v>
      </c>
      <c r="I549" s="9">
        <v>150000</v>
      </c>
      <c r="J549">
        <v>7</v>
      </c>
      <c r="K549" t="s">
        <v>42</v>
      </c>
      <c r="L549" s="9">
        <f t="shared" si="8"/>
        <v>120000</v>
      </c>
      <c r="M549" s="9">
        <f>Table1[[#This Row],[Unit Price]]*Table1[[#This Row],[Quantity]]</f>
        <v>1050000</v>
      </c>
      <c r="N549" s="9">
        <f>Table1[[#This Row],[Cost Price]]*Table1[[#This Row],[Quantity]]</f>
        <v>840000</v>
      </c>
      <c r="O549" s="9">
        <f>Table1[[#This Row],[Revenue]]-Table1[[#This Row],[COGS]]</f>
        <v>210000</v>
      </c>
      <c r="P549" s="6">
        <v>548</v>
      </c>
    </row>
    <row r="550" spans="1:16">
      <c r="A550" s="7" t="s">
        <v>43</v>
      </c>
      <c r="B550" s="7" t="str">
        <f>TEXT(Table1[[#This Row],[Date]],"MMM")</f>
        <v>Apr</v>
      </c>
      <c r="C550" t="s">
        <v>35</v>
      </c>
      <c r="D550" t="s">
        <v>28</v>
      </c>
      <c r="E550" t="s">
        <v>41</v>
      </c>
      <c r="F550" t="s">
        <v>30</v>
      </c>
      <c r="G550" t="s">
        <v>62</v>
      </c>
      <c r="H550" t="s">
        <v>51</v>
      </c>
      <c r="I550" s="9">
        <v>150000</v>
      </c>
      <c r="J550">
        <v>4</v>
      </c>
      <c r="K550" t="s">
        <v>65</v>
      </c>
      <c r="L550" s="9">
        <f t="shared" si="8"/>
        <v>120000</v>
      </c>
      <c r="M550" s="9">
        <f>Table1[[#This Row],[Unit Price]]*Table1[[#This Row],[Quantity]]</f>
        <v>600000</v>
      </c>
      <c r="N550" s="9">
        <f>Table1[[#This Row],[Cost Price]]*Table1[[#This Row],[Quantity]]</f>
        <v>480000</v>
      </c>
      <c r="O550" s="9">
        <f>Table1[[#This Row],[Revenue]]-Table1[[#This Row],[COGS]]</f>
        <v>120000</v>
      </c>
      <c r="P550" s="6">
        <v>549</v>
      </c>
    </row>
    <row r="551" spans="1:16">
      <c r="A551" s="7" t="s">
        <v>112</v>
      </c>
      <c r="B551" s="7" t="str">
        <f>TEXT(Table1[[#This Row],[Date]],"MMM")</f>
        <v>Feb</v>
      </c>
      <c r="C551" t="s">
        <v>49</v>
      </c>
      <c r="D551" t="s">
        <v>45</v>
      </c>
      <c r="E551" t="s">
        <v>41</v>
      </c>
      <c r="F551" t="s">
        <v>30</v>
      </c>
      <c r="G551" t="s">
        <v>50</v>
      </c>
      <c r="H551" t="s">
        <v>51</v>
      </c>
      <c r="I551" s="9">
        <v>300000</v>
      </c>
      <c r="J551">
        <v>6</v>
      </c>
      <c r="K551" t="s">
        <v>47</v>
      </c>
      <c r="L551" s="9">
        <f t="shared" si="8"/>
        <v>240000</v>
      </c>
      <c r="M551" s="9">
        <f>Table1[[#This Row],[Unit Price]]*Table1[[#This Row],[Quantity]]</f>
        <v>1800000</v>
      </c>
      <c r="N551" s="9">
        <f>Table1[[#This Row],[Cost Price]]*Table1[[#This Row],[Quantity]]</f>
        <v>1440000</v>
      </c>
      <c r="O551" s="9">
        <f>Table1[[#This Row],[Revenue]]-Table1[[#This Row],[COGS]]</f>
        <v>360000</v>
      </c>
      <c r="P551" s="6">
        <v>550</v>
      </c>
    </row>
    <row r="552" spans="1:16">
      <c r="A552" s="7" t="s">
        <v>86</v>
      </c>
      <c r="B552" s="7" t="str">
        <f>TEXT(Table1[[#This Row],[Date]],"MMM")</f>
        <v>Feb</v>
      </c>
      <c r="C552" t="s">
        <v>49</v>
      </c>
      <c r="D552" t="s">
        <v>28</v>
      </c>
      <c r="E552" t="s">
        <v>29</v>
      </c>
      <c r="F552" t="s">
        <v>37</v>
      </c>
      <c r="G552" t="s">
        <v>56</v>
      </c>
      <c r="H552" t="s">
        <v>32</v>
      </c>
      <c r="I552" s="9">
        <v>320000</v>
      </c>
      <c r="J552">
        <v>4</v>
      </c>
      <c r="K552" t="s">
        <v>47</v>
      </c>
      <c r="L552" s="9">
        <f t="shared" si="8"/>
        <v>256000</v>
      </c>
      <c r="M552" s="9">
        <f>Table1[[#This Row],[Unit Price]]*Table1[[#This Row],[Quantity]]</f>
        <v>1280000</v>
      </c>
      <c r="N552" s="9">
        <f>Table1[[#This Row],[Cost Price]]*Table1[[#This Row],[Quantity]]</f>
        <v>1024000</v>
      </c>
      <c r="O552" s="9">
        <f>Table1[[#This Row],[Revenue]]-Table1[[#This Row],[COGS]]</f>
        <v>256000</v>
      </c>
      <c r="P552" s="6">
        <v>551</v>
      </c>
    </row>
    <row r="553" spans="1:16">
      <c r="A553" s="7" t="s">
        <v>90</v>
      </c>
      <c r="B553" s="7" t="str">
        <f>TEXT(Table1[[#This Row],[Date]],"MMM")</f>
        <v>Feb</v>
      </c>
      <c r="C553" t="s">
        <v>44</v>
      </c>
      <c r="D553" t="s">
        <v>36</v>
      </c>
      <c r="E553" t="s">
        <v>41</v>
      </c>
      <c r="F553" t="s">
        <v>30</v>
      </c>
      <c r="G553" t="s">
        <v>38</v>
      </c>
      <c r="H553" t="s">
        <v>39</v>
      </c>
      <c r="I553" s="9">
        <v>30000</v>
      </c>
      <c r="J553">
        <v>4</v>
      </c>
      <c r="K553" t="s">
        <v>42</v>
      </c>
      <c r="L553" s="9">
        <f t="shared" si="8"/>
        <v>24000</v>
      </c>
      <c r="M553" s="9">
        <f>Table1[[#This Row],[Unit Price]]*Table1[[#This Row],[Quantity]]</f>
        <v>120000</v>
      </c>
      <c r="N553" s="9">
        <f>Table1[[#This Row],[Cost Price]]*Table1[[#This Row],[Quantity]]</f>
        <v>96000</v>
      </c>
      <c r="O553" s="9">
        <f>Table1[[#This Row],[Revenue]]-Table1[[#This Row],[COGS]]</f>
        <v>24000</v>
      </c>
      <c r="P553" s="6">
        <v>552</v>
      </c>
    </row>
    <row r="554" spans="1:16">
      <c r="A554" s="7" t="s">
        <v>133</v>
      </c>
      <c r="B554" s="7" t="str">
        <f>TEXT(Table1[[#This Row],[Date]],"MMM")</f>
        <v>Jan</v>
      </c>
      <c r="C554" t="s">
        <v>35</v>
      </c>
      <c r="D554" t="s">
        <v>45</v>
      </c>
      <c r="E554" t="s">
        <v>41</v>
      </c>
      <c r="F554" t="s">
        <v>30</v>
      </c>
      <c r="G554" t="s">
        <v>62</v>
      </c>
      <c r="H554" t="s">
        <v>51</v>
      </c>
      <c r="I554" s="9">
        <v>150000</v>
      </c>
      <c r="J554">
        <v>8</v>
      </c>
      <c r="K554" t="s">
        <v>69</v>
      </c>
      <c r="L554" s="9">
        <f t="shared" si="8"/>
        <v>120000</v>
      </c>
      <c r="M554" s="9">
        <f>Table1[[#This Row],[Unit Price]]*Table1[[#This Row],[Quantity]]</f>
        <v>1200000</v>
      </c>
      <c r="N554" s="9">
        <f>Table1[[#This Row],[Cost Price]]*Table1[[#This Row],[Quantity]]</f>
        <v>960000</v>
      </c>
      <c r="O554" s="9">
        <f>Table1[[#This Row],[Revenue]]-Table1[[#This Row],[COGS]]</f>
        <v>240000</v>
      </c>
      <c r="P554" s="6">
        <v>553</v>
      </c>
    </row>
    <row r="555" spans="1:16">
      <c r="A555" s="7" t="s">
        <v>101</v>
      </c>
      <c r="B555" s="7" t="str">
        <f>TEXT(Table1[[#This Row],[Date]],"MMM")</f>
        <v>Jan</v>
      </c>
      <c r="C555" t="s">
        <v>44</v>
      </c>
      <c r="D555" t="s">
        <v>36</v>
      </c>
      <c r="E555" t="s">
        <v>29</v>
      </c>
      <c r="F555" t="s">
        <v>37</v>
      </c>
      <c r="G555" t="s">
        <v>71</v>
      </c>
      <c r="H555" t="s">
        <v>51</v>
      </c>
      <c r="I555" s="9">
        <v>250000</v>
      </c>
      <c r="J555">
        <v>8</v>
      </c>
      <c r="K555" t="s">
        <v>65</v>
      </c>
      <c r="L555" s="9">
        <f t="shared" si="8"/>
        <v>200000</v>
      </c>
      <c r="M555" s="9">
        <f>Table1[[#This Row],[Unit Price]]*Table1[[#This Row],[Quantity]]</f>
        <v>2000000</v>
      </c>
      <c r="N555" s="9">
        <f>Table1[[#This Row],[Cost Price]]*Table1[[#This Row],[Quantity]]</f>
        <v>1600000</v>
      </c>
      <c r="O555" s="9">
        <f>Table1[[#This Row],[Revenue]]-Table1[[#This Row],[COGS]]</f>
        <v>400000</v>
      </c>
      <c r="P555" s="6">
        <v>554</v>
      </c>
    </row>
    <row r="556" spans="1:16">
      <c r="A556" s="7" t="s">
        <v>68</v>
      </c>
      <c r="B556" s="7" t="str">
        <f>TEXT(Table1[[#This Row],[Date]],"MMM")</f>
        <v>Mar</v>
      </c>
      <c r="C556" t="s">
        <v>49</v>
      </c>
      <c r="D556" t="s">
        <v>36</v>
      </c>
      <c r="E556" t="s">
        <v>41</v>
      </c>
      <c r="F556" t="s">
        <v>30</v>
      </c>
      <c r="G556" t="s">
        <v>38</v>
      </c>
      <c r="H556" t="s">
        <v>39</v>
      </c>
      <c r="I556" s="9">
        <v>30000</v>
      </c>
      <c r="J556">
        <v>4</v>
      </c>
      <c r="K556" t="s">
        <v>69</v>
      </c>
      <c r="L556" s="9">
        <f t="shared" si="8"/>
        <v>24000</v>
      </c>
      <c r="M556" s="9">
        <f>Table1[[#This Row],[Unit Price]]*Table1[[#This Row],[Quantity]]</f>
        <v>120000</v>
      </c>
      <c r="N556" s="9">
        <f>Table1[[#This Row],[Cost Price]]*Table1[[#This Row],[Quantity]]</f>
        <v>96000</v>
      </c>
      <c r="O556" s="9">
        <f>Table1[[#This Row],[Revenue]]-Table1[[#This Row],[COGS]]</f>
        <v>24000</v>
      </c>
      <c r="P556" s="6">
        <v>555</v>
      </c>
    </row>
    <row r="557" spans="1:16">
      <c r="A557" s="7" t="s">
        <v>133</v>
      </c>
      <c r="B557" s="7" t="str">
        <f>TEXT(Table1[[#This Row],[Date]],"MMM")</f>
        <v>Jan</v>
      </c>
      <c r="C557" t="s">
        <v>44</v>
      </c>
      <c r="D557" t="s">
        <v>28</v>
      </c>
      <c r="E557" t="s">
        <v>41</v>
      </c>
      <c r="F557" t="s">
        <v>30</v>
      </c>
      <c r="G557" t="s">
        <v>67</v>
      </c>
      <c r="H557" t="s">
        <v>51</v>
      </c>
      <c r="I557" s="9">
        <v>420000</v>
      </c>
      <c r="J557">
        <v>2</v>
      </c>
      <c r="K557" t="s">
        <v>65</v>
      </c>
      <c r="L557" s="9">
        <f t="shared" si="8"/>
        <v>336000</v>
      </c>
      <c r="M557" s="9">
        <f>Table1[[#This Row],[Unit Price]]*Table1[[#This Row],[Quantity]]</f>
        <v>840000</v>
      </c>
      <c r="N557" s="9">
        <f>Table1[[#This Row],[Cost Price]]*Table1[[#This Row],[Quantity]]</f>
        <v>672000</v>
      </c>
      <c r="O557" s="9">
        <f>Table1[[#This Row],[Revenue]]-Table1[[#This Row],[COGS]]</f>
        <v>168000</v>
      </c>
      <c r="P557" s="6">
        <v>556</v>
      </c>
    </row>
    <row r="558" spans="1:16">
      <c r="A558" s="7" t="s">
        <v>109</v>
      </c>
      <c r="B558" s="7" t="str">
        <f>TEXT(Table1[[#This Row],[Date]],"MMM")</f>
        <v>Mar</v>
      </c>
      <c r="C558" t="s">
        <v>44</v>
      </c>
      <c r="D558" t="s">
        <v>28</v>
      </c>
      <c r="E558" t="s">
        <v>41</v>
      </c>
      <c r="F558" t="s">
        <v>37</v>
      </c>
      <c r="G558" t="s">
        <v>38</v>
      </c>
      <c r="H558" t="s">
        <v>39</v>
      </c>
      <c r="I558" s="9">
        <v>30000</v>
      </c>
      <c r="J558">
        <v>6</v>
      </c>
      <c r="K558" t="s">
        <v>65</v>
      </c>
      <c r="L558" s="9">
        <f t="shared" si="8"/>
        <v>24000</v>
      </c>
      <c r="M558" s="9">
        <f>Table1[[#This Row],[Unit Price]]*Table1[[#This Row],[Quantity]]</f>
        <v>180000</v>
      </c>
      <c r="N558" s="9">
        <f>Table1[[#This Row],[Cost Price]]*Table1[[#This Row],[Quantity]]</f>
        <v>144000</v>
      </c>
      <c r="O558" s="9">
        <f>Table1[[#This Row],[Revenue]]-Table1[[#This Row],[COGS]]</f>
        <v>36000</v>
      </c>
      <c r="P558" s="6">
        <v>557</v>
      </c>
    </row>
    <row r="559" spans="1:16">
      <c r="A559" s="7" t="s">
        <v>164</v>
      </c>
      <c r="B559" s="7" t="str">
        <f>TEXT(Table1[[#This Row],[Date]],"MMM")</f>
        <v>Mar</v>
      </c>
      <c r="C559" t="s">
        <v>49</v>
      </c>
      <c r="D559" t="s">
        <v>53</v>
      </c>
      <c r="E559" t="s">
        <v>41</v>
      </c>
      <c r="F559" t="s">
        <v>30</v>
      </c>
      <c r="G559" t="s">
        <v>73</v>
      </c>
      <c r="H559" t="s">
        <v>39</v>
      </c>
      <c r="I559" s="9">
        <v>220000</v>
      </c>
      <c r="J559">
        <v>2</v>
      </c>
      <c r="K559" t="s">
        <v>58</v>
      </c>
      <c r="L559" s="9">
        <f t="shared" si="8"/>
        <v>176000</v>
      </c>
      <c r="M559" s="9">
        <f>Table1[[#This Row],[Unit Price]]*Table1[[#This Row],[Quantity]]</f>
        <v>440000</v>
      </c>
      <c r="N559" s="9">
        <f>Table1[[#This Row],[Cost Price]]*Table1[[#This Row],[Quantity]]</f>
        <v>352000</v>
      </c>
      <c r="O559" s="9">
        <f>Table1[[#This Row],[Revenue]]-Table1[[#This Row],[COGS]]</f>
        <v>88000</v>
      </c>
      <c r="P559" s="6">
        <v>558</v>
      </c>
    </row>
    <row r="560" spans="1:16">
      <c r="A560" s="7" t="s">
        <v>159</v>
      </c>
      <c r="B560" s="7" t="str">
        <f>TEXT(Table1[[#This Row],[Date]],"MMM")</f>
        <v>Feb</v>
      </c>
      <c r="C560" t="s">
        <v>44</v>
      </c>
      <c r="D560" t="s">
        <v>28</v>
      </c>
      <c r="E560" t="s">
        <v>29</v>
      </c>
      <c r="F560" t="s">
        <v>30</v>
      </c>
      <c r="G560" t="s">
        <v>50</v>
      </c>
      <c r="H560" t="s">
        <v>51</v>
      </c>
      <c r="I560" s="9">
        <v>300000</v>
      </c>
      <c r="J560">
        <v>4</v>
      </c>
      <c r="K560" t="s">
        <v>58</v>
      </c>
      <c r="L560" s="9">
        <f t="shared" si="8"/>
        <v>240000</v>
      </c>
      <c r="M560" s="9">
        <f>Table1[[#This Row],[Unit Price]]*Table1[[#This Row],[Quantity]]</f>
        <v>1200000</v>
      </c>
      <c r="N560" s="9">
        <f>Table1[[#This Row],[Cost Price]]*Table1[[#This Row],[Quantity]]</f>
        <v>960000</v>
      </c>
      <c r="O560" s="9">
        <f>Table1[[#This Row],[Revenue]]-Table1[[#This Row],[COGS]]</f>
        <v>240000</v>
      </c>
      <c r="P560" s="6">
        <v>559</v>
      </c>
    </row>
    <row r="561" spans="1:16">
      <c r="A561" s="7" t="s">
        <v>140</v>
      </c>
      <c r="B561" s="7" t="str">
        <f>TEXT(Table1[[#This Row],[Date]],"MMM")</f>
        <v>Apr</v>
      </c>
      <c r="C561" t="s">
        <v>44</v>
      </c>
      <c r="D561" t="s">
        <v>28</v>
      </c>
      <c r="E561" t="s">
        <v>41</v>
      </c>
      <c r="F561" t="s">
        <v>30</v>
      </c>
      <c r="G561" t="s">
        <v>67</v>
      </c>
      <c r="H561" t="s">
        <v>51</v>
      </c>
      <c r="I561" s="9">
        <v>420000</v>
      </c>
      <c r="J561">
        <v>8</v>
      </c>
      <c r="K561" t="s">
        <v>33</v>
      </c>
      <c r="L561" s="9">
        <f t="shared" si="8"/>
        <v>336000</v>
      </c>
      <c r="M561" s="9">
        <f>Table1[[#This Row],[Unit Price]]*Table1[[#This Row],[Quantity]]</f>
        <v>3360000</v>
      </c>
      <c r="N561" s="9">
        <f>Table1[[#This Row],[Cost Price]]*Table1[[#This Row],[Quantity]]</f>
        <v>2688000</v>
      </c>
      <c r="O561" s="9">
        <f>Table1[[#This Row],[Revenue]]-Table1[[#This Row],[COGS]]</f>
        <v>672000</v>
      </c>
      <c r="P561" s="6">
        <v>560</v>
      </c>
    </row>
    <row r="562" spans="1:16">
      <c r="A562" s="7" t="s">
        <v>75</v>
      </c>
      <c r="B562" s="7" t="str">
        <f>TEXT(Table1[[#This Row],[Date]],"MMM")</f>
        <v>Mar</v>
      </c>
      <c r="C562" t="s">
        <v>35</v>
      </c>
      <c r="D562" t="s">
        <v>28</v>
      </c>
      <c r="E562" t="s">
        <v>29</v>
      </c>
      <c r="F562" t="s">
        <v>30</v>
      </c>
      <c r="G562" t="s">
        <v>56</v>
      </c>
      <c r="H562" t="s">
        <v>32</v>
      </c>
      <c r="I562" s="9">
        <v>320000</v>
      </c>
      <c r="J562">
        <v>4</v>
      </c>
      <c r="K562" t="s">
        <v>58</v>
      </c>
      <c r="L562" s="9">
        <f t="shared" si="8"/>
        <v>256000</v>
      </c>
      <c r="M562" s="9">
        <f>Table1[[#This Row],[Unit Price]]*Table1[[#This Row],[Quantity]]</f>
        <v>1280000</v>
      </c>
      <c r="N562" s="9">
        <f>Table1[[#This Row],[Cost Price]]*Table1[[#This Row],[Quantity]]</f>
        <v>1024000</v>
      </c>
      <c r="O562" s="9">
        <f>Table1[[#This Row],[Revenue]]-Table1[[#This Row],[COGS]]</f>
        <v>256000</v>
      </c>
      <c r="P562" s="6">
        <v>561</v>
      </c>
    </row>
    <row r="563" spans="1:16">
      <c r="A563" s="7" t="s">
        <v>74</v>
      </c>
      <c r="B563" s="7" t="str">
        <f>TEXT(Table1[[#This Row],[Date]],"MMM")</f>
        <v>Feb</v>
      </c>
      <c r="C563" t="s">
        <v>27</v>
      </c>
      <c r="D563" t="s">
        <v>28</v>
      </c>
      <c r="E563" t="s">
        <v>41</v>
      </c>
      <c r="F563" t="s">
        <v>37</v>
      </c>
      <c r="G563" t="s">
        <v>71</v>
      </c>
      <c r="H563" t="s">
        <v>51</v>
      </c>
      <c r="I563" s="9">
        <v>250000</v>
      </c>
      <c r="J563">
        <v>8</v>
      </c>
      <c r="K563" t="s">
        <v>42</v>
      </c>
      <c r="L563" s="9">
        <f t="shared" si="8"/>
        <v>200000</v>
      </c>
      <c r="M563" s="9">
        <f>Table1[[#This Row],[Unit Price]]*Table1[[#This Row],[Quantity]]</f>
        <v>2000000</v>
      </c>
      <c r="N563" s="9">
        <f>Table1[[#This Row],[Cost Price]]*Table1[[#This Row],[Quantity]]</f>
        <v>1600000</v>
      </c>
      <c r="O563" s="9">
        <f>Table1[[#This Row],[Revenue]]-Table1[[#This Row],[COGS]]</f>
        <v>400000</v>
      </c>
      <c r="P563" s="6">
        <v>562</v>
      </c>
    </row>
    <row r="564" spans="1:16">
      <c r="A564" s="7" t="s">
        <v>91</v>
      </c>
      <c r="B564" s="7" t="str">
        <f>TEXT(Table1[[#This Row],[Date]],"MMM")</f>
        <v>Feb</v>
      </c>
      <c r="C564" t="s">
        <v>35</v>
      </c>
      <c r="D564" t="s">
        <v>36</v>
      </c>
      <c r="E564" t="s">
        <v>29</v>
      </c>
      <c r="F564" t="s">
        <v>37</v>
      </c>
      <c r="G564" t="s">
        <v>56</v>
      </c>
      <c r="H564" t="s">
        <v>32</v>
      </c>
      <c r="I564" s="9">
        <v>320000</v>
      </c>
      <c r="J564">
        <v>7</v>
      </c>
      <c r="K564" t="s">
        <v>69</v>
      </c>
      <c r="L564" s="9">
        <f t="shared" si="8"/>
        <v>256000</v>
      </c>
      <c r="M564" s="9">
        <f>Table1[[#This Row],[Unit Price]]*Table1[[#This Row],[Quantity]]</f>
        <v>2240000</v>
      </c>
      <c r="N564" s="9">
        <f>Table1[[#This Row],[Cost Price]]*Table1[[#This Row],[Quantity]]</f>
        <v>1792000</v>
      </c>
      <c r="O564" s="9">
        <f>Table1[[#This Row],[Revenue]]-Table1[[#This Row],[COGS]]</f>
        <v>448000</v>
      </c>
      <c r="P564" s="6">
        <v>563</v>
      </c>
    </row>
    <row r="565" spans="1:16">
      <c r="A565" s="7" t="s">
        <v>79</v>
      </c>
      <c r="B565" s="7" t="str">
        <f>TEXT(Table1[[#This Row],[Date]],"MMM")</f>
        <v>Feb</v>
      </c>
      <c r="C565" t="s">
        <v>27</v>
      </c>
      <c r="D565" t="s">
        <v>36</v>
      </c>
      <c r="E565" t="s">
        <v>41</v>
      </c>
      <c r="F565" t="s">
        <v>37</v>
      </c>
      <c r="G565" t="s">
        <v>50</v>
      </c>
      <c r="H565" t="s">
        <v>51</v>
      </c>
      <c r="I565" s="9">
        <v>300000</v>
      </c>
      <c r="J565">
        <v>6</v>
      </c>
      <c r="K565" t="s">
        <v>42</v>
      </c>
      <c r="L565" s="9">
        <f t="shared" si="8"/>
        <v>240000</v>
      </c>
      <c r="M565" s="9">
        <f>Table1[[#This Row],[Unit Price]]*Table1[[#This Row],[Quantity]]</f>
        <v>1800000</v>
      </c>
      <c r="N565" s="9">
        <f>Table1[[#This Row],[Cost Price]]*Table1[[#This Row],[Quantity]]</f>
        <v>1440000</v>
      </c>
      <c r="O565" s="9">
        <f>Table1[[#This Row],[Revenue]]-Table1[[#This Row],[COGS]]</f>
        <v>360000</v>
      </c>
      <c r="P565" s="6">
        <v>564</v>
      </c>
    </row>
    <row r="566" spans="1:16">
      <c r="A566" s="7" t="s">
        <v>92</v>
      </c>
      <c r="B566" s="7" t="str">
        <f>TEXT(Table1[[#This Row],[Date]],"MMM")</f>
        <v>Jan</v>
      </c>
      <c r="C566" t="s">
        <v>49</v>
      </c>
      <c r="D566" t="s">
        <v>53</v>
      </c>
      <c r="E566" t="s">
        <v>41</v>
      </c>
      <c r="F566" t="s">
        <v>37</v>
      </c>
      <c r="G566" t="s">
        <v>54</v>
      </c>
      <c r="H566" t="s">
        <v>39</v>
      </c>
      <c r="I566" s="9">
        <v>180000</v>
      </c>
      <c r="J566">
        <v>4</v>
      </c>
      <c r="K566" t="s">
        <v>33</v>
      </c>
      <c r="L566" s="9">
        <f t="shared" si="8"/>
        <v>144000</v>
      </c>
      <c r="M566" s="9">
        <f>Table1[[#This Row],[Unit Price]]*Table1[[#This Row],[Quantity]]</f>
        <v>720000</v>
      </c>
      <c r="N566" s="9">
        <f>Table1[[#This Row],[Cost Price]]*Table1[[#This Row],[Quantity]]</f>
        <v>576000</v>
      </c>
      <c r="O566" s="9">
        <f>Table1[[#This Row],[Revenue]]-Table1[[#This Row],[COGS]]</f>
        <v>144000</v>
      </c>
      <c r="P566" s="6">
        <v>565</v>
      </c>
    </row>
    <row r="567" spans="1:16">
      <c r="A567" s="7" t="s">
        <v>146</v>
      </c>
      <c r="B567" s="7" t="str">
        <f>TEXT(Table1[[#This Row],[Date]],"MMM")</f>
        <v>Jan</v>
      </c>
      <c r="C567" t="s">
        <v>27</v>
      </c>
      <c r="D567" t="s">
        <v>28</v>
      </c>
      <c r="E567" t="s">
        <v>41</v>
      </c>
      <c r="F567" t="s">
        <v>30</v>
      </c>
      <c r="G567" t="s">
        <v>71</v>
      </c>
      <c r="H567" t="s">
        <v>51</v>
      </c>
      <c r="I567" s="9">
        <v>250000</v>
      </c>
      <c r="J567">
        <v>6</v>
      </c>
      <c r="K567" t="s">
        <v>58</v>
      </c>
      <c r="L567" s="9">
        <f t="shared" si="8"/>
        <v>200000</v>
      </c>
      <c r="M567" s="9">
        <f>Table1[[#This Row],[Unit Price]]*Table1[[#This Row],[Quantity]]</f>
        <v>1500000</v>
      </c>
      <c r="N567" s="9">
        <f>Table1[[#This Row],[Cost Price]]*Table1[[#This Row],[Quantity]]</f>
        <v>1200000</v>
      </c>
      <c r="O567" s="9">
        <f>Table1[[#This Row],[Revenue]]-Table1[[#This Row],[COGS]]</f>
        <v>300000</v>
      </c>
      <c r="P567" s="6">
        <v>566</v>
      </c>
    </row>
    <row r="568" spans="1:16">
      <c r="A568" s="7" t="s">
        <v>80</v>
      </c>
      <c r="B568" s="7" t="str">
        <f>TEXT(Table1[[#This Row],[Date]],"MMM")</f>
        <v>Feb</v>
      </c>
      <c r="C568" t="s">
        <v>27</v>
      </c>
      <c r="D568" t="s">
        <v>45</v>
      </c>
      <c r="E568" t="s">
        <v>41</v>
      </c>
      <c r="F568" t="s">
        <v>30</v>
      </c>
      <c r="G568" t="s">
        <v>71</v>
      </c>
      <c r="H568" t="s">
        <v>51</v>
      </c>
      <c r="I568" s="9">
        <v>250000</v>
      </c>
      <c r="J568">
        <v>7</v>
      </c>
      <c r="K568" t="s">
        <v>58</v>
      </c>
      <c r="L568" s="9">
        <f t="shared" si="8"/>
        <v>200000</v>
      </c>
      <c r="M568" s="9">
        <f>Table1[[#This Row],[Unit Price]]*Table1[[#This Row],[Quantity]]</f>
        <v>1750000</v>
      </c>
      <c r="N568" s="9">
        <f>Table1[[#This Row],[Cost Price]]*Table1[[#This Row],[Quantity]]</f>
        <v>1400000</v>
      </c>
      <c r="O568" s="9">
        <f>Table1[[#This Row],[Revenue]]-Table1[[#This Row],[COGS]]</f>
        <v>350000</v>
      </c>
      <c r="P568" s="6">
        <v>567</v>
      </c>
    </row>
    <row r="569" spans="1:16">
      <c r="A569" s="7" t="s">
        <v>104</v>
      </c>
      <c r="B569" s="7" t="str">
        <f>TEXT(Table1[[#This Row],[Date]],"MMM")</f>
        <v>Mar</v>
      </c>
      <c r="C569" t="s">
        <v>35</v>
      </c>
      <c r="D569" t="s">
        <v>36</v>
      </c>
      <c r="E569" t="s">
        <v>29</v>
      </c>
      <c r="F569" t="s">
        <v>37</v>
      </c>
      <c r="G569" t="s">
        <v>67</v>
      </c>
      <c r="H569" t="s">
        <v>51</v>
      </c>
      <c r="I569" s="9">
        <v>420000</v>
      </c>
      <c r="J569">
        <v>2</v>
      </c>
      <c r="K569" t="s">
        <v>33</v>
      </c>
      <c r="L569" s="9">
        <f t="shared" si="8"/>
        <v>336000</v>
      </c>
      <c r="M569" s="9">
        <f>Table1[[#This Row],[Unit Price]]*Table1[[#This Row],[Quantity]]</f>
        <v>840000</v>
      </c>
      <c r="N569" s="9">
        <f>Table1[[#This Row],[Cost Price]]*Table1[[#This Row],[Quantity]]</f>
        <v>672000</v>
      </c>
      <c r="O569" s="9">
        <f>Table1[[#This Row],[Revenue]]-Table1[[#This Row],[COGS]]</f>
        <v>168000</v>
      </c>
      <c r="P569" s="6">
        <v>568</v>
      </c>
    </row>
    <row r="570" spans="1:16">
      <c r="A570" s="7" t="s">
        <v>168</v>
      </c>
      <c r="B570" s="7" t="str">
        <f>TEXT(Table1[[#This Row],[Date]],"MMM")</f>
        <v>Apr</v>
      </c>
      <c r="C570" t="s">
        <v>44</v>
      </c>
      <c r="D570" t="s">
        <v>36</v>
      </c>
      <c r="E570" t="s">
        <v>41</v>
      </c>
      <c r="F570" t="s">
        <v>30</v>
      </c>
      <c r="G570" t="s">
        <v>62</v>
      </c>
      <c r="H570" t="s">
        <v>51</v>
      </c>
      <c r="I570" s="9">
        <v>150000</v>
      </c>
      <c r="J570">
        <v>2</v>
      </c>
      <c r="K570" t="s">
        <v>42</v>
      </c>
      <c r="L570" s="9">
        <f t="shared" si="8"/>
        <v>120000</v>
      </c>
      <c r="M570" s="9">
        <f>Table1[[#This Row],[Unit Price]]*Table1[[#This Row],[Quantity]]</f>
        <v>300000</v>
      </c>
      <c r="N570" s="9">
        <f>Table1[[#This Row],[Cost Price]]*Table1[[#This Row],[Quantity]]</f>
        <v>240000</v>
      </c>
      <c r="O570" s="9">
        <f>Table1[[#This Row],[Revenue]]-Table1[[#This Row],[COGS]]</f>
        <v>60000</v>
      </c>
      <c r="P570" s="6">
        <v>569</v>
      </c>
    </row>
    <row r="571" spans="1:16">
      <c r="A571" s="7" t="s">
        <v>109</v>
      </c>
      <c r="B571" s="7" t="str">
        <f>TEXT(Table1[[#This Row],[Date]],"MMM")</f>
        <v>Mar</v>
      </c>
      <c r="C571" t="s">
        <v>49</v>
      </c>
      <c r="D571" t="s">
        <v>36</v>
      </c>
      <c r="E571" t="s">
        <v>29</v>
      </c>
      <c r="F571" t="s">
        <v>30</v>
      </c>
      <c r="G571" t="s">
        <v>73</v>
      </c>
      <c r="H571" t="s">
        <v>39</v>
      </c>
      <c r="I571" s="9">
        <v>220000</v>
      </c>
      <c r="J571">
        <v>8</v>
      </c>
      <c r="K571" t="s">
        <v>69</v>
      </c>
      <c r="L571" s="9">
        <f t="shared" si="8"/>
        <v>176000</v>
      </c>
      <c r="M571" s="9">
        <f>Table1[[#This Row],[Unit Price]]*Table1[[#This Row],[Quantity]]</f>
        <v>1760000</v>
      </c>
      <c r="N571" s="9">
        <f>Table1[[#This Row],[Cost Price]]*Table1[[#This Row],[Quantity]]</f>
        <v>1408000</v>
      </c>
      <c r="O571" s="9">
        <f>Table1[[#This Row],[Revenue]]-Table1[[#This Row],[COGS]]</f>
        <v>352000</v>
      </c>
      <c r="P571" s="6">
        <v>570</v>
      </c>
    </row>
    <row r="572" spans="1:16">
      <c r="A572" s="7" t="s">
        <v>156</v>
      </c>
      <c r="B572" s="7" t="str">
        <f>TEXT(Table1[[#This Row],[Date]],"MMM")</f>
        <v>Feb</v>
      </c>
      <c r="C572" t="s">
        <v>35</v>
      </c>
      <c r="D572" t="s">
        <v>28</v>
      </c>
      <c r="E572" t="s">
        <v>29</v>
      </c>
      <c r="F572" t="s">
        <v>37</v>
      </c>
      <c r="G572" t="s">
        <v>62</v>
      </c>
      <c r="H572" t="s">
        <v>51</v>
      </c>
      <c r="I572" s="9">
        <v>150000</v>
      </c>
      <c r="J572">
        <v>2</v>
      </c>
      <c r="K572" t="s">
        <v>47</v>
      </c>
      <c r="L572" s="9">
        <f t="shared" si="8"/>
        <v>120000</v>
      </c>
      <c r="M572" s="9">
        <f>Table1[[#This Row],[Unit Price]]*Table1[[#This Row],[Quantity]]</f>
        <v>300000</v>
      </c>
      <c r="N572" s="9">
        <f>Table1[[#This Row],[Cost Price]]*Table1[[#This Row],[Quantity]]</f>
        <v>240000</v>
      </c>
      <c r="O572" s="9">
        <f>Table1[[#This Row],[Revenue]]-Table1[[#This Row],[COGS]]</f>
        <v>60000</v>
      </c>
      <c r="P572" s="6">
        <v>571</v>
      </c>
    </row>
    <row r="573" spans="1:16">
      <c r="A573" s="7" t="s">
        <v>172</v>
      </c>
      <c r="B573" s="7" t="str">
        <f>TEXT(Table1[[#This Row],[Date]],"MMM")</f>
        <v>Mar</v>
      </c>
      <c r="C573" t="s">
        <v>35</v>
      </c>
      <c r="D573" t="s">
        <v>36</v>
      </c>
      <c r="E573" t="s">
        <v>41</v>
      </c>
      <c r="F573" t="s">
        <v>30</v>
      </c>
      <c r="G573" t="s">
        <v>38</v>
      </c>
      <c r="H573" t="s">
        <v>39</v>
      </c>
      <c r="I573" s="9">
        <v>30000</v>
      </c>
      <c r="J573">
        <v>1</v>
      </c>
      <c r="K573" t="s">
        <v>58</v>
      </c>
      <c r="L573" s="9">
        <f t="shared" si="8"/>
        <v>24000</v>
      </c>
      <c r="M573" s="9">
        <f>Table1[[#This Row],[Unit Price]]*Table1[[#This Row],[Quantity]]</f>
        <v>30000</v>
      </c>
      <c r="N573" s="9">
        <f>Table1[[#This Row],[Cost Price]]*Table1[[#This Row],[Quantity]]</f>
        <v>24000</v>
      </c>
      <c r="O573" s="9">
        <f>Table1[[#This Row],[Revenue]]-Table1[[#This Row],[COGS]]</f>
        <v>6000</v>
      </c>
      <c r="P573" s="6">
        <v>572</v>
      </c>
    </row>
    <row r="574" spans="1:16">
      <c r="A574" s="7" t="s">
        <v>43</v>
      </c>
      <c r="B574" s="7" t="str">
        <f>TEXT(Table1[[#This Row],[Date]],"MMM")</f>
        <v>Apr</v>
      </c>
      <c r="C574" t="s">
        <v>35</v>
      </c>
      <c r="D574" t="s">
        <v>28</v>
      </c>
      <c r="E574" t="s">
        <v>29</v>
      </c>
      <c r="F574" t="s">
        <v>37</v>
      </c>
      <c r="G574" t="s">
        <v>54</v>
      </c>
      <c r="H574" t="s">
        <v>39</v>
      </c>
      <c r="I574" s="9">
        <v>180000</v>
      </c>
      <c r="J574">
        <v>5</v>
      </c>
      <c r="K574" t="s">
        <v>33</v>
      </c>
      <c r="L574" s="9">
        <f t="shared" si="8"/>
        <v>144000</v>
      </c>
      <c r="M574" s="9">
        <f>Table1[[#This Row],[Unit Price]]*Table1[[#This Row],[Quantity]]</f>
        <v>900000</v>
      </c>
      <c r="N574" s="9">
        <f>Table1[[#This Row],[Cost Price]]*Table1[[#This Row],[Quantity]]</f>
        <v>720000</v>
      </c>
      <c r="O574" s="9">
        <f>Table1[[#This Row],[Revenue]]-Table1[[#This Row],[COGS]]</f>
        <v>180000</v>
      </c>
      <c r="P574" s="6">
        <v>573</v>
      </c>
    </row>
    <row r="575" spans="1:16">
      <c r="A575" s="7" t="s">
        <v>64</v>
      </c>
      <c r="B575" s="7" t="str">
        <f>TEXT(Table1[[#This Row],[Date]],"MMM")</f>
        <v>Apr</v>
      </c>
      <c r="C575" t="s">
        <v>27</v>
      </c>
      <c r="D575" t="s">
        <v>45</v>
      </c>
      <c r="E575" t="s">
        <v>41</v>
      </c>
      <c r="F575" t="s">
        <v>37</v>
      </c>
      <c r="G575" t="s">
        <v>62</v>
      </c>
      <c r="H575" t="s">
        <v>51</v>
      </c>
      <c r="I575" s="9">
        <v>150000</v>
      </c>
      <c r="J575">
        <v>9</v>
      </c>
      <c r="K575" t="s">
        <v>65</v>
      </c>
      <c r="L575" s="9">
        <f t="shared" si="8"/>
        <v>120000</v>
      </c>
      <c r="M575" s="9">
        <f>Table1[[#This Row],[Unit Price]]*Table1[[#This Row],[Quantity]]</f>
        <v>1350000</v>
      </c>
      <c r="N575" s="9">
        <f>Table1[[#This Row],[Cost Price]]*Table1[[#This Row],[Quantity]]</f>
        <v>1080000</v>
      </c>
      <c r="O575" s="9">
        <f>Table1[[#This Row],[Revenue]]-Table1[[#This Row],[COGS]]</f>
        <v>270000</v>
      </c>
      <c r="P575" s="6">
        <v>574</v>
      </c>
    </row>
    <row r="576" spans="1:16">
      <c r="A576" s="7" t="s">
        <v>79</v>
      </c>
      <c r="B576" s="7" t="str">
        <f>TEXT(Table1[[#This Row],[Date]],"MMM")</f>
        <v>Feb</v>
      </c>
      <c r="C576" t="s">
        <v>44</v>
      </c>
      <c r="D576" t="s">
        <v>36</v>
      </c>
      <c r="E576" t="s">
        <v>41</v>
      </c>
      <c r="F576" t="s">
        <v>37</v>
      </c>
      <c r="G576" t="s">
        <v>62</v>
      </c>
      <c r="H576" t="s">
        <v>51</v>
      </c>
      <c r="I576" s="9">
        <v>150000</v>
      </c>
      <c r="J576">
        <v>5</v>
      </c>
      <c r="K576" t="s">
        <v>65</v>
      </c>
      <c r="L576" s="9">
        <f t="shared" si="8"/>
        <v>120000</v>
      </c>
      <c r="M576" s="9">
        <f>Table1[[#This Row],[Unit Price]]*Table1[[#This Row],[Quantity]]</f>
        <v>750000</v>
      </c>
      <c r="N576" s="9">
        <f>Table1[[#This Row],[Cost Price]]*Table1[[#This Row],[Quantity]]</f>
        <v>600000</v>
      </c>
      <c r="O576" s="9">
        <f>Table1[[#This Row],[Revenue]]-Table1[[#This Row],[COGS]]</f>
        <v>150000</v>
      </c>
      <c r="P576" s="6">
        <v>575</v>
      </c>
    </row>
    <row r="577" spans="1:16">
      <c r="A577" s="7" t="s">
        <v>137</v>
      </c>
      <c r="B577" s="7" t="str">
        <f>TEXT(Table1[[#This Row],[Date]],"MMM")</f>
        <v>Apr</v>
      </c>
      <c r="C577" t="s">
        <v>44</v>
      </c>
      <c r="D577" t="s">
        <v>28</v>
      </c>
      <c r="E577" t="s">
        <v>29</v>
      </c>
      <c r="F577" t="s">
        <v>30</v>
      </c>
      <c r="G577" t="s">
        <v>73</v>
      </c>
      <c r="H577" t="s">
        <v>39</v>
      </c>
      <c r="I577" s="9">
        <v>220000</v>
      </c>
      <c r="J577">
        <v>4</v>
      </c>
      <c r="K577" t="s">
        <v>69</v>
      </c>
      <c r="L577" s="9">
        <f t="shared" si="8"/>
        <v>176000</v>
      </c>
      <c r="M577" s="9">
        <f>Table1[[#This Row],[Unit Price]]*Table1[[#This Row],[Quantity]]</f>
        <v>880000</v>
      </c>
      <c r="N577" s="9">
        <f>Table1[[#This Row],[Cost Price]]*Table1[[#This Row],[Quantity]]</f>
        <v>704000</v>
      </c>
      <c r="O577" s="9">
        <f>Table1[[#This Row],[Revenue]]-Table1[[#This Row],[COGS]]</f>
        <v>176000</v>
      </c>
      <c r="P577" s="6">
        <v>576</v>
      </c>
    </row>
    <row r="578" spans="1:16">
      <c r="A578" s="7" t="s">
        <v>133</v>
      </c>
      <c r="B578" s="7" t="str">
        <f>TEXT(Table1[[#This Row],[Date]],"MMM")</f>
        <v>Jan</v>
      </c>
      <c r="C578" t="s">
        <v>27</v>
      </c>
      <c r="D578" t="s">
        <v>45</v>
      </c>
      <c r="E578" t="s">
        <v>29</v>
      </c>
      <c r="F578" t="s">
        <v>30</v>
      </c>
      <c r="G578" t="s">
        <v>56</v>
      </c>
      <c r="H578" t="s">
        <v>32</v>
      </c>
      <c r="I578" s="9">
        <v>320000</v>
      </c>
      <c r="J578">
        <v>4</v>
      </c>
      <c r="K578" t="s">
        <v>33</v>
      </c>
      <c r="L578" s="9">
        <f t="shared" ref="L578:L641" si="9">I578-I578*0.2</f>
        <v>256000</v>
      </c>
      <c r="M578" s="9">
        <f>Table1[[#This Row],[Unit Price]]*Table1[[#This Row],[Quantity]]</f>
        <v>1280000</v>
      </c>
      <c r="N578" s="9">
        <f>Table1[[#This Row],[Cost Price]]*Table1[[#This Row],[Quantity]]</f>
        <v>1024000</v>
      </c>
      <c r="O578" s="9">
        <f>Table1[[#This Row],[Revenue]]-Table1[[#This Row],[COGS]]</f>
        <v>256000</v>
      </c>
      <c r="P578" s="6">
        <v>577</v>
      </c>
    </row>
    <row r="579" spans="1:16">
      <c r="A579" s="7" t="s">
        <v>103</v>
      </c>
      <c r="B579" s="7" t="str">
        <f>TEXT(Table1[[#This Row],[Date]],"MMM")</f>
        <v>Mar</v>
      </c>
      <c r="C579" t="s">
        <v>27</v>
      </c>
      <c r="D579" t="s">
        <v>53</v>
      </c>
      <c r="E579" t="s">
        <v>41</v>
      </c>
      <c r="F579" t="s">
        <v>37</v>
      </c>
      <c r="G579" t="s">
        <v>56</v>
      </c>
      <c r="H579" t="s">
        <v>32</v>
      </c>
      <c r="I579" s="9">
        <v>320000</v>
      </c>
      <c r="J579">
        <v>8</v>
      </c>
      <c r="K579" t="s">
        <v>33</v>
      </c>
      <c r="L579" s="9">
        <f t="shared" si="9"/>
        <v>256000</v>
      </c>
      <c r="M579" s="9">
        <f>Table1[[#This Row],[Unit Price]]*Table1[[#This Row],[Quantity]]</f>
        <v>2560000</v>
      </c>
      <c r="N579" s="9">
        <f>Table1[[#This Row],[Cost Price]]*Table1[[#This Row],[Quantity]]</f>
        <v>2048000</v>
      </c>
      <c r="O579" s="9">
        <f>Table1[[#This Row],[Revenue]]-Table1[[#This Row],[COGS]]</f>
        <v>512000</v>
      </c>
      <c r="P579" s="6">
        <v>578</v>
      </c>
    </row>
    <row r="580" spans="1:16">
      <c r="A580" s="7" t="s">
        <v>167</v>
      </c>
      <c r="B580" s="7" t="str">
        <f>TEXT(Table1[[#This Row],[Date]],"MMM")</f>
        <v>Apr</v>
      </c>
      <c r="C580" t="s">
        <v>49</v>
      </c>
      <c r="D580" t="s">
        <v>53</v>
      </c>
      <c r="E580" t="s">
        <v>29</v>
      </c>
      <c r="F580" t="s">
        <v>30</v>
      </c>
      <c r="G580" t="s">
        <v>46</v>
      </c>
      <c r="H580" t="s">
        <v>39</v>
      </c>
      <c r="I580" s="9">
        <v>60000</v>
      </c>
      <c r="J580">
        <v>9</v>
      </c>
      <c r="K580" t="s">
        <v>33</v>
      </c>
      <c r="L580" s="9">
        <f t="shared" si="9"/>
        <v>48000</v>
      </c>
      <c r="M580" s="9">
        <f>Table1[[#This Row],[Unit Price]]*Table1[[#This Row],[Quantity]]</f>
        <v>540000</v>
      </c>
      <c r="N580" s="9">
        <f>Table1[[#This Row],[Cost Price]]*Table1[[#This Row],[Quantity]]</f>
        <v>432000</v>
      </c>
      <c r="O580" s="9">
        <f>Table1[[#This Row],[Revenue]]-Table1[[#This Row],[COGS]]</f>
        <v>108000</v>
      </c>
      <c r="P580" s="6">
        <v>579</v>
      </c>
    </row>
    <row r="581" spans="1:16">
      <c r="A581" s="7" t="s">
        <v>103</v>
      </c>
      <c r="B581" s="7" t="str">
        <f>TEXT(Table1[[#This Row],[Date]],"MMM")</f>
        <v>Mar</v>
      </c>
      <c r="C581" t="s">
        <v>35</v>
      </c>
      <c r="D581" t="s">
        <v>36</v>
      </c>
      <c r="E581" t="s">
        <v>29</v>
      </c>
      <c r="F581" t="s">
        <v>37</v>
      </c>
      <c r="G581" t="s">
        <v>50</v>
      </c>
      <c r="H581" t="s">
        <v>51</v>
      </c>
      <c r="I581" s="9">
        <v>300000</v>
      </c>
      <c r="J581">
        <v>10</v>
      </c>
      <c r="K581" t="s">
        <v>33</v>
      </c>
      <c r="L581" s="9">
        <f t="shared" si="9"/>
        <v>240000</v>
      </c>
      <c r="M581" s="9">
        <f>Table1[[#This Row],[Unit Price]]*Table1[[#This Row],[Quantity]]</f>
        <v>3000000</v>
      </c>
      <c r="N581" s="9">
        <f>Table1[[#This Row],[Cost Price]]*Table1[[#This Row],[Quantity]]</f>
        <v>2400000</v>
      </c>
      <c r="O581" s="9">
        <f>Table1[[#This Row],[Revenue]]-Table1[[#This Row],[COGS]]</f>
        <v>600000</v>
      </c>
      <c r="P581" s="6">
        <v>580</v>
      </c>
    </row>
    <row r="582" spans="1:16">
      <c r="A582" s="7" t="s">
        <v>172</v>
      </c>
      <c r="B582" s="7" t="str">
        <f>TEXT(Table1[[#This Row],[Date]],"MMM")</f>
        <v>Mar</v>
      </c>
      <c r="C582" t="s">
        <v>49</v>
      </c>
      <c r="D582" t="s">
        <v>36</v>
      </c>
      <c r="E582" t="s">
        <v>41</v>
      </c>
      <c r="F582" t="s">
        <v>30</v>
      </c>
      <c r="G582" t="s">
        <v>62</v>
      </c>
      <c r="H582" t="s">
        <v>51</v>
      </c>
      <c r="I582" s="9">
        <v>150000</v>
      </c>
      <c r="J582">
        <v>6</v>
      </c>
      <c r="K582" t="s">
        <v>58</v>
      </c>
      <c r="L582" s="9">
        <f t="shared" si="9"/>
        <v>120000</v>
      </c>
      <c r="M582" s="9">
        <f>Table1[[#This Row],[Unit Price]]*Table1[[#This Row],[Quantity]]</f>
        <v>900000</v>
      </c>
      <c r="N582" s="9">
        <f>Table1[[#This Row],[Cost Price]]*Table1[[#This Row],[Quantity]]</f>
        <v>720000</v>
      </c>
      <c r="O582" s="9">
        <f>Table1[[#This Row],[Revenue]]-Table1[[#This Row],[COGS]]</f>
        <v>180000</v>
      </c>
      <c r="P582" s="6">
        <v>581</v>
      </c>
    </row>
    <row r="583" spans="1:16">
      <c r="A583" s="7" t="s">
        <v>76</v>
      </c>
      <c r="B583" s="7" t="str">
        <f>TEXT(Table1[[#This Row],[Date]],"MMM")</f>
        <v>May</v>
      </c>
      <c r="C583" t="s">
        <v>44</v>
      </c>
      <c r="D583" t="s">
        <v>45</v>
      </c>
      <c r="E583" t="s">
        <v>41</v>
      </c>
      <c r="F583" t="s">
        <v>30</v>
      </c>
      <c r="G583" t="s">
        <v>54</v>
      </c>
      <c r="H583" t="s">
        <v>39</v>
      </c>
      <c r="I583" s="9">
        <v>180000</v>
      </c>
      <c r="J583">
        <v>8</v>
      </c>
      <c r="K583" t="s">
        <v>65</v>
      </c>
      <c r="L583" s="9">
        <f t="shared" si="9"/>
        <v>144000</v>
      </c>
      <c r="M583" s="9">
        <f>Table1[[#This Row],[Unit Price]]*Table1[[#This Row],[Quantity]]</f>
        <v>1440000</v>
      </c>
      <c r="N583" s="9">
        <f>Table1[[#This Row],[Cost Price]]*Table1[[#This Row],[Quantity]]</f>
        <v>1152000</v>
      </c>
      <c r="O583" s="9">
        <f>Table1[[#This Row],[Revenue]]-Table1[[#This Row],[COGS]]</f>
        <v>288000</v>
      </c>
      <c r="P583" s="6">
        <v>582</v>
      </c>
    </row>
    <row r="584" spans="1:16">
      <c r="A584" s="7" t="s">
        <v>174</v>
      </c>
      <c r="B584" s="7" t="str">
        <f>TEXT(Table1[[#This Row],[Date]],"MMM")</f>
        <v>Feb</v>
      </c>
      <c r="C584" t="s">
        <v>35</v>
      </c>
      <c r="D584" t="s">
        <v>28</v>
      </c>
      <c r="E584" t="s">
        <v>29</v>
      </c>
      <c r="F584" t="s">
        <v>30</v>
      </c>
      <c r="G584" t="s">
        <v>46</v>
      </c>
      <c r="H584" t="s">
        <v>39</v>
      </c>
      <c r="I584" s="9">
        <v>60000</v>
      </c>
      <c r="J584">
        <v>7</v>
      </c>
      <c r="K584" t="s">
        <v>69</v>
      </c>
      <c r="L584" s="9">
        <f t="shared" si="9"/>
        <v>48000</v>
      </c>
      <c r="M584" s="9">
        <f>Table1[[#This Row],[Unit Price]]*Table1[[#This Row],[Quantity]]</f>
        <v>420000</v>
      </c>
      <c r="N584" s="9">
        <f>Table1[[#This Row],[Cost Price]]*Table1[[#This Row],[Quantity]]</f>
        <v>336000</v>
      </c>
      <c r="O584" s="9">
        <f>Table1[[#This Row],[Revenue]]-Table1[[#This Row],[COGS]]</f>
        <v>84000</v>
      </c>
      <c r="P584" s="6">
        <v>583</v>
      </c>
    </row>
    <row r="585" spans="1:16">
      <c r="A585" s="7" t="s">
        <v>82</v>
      </c>
      <c r="B585" s="7" t="str">
        <f>TEXT(Table1[[#This Row],[Date]],"MMM")</f>
        <v>Mar</v>
      </c>
      <c r="C585" t="s">
        <v>35</v>
      </c>
      <c r="D585" t="s">
        <v>36</v>
      </c>
      <c r="E585" t="s">
        <v>29</v>
      </c>
      <c r="F585" t="s">
        <v>37</v>
      </c>
      <c r="G585" t="s">
        <v>62</v>
      </c>
      <c r="H585" t="s">
        <v>51</v>
      </c>
      <c r="I585" s="9">
        <v>150000</v>
      </c>
      <c r="J585">
        <v>9</v>
      </c>
      <c r="K585" t="s">
        <v>33</v>
      </c>
      <c r="L585" s="9">
        <f t="shared" si="9"/>
        <v>120000</v>
      </c>
      <c r="M585" s="9">
        <f>Table1[[#This Row],[Unit Price]]*Table1[[#This Row],[Quantity]]</f>
        <v>1350000</v>
      </c>
      <c r="N585" s="9">
        <f>Table1[[#This Row],[Cost Price]]*Table1[[#This Row],[Quantity]]</f>
        <v>1080000</v>
      </c>
      <c r="O585" s="9">
        <f>Table1[[#This Row],[Revenue]]-Table1[[#This Row],[COGS]]</f>
        <v>270000</v>
      </c>
      <c r="P585" s="6">
        <v>584</v>
      </c>
    </row>
    <row r="586" spans="1:16">
      <c r="A586" s="7" t="s">
        <v>162</v>
      </c>
      <c r="B586" s="7" t="str">
        <f>TEXT(Table1[[#This Row],[Date]],"MMM")</f>
        <v>Apr</v>
      </c>
      <c r="C586" t="s">
        <v>35</v>
      </c>
      <c r="D586" t="s">
        <v>36</v>
      </c>
      <c r="E586" t="s">
        <v>29</v>
      </c>
      <c r="F586" t="s">
        <v>37</v>
      </c>
      <c r="G586" t="s">
        <v>54</v>
      </c>
      <c r="H586" t="s">
        <v>39</v>
      </c>
      <c r="I586" s="9">
        <v>180000</v>
      </c>
      <c r="J586">
        <v>4</v>
      </c>
      <c r="K586" t="s">
        <v>58</v>
      </c>
      <c r="L586" s="9">
        <f t="shared" si="9"/>
        <v>144000</v>
      </c>
      <c r="M586" s="9">
        <f>Table1[[#This Row],[Unit Price]]*Table1[[#This Row],[Quantity]]</f>
        <v>720000</v>
      </c>
      <c r="N586" s="9">
        <f>Table1[[#This Row],[Cost Price]]*Table1[[#This Row],[Quantity]]</f>
        <v>576000</v>
      </c>
      <c r="O586" s="9">
        <f>Table1[[#This Row],[Revenue]]-Table1[[#This Row],[COGS]]</f>
        <v>144000</v>
      </c>
      <c r="P586" s="6">
        <v>585</v>
      </c>
    </row>
    <row r="587" spans="1:16">
      <c r="A587" s="7" t="s">
        <v>100</v>
      </c>
      <c r="B587" s="7" t="str">
        <f>TEXT(Table1[[#This Row],[Date]],"MMM")</f>
        <v>Jan</v>
      </c>
      <c r="C587" t="s">
        <v>27</v>
      </c>
      <c r="D587" t="s">
        <v>53</v>
      </c>
      <c r="E587" t="s">
        <v>29</v>
      </c>
      <c r="F587" t="s">
        <v>37</v>
      </c>
      <c r="G587" t="s">
        <v>54</v>
      </c>
      <c r="H587" t="s">
        <v>39</v>
      </c>
      <c r="I587" s="9">
        <v>180000</v>
      </c>
      <c r="J587">
        <v>1</v>
      </c>
      <c r="K587" t="s">
        <v>65</v>
      </c>
      <c r="L587" s="9">
        <f t="shared" si="9"/>
        <v>144000</v>
      </c>
      <c r="M587" s="9">
        <f>Table1[[#This Row],[Unit Price]]*Table1[[#This Row],[Quantity]]</f>
        <v>180000</v>
      </c>
      <c r="N587" s="9">
        <f>Table1[[#This Row],[Cost Price]]*Table1[[#This Row],[Quantity]]</f>
        <v>144000</v>
      </c>
      <c r="O587" s="9">
        <f>Table1[[#This Row],[Revenue]]-Table1[[#This Row],[COGS]]</f>
        <v>36000</v>
      </c>
      <c r="P587" s="6">
        <v>586</v>
      </c>
    </row>
    <row r="588" spans="1:16">
      <c r="A588" s="7" t="s">
        <v>142</v>
      </c>
      <c r="B588" s="7" t="str">
        <f>TEXT(Table1[[#This Row],[Date]],"MMM")</f>
        <v>Apr</v>
      </c>
      <c r="C588" t="s">
        <v>27</v>
      </c>
      <c r="D588" t="s">
        <v>28</v>
      </c>
      <c r="E588" t="s">
        <v>29</v>
      </c>
      <c r="F588" t="s">
        <v>30</v>
      </c>
      <c r="G588" t="s">
        <v>46</v>
      </c>
      <c r="H588" t="s">
        <v>39</v>
      </c>
      <c r="I588" s="9">
        <v>60000</v>
      </c>
      <c r="J588">
        <v>6</v>
      </c>
      <c r="K588" t="s">
        <v>65</v>
      </c>
      <c r="L588" s="9">
        <f t="shared" si="9"/>
        <v>48000</v>
      </c>
      <c r="M588" s="9">
        <f>Table1[[#This Row],[Unit Price]]*Table1[[#This Row],[Quantity]]</f>
        <v>360000</v>
      </c>
      <c r="N588" s="9">
        <f>Table1[[#This Row],[Cost Price]]*Table1[[#This Row],[Quantity]]</f>
        <v>288000</v>
      </c>
      <c r="O588" s="9">
        <f>Table1[[#This Row],[Revenue]]-Table1[[#This Row],[COGS]]</f>
        <v>72000</v>
      </c>
      <c r="P588" s="6">
        <v>587</v>
      </c>
    </row>
    <row r="589" spans="1:16">
      <c r="A589" s="7" t="s">
        <v>72</v>
      </c>
      <c r="B589" s="7" t="str">
        <f>TEXT(Table1[[#This Row],[Date]],"MMM")</f>
        <v>Feb</v>
      </c>
      <c r="C589" t="s">
        <v>35</v>
      </c>
      <c r="D589" t="s">
        <v>45</v>
      </c>
      <c r="E589" t="s">
        <v>41</v>
      </c>
      <c r="F589" t="s">
        <v>37</v>
      </c>
      <c r="G589" t="s">
        <v>56</v>
      </c>
      <c r="H589" t="s">
        <v>32</v>
      </c>
      <c r="I589" s="9">
        <v>320000</v>
      </c>
      <c r="J589">
        <v>8</v>
      </c>
      <c r="K589" t="s">
        <v>58</v>
      </c>
      <c r="L589" s="9">
        <f t="shared" si="9"/>
        <v>256000</v>
      </c>
      <c r="M589" s="9">
        <f>Table1[[#This Row],[Unit Price]]*Table1[[#This Row],[Quantity]]</f>
        <v>2560000</v>
      </c>
      <c r="N589" s="9">
        <f>Table1[[#This Row],[Cost Price]]*Table1[[#This Row],[Quantity]]</f>
        <v>2048000</v>
      </c>
      <c r="O589" s="9">
        <f>Table1[[#This Row],[Revenue]]-Table1[[#This Row],[COGS]]</f>
        <v>512000</v>
      </c>
      <c r="P589" s="6">
        <v>588</v>
      </c>
    </row>
    <row r="590" spans="1:16">
      <c r="A590" s="7" t="s">
        <v>101</v>
      </c>
      <c r="B590" s="7" t="str">
        <f>TEXT(Table1[[#This Row],[Date]],"MMM")</f>
        <v>Jan</v>
      </c>
      <c r="C590" t="s">
        <v>35</v>
      </c>
      <c r="D590" t="s">
        <v>45</v>
      </c>
      <c r="E590" t="s">
        <v>29</v>
      </c>
      <c r="F590" t="s">
        <v>30</v>
      </c>
      <c r="G590" t="s">
        <v>54</v>
      </c>
      <c r="H590" t="s">
        <v>39</v>
      </c>
      <c r="I590" s="9">
        <v>180000</v>
      </c>
      <c r="J590">
        <v>6</v>
      </c>
      <c r="K590" t="s">
        <v>65</v>
      </c>
      <c r="L590" s="9">
        <f t="shared" si="9"/>
        <v>144000</v>
      </c>
      <c r="M590" s="9">
        <f>Table1[[#This Row],[Unit Price]]*Table1[[#This Row],[Quantity]]</f>
        <v>1080000</v>
      </c>
      <c r="N590" s="9">
        <f>Table1[[#This Row],[Cost Price]]*Table1[[#This Row],[Quantity]]</f>
        <v>864000</v>
      </c>
      <c r="O590" s="9">
        <f>Table1[[#This Row],[Revenue]]-Table1[[#This Row],[COGS]]</f>
        <v>216000</v>
      </c>
      <c r="P590" s="6">
        <v>589</v>
      </c>
    </row>
    <row r="591" spans="1:16">
      <c r="A591" s="7" t="s">
        <v>151</v>
      </c>
      <c r="B591" s="7" t="str">
        <f>TEXT(Table1[[#This Row],[Date]],"MMM")</f>
        <v>Feb</v>
      </c>
      <c r="C591" t="s">
        <v>44</v>
      </c>
      <c r="D591" t="s">
        <v>36</v>
      </c>
      <c r="E591" t="s">
        <v>41</v>
      </c>
      <c r="F591" t="s">
        <v>30</v>
      </c>
      <c r="G591" t="s">
        <v>46</v>
      </c>
      <c r="H591" t="s">
        <v>39</v>
      </c>
      <c r="I591" s="9">
        <v>60000</v>
      </c>
      <c r="J591">
        <v>8</v>
      </c>
      <c r="K591" t="s">
        <v>42</v>
      </c>
      <c r="L591" s="9">
        <f t="shared" si="9"/>
        <v>48000</v>
      </c>
      <c r="M591" s="9">
        <f>Table1[[#This Row],[Unit Price]]*Table1[[#This Row],[Quantity]]</f>
        <v>480000</v>
      </c>
      <c r="N591" s="9">
        <f>Table1[[#This Row],[Cost Price]]*Table1[[#This Row],[Quantity]]</f>
        <v>384000</v>
      </c>
      <c r="O591" s="9">
        <f>Table1[[#This Row],[Revenue]]-Table1[[#This Row],[COGS]]</f>
        <v>96000</v>
      </c>
      <c r="P591" s="6">
        <v>590</v>
      </c>
    </row>
    <row r="592" spans="1:16">
      <c r="A592" s="7" t="s">
        <v>114</v>
      </c>
      <c r="B592" s="7" t="str">
        <f>TEXT(Table1[[#This Row],[Date]],"MMM")</f>
        <v>Apr</v>
      </c>
      <c r="C592" t="s">
        <v>35</v>
      </c>
      <c r="D592" t="s">
        <v>36</v>
      </c>
      <c r="E592" t="s">
        <v>41</v>
      </c>
      <c r="F592" t="s">
        <v>30</v>
      </c>
      <c r="G592" t="s">
        <v>67</v>
      </c>
      <c r="H592" t="s">
        <v>51</v>
      </c>
      <c r="I592" s="9">
        <v>420000</v>
      </c>
      <c r="J592">
        <v>3</v>
      </c>
      <c r="K592" t="s">
        <v>33</v>
      </c>
      <c r="L592" s="9">
        <f t="shared" si="9"/>
        <v>336000</v>
      </c>
      <c r="M592" s="9">
        <f>Table1[[#This Row],[Unit Price]]*Table1[[#This Row],[Quantity]]</f>
        <v>1260000</v>
      </c>
      <c r="N592" s="9">
        <f>Table1[[#This Row],[Cost Price]]*Table1[[#This Row],[Quantity]]</f>
        <v>1008000</v>
      </c>
      <c r="O592" s="9">
        <f>Table1[[#This Row],[Revenue]]-Table1[[#This Row],[COGS]]</f>
        <v>252000</v>
      </c>
      <c r="P592" s="6">
        <v>591</v>
      </c>
    </row>
    <row r="593" spans="1:16">
      <c r="A593" s="7" t="s">
        <v>166</v>
      </c>
      <c r="B593" s="7" t="str">
        <f>TEXT(Table1[[#This Row],[Date]],"MMM")</f>
        <v>Jan</v>
      </c>
      <c r="C593" t="s">
        <v>44</v>
      </c>
      <c r="D593" t="s">
        <v>45</v>
      </c>
      <c r="E593" t="s">
        <v>41</v>
      </c>
      <c r="F593" t="s">
        <v>30</v>
      </c>
      <c r="G593" t="s">
        <v>73</v>
      </c>
      <c r="H593" t="s">
        <v>39</v>
      </c>
      <c r="I593" s="9">
        <v>220000</v>
      </c>
      <c r="J593">
        <v>5</v>
      </c>
      <c r="K593" t="s">
        <v>42</v>
      </c>
      <c r="L593" s="9">
        <f t="shared" si="9"/>
        <v>176000</v>
      </c>
      <c r="M593" s="9">
        <f>Table1[[#This Row],[Unit Price]]*Table1[[#This Row],[Quantity]]</f>
        <v>1100000</v>
      </c>
      <c r="N593" s="9">
        <f>Table1[[#This Row],[Cost Price]]*Table1[[#This Row],[Quantity]]</f>
        <v>880000</v>
      </c>
      <c r="O593" s="9">
        <f>Table1[[#This Row],[Revenue]]-Table1[[#This Row],[COGS]]</f>
        <v>220000</v>
      </c>
      <c r="P593" s="6">
        <v>592</v>
      </c>
    </row>
    <row r="594" spans="1:16">
      <c r="A594" s="7" t="s">
        <v>105</v>
      </c>
      <c r="B594" s="7" t="str">
        <f>TEXT(Table1[[#This Row],[Date]],"MMM")</f>
        <v>Mar</v>
      </c>
      <c r="C594" t="s">
        <v>27</v>
      </c>
      <c r="D594" t="s">
        <v>53</v>
      </c>
      <c r="E594" t="s">
        <v>29</v>
      </c>
      <c r="F594" t="s">
        <v>30</v>
      </c>
      <c r="G594" t="s">
        <v>46</v>
      </c>
      <c r="H594" t="s">
        <v>39</v>
      </c>
      <c r="I594" s="9">
        <v>60000</v>
      </c>
      <c r="J594">
        <v>6</v>
      </c>
      <c r="K594" t="s">
        <v>33</v>
      </c>
      <c r="L594" s="9">
        <f t="shared" si="9"/>
        <v>48000</v>
      </c>
      <c r="M594" s="9">
        <f>Table1[[#This Row],[Unit Price]]*Table1[[#This Row],[Quantity]]</f>
        <v>360000</v>
      </c>
      <c r="N594" s="9">
        <f>Table1[[#This Row],[Cost Price]]*Table1[[#This Row],[Quantity]]</f>
        <v>288000</v>
      </c>
      <c r="O594" s="9">
        <f>Table1[[#This Row],[Revenue]]-Table1[[#This Row],[COGS]]</f>
        <v>72000</v>
      </c>
      <c r="P594" s="6">
        <v>593</v>
      </c>
    </row>
    <row r="595" spans="1:16">
      <c r="A595" s="7" t="s">
        <v>143</v>
      </c>
      <c r="B595" s="7" t="str">
        <f>TEXT(Table1[[#This Row],[Date]],"MMM")</f>
        <v>Apr</v>
      </c>
      <c r="C595" t="s">
        <v>27</v>
      </c>
      <c r="D595" t="s">
        <v>53</v>
      </c>
      <c r="E595" t="s">
        <v>29</v>
      </c>
      <c r="F595" t="s">
        <v>37</v>
      </c>
      <c r="G595" t="s">
        <v>46</v>
      </c>
      <c r="H595" t="s">
        <v>39</v>
      </c>
      <c r="I595" s="9">
        <v>60000</v>
      </c>
      <c r="J595">
        <v>8</v>
      </c>
      <c r="K595" t="s">
        <v>69</v>
      </c>
      <c r="L595" s="9">
        <f t="shared" si="9"/>
        <v>48000</v>
      </c>
      <c r="M595" s="9">
        <f>Table1[[#This Row],[Unit Price]]*Table1[[#This Row],[Quantity]]</f>
        <v>480000</v>
      </c>
      <c r="N595" s="9">
        <f>Table1[[#This Row],[Cost Price]]*Table1[[#This Row],[Quantity]]</f>
        <v>384000</v>
      </c>
      <c r="O595" s="9">
        <f>Table1[[#This Row],[Revenue]]-Table1[[#This Row],[COGS]]</f>
        <v>96000</v>
      </c>
      <c r="P595" s="6">
        <v>594</v>
      </c>
    </row>
    <row r="596" spans="1:16">
      <c r="A596" s="7" t="s">
        <v>84</v>
      </c>
      <c r="B596" s="7" t="str">
        <f>TEXT(Table1[[#This Row],[Date]],"MMM")</f>
        <v>Jan</v>
      </c>
      <c r="C596" t="s">
        <v>27</v>
      </c>
      <c r="D596" t="s">
        <v>36</v>
      </c>
      <c r="E596" t="s">
        <v>41</v>
      </c>
      <c r="F596" t="s">
        <v>30</v>
      </c>
      <c r="G596" t="s">
        <v>38</v>
      </c>
      <c r="H596" t="s">
        <v>39</v>
      </c>
      <c r="I596" s="9">
        <v>30000</v>
      </c>
      <c r="J596">
        <v>2</v>
      </c>
      <c r="K596" t="s">
        <v>33</v>
      </c>
      <c r="L596" s="9">
        <f t="shared" si="9"/>
        <v>24000</v>
      </c>
      <c r="M596" s="9">
        <f>Table1[[#This Row],[Unit Price]]*Table1[[#This Row],[Quantity]]</f>
        <v>60000</v>
      </c>
      <c r="N596" s="9">
        <f>Table1[[#This Row],[Cost Price]]*Table1[[#This Row],[Quantity]]</f>
        <v>48000</v>
      </c>
      <c r="O596" s="9">
        <f>Table1[[#This Row],[Revenue]]-Table1[[#This Row],[COGS]]</f>
        <v>12000</v>
      </c>
      <c r="P596" s="6">
        <v>595</v>
      </c>
    </row>
    <row r="597" spans="1:16">
      <c r="A597" s="7" t="s">
        <v>82</v>
      </c>
      <c r="B597" s="7" t="str">
        <f>TEXT(Table1[[#This Row],[Date]],"MMM")</f>
        <v>Mar</v>
      </c>
      <c r="C597" t="s">
        <v>35</v>
      </c>
      <c r="D597" t="s">
        <v>28</v>
      </c>
      <c r="E597" t="s">
        <v>41</v>
      </c>
      <c r="F597" t="s">
        <v>37</v>
      </c>
      <c r="G597" t="s">
        <v>50</v>
      </c>
      <c r="H597" t="s">
        <v>51</v>
      </c>
      <c r="I597" s="9">
        <v>300000</v>
      </c>
      <c r="J597">
        <v>3</v>
      </c>
      <c r="K597" t="s">
        <v>58</v>
      </c>
      <c r="L597" s="9">
        <f t="shared" si="9"/>
        <v>240000</v>
      </c>
      <c r="M597" s="9">
        <f>Table1[[#This Row],[Unit Price]]*Table1[[#This Row],[Quantity]]</f>
        <v>900000</v>
      </c>
      <c r="N597" s="9">
        <f>Table1[[#This Row],[Cost Price]]*Table1[[#This Row],[Quantity]]</f>
        <v>720000</v>
      </c>
      <c r="O597" s="9">
        <f>Table1[[#This Row],[Revenue]]-Table1[[#This Row],[COGS]]</f>
        <v>180000</v>
      </c>
      <c r="P597" s="6">
        <v>596</v>
      </c>
    </row>
    <row r="598" spans="1:16">
      <c r="A598" s="7" t="s">
        <v>98</v>
      </c>
      <c r="B598" s="7" t="str">
        <f>TEXT(Table1[[#This Row],[Date]],"MMM")</f>
        <v>Jan</v>
      </c>
      <c r="C598" t="s">
        <v>49</v>
      </c>
      <c r="D598" t="s">
        <v>36</v>
      </c>
      <c r="E598" t="s">
        <v>41</v>
      </c>
      <c r="F598" t="s">
        <v>37</v>
      </c>
      <c r="G598" t="s">
        <v>71</v>
      </c>
      <c r="H598" t="s">
        <v>51</v>
      </c>
      <c r="I598" s="9">
        <v>250000</v>
      </c>
      <c r="J598">
        <v>3</v>
      </c>
      <c r="K598" t="s">
        <v>42</v>
      </c>
      <c r="L598" s="9">
        <f t="shared" si="9"/>
        <v>200000</v>
      </c>
      <c r="M598" s="9">
        <f>Table1[[#This Row],[Unit Price]]*Table1[[#This Row],[Quantity]]</f>
        <v>750000</v>
      </c>
      <c r="N598" s="9">
        <f>Table1[[#This Row],[Cost Price]]*Table1[[#This Row],[Quantity]]</f>
        <v>600000</v>
      </c>
      <c r="O598" s="9">
        <f>Table1[[#This Row],[Revenue]]-Table1[[#This Row],[COGS]]</f>
        <v>150000</v>
      </c>
      <c r="P598" s="6">
        <v>597</v>
      </c>
    </row>
    <row r="599" spans="1:16">
      <c r="A599" s="7" t="s">
        <v>113</v>
      </c>
      <c r="B599" s="7" t="str">
        <f>TEXT(Table1[[#This Row],[Date]],"MMM")</f>
        <v>Apr</v>
      </c>
      <c r="C599" t="s">
        <v>49</v>
      </c>
      <c r="D599" t="s">
        <v>36</v>
      </c>
      <c r="E599" t="s">
        <v>41</v>
      </c>
      <c r="F599" t="s">
        <v>37</v>
      </c>
      <c r="G599" t="s">
        <v>67</v>
      </c>
      <c r="H599" t="s">
        <v>51</v>
      </c>
      <c r="I599" s="9">
        <v>420000</v>
      </c>
      <c r="J599">
        <v>1</v>
      </c>
      <c r="K599" t="s">
        <v>42</v>
      </c>
      <c r="L599" s="9">
        <f t="shared" si="9"/>
        <v>336000</v>
      </c>
      <c r="M599" s="9">
        <f>Table1[[#This Row],[Unit Price]]*Table1[[#This Row],[Quantity]]</f>
        <v>420000</v>
      </c>
      <c r="N599" s="9">
        <f>Table1[[#This Row],[Cost Price]]*Table1[[#This Row],[Quantity]]</f>
        <v>336000</v>
      </c>
      <c r="O599" s="9">
        <f>Table1[[#This Row],[Revenue]]-Table1[[#This Row],[COGS]]</f>
        <v>84000</v>
      </c>
      <c r="P599" s="6">
        <v>598</v>
      </c>
    </row>
    <row r="600" spans="1:16">
      <c r="A600" s="7" t="s">
        <v>99</v>
      </c>
      <c r="B600" s="7" t="str">
        <f>TEXT(Table1[[#This Row],[Date]],"MMM")</f>
        <v>Apr</v>
      </c>
      <c r="C600" t="s">
        <v>44</v>
      </c>
      <c r="D600" t="s">
        <v>28</v>
      </c>
      <c r="E600" t="s">
        <v>41</v>
      </c>
      <c r="F600" t="s">
        <v>37</v>
      </c>
      <c r="G600" t="s">
        <v>38</v>
      </c>
      <c r="H600" t="s">
        <v>39</v>
      </c>
      <c r="I600" s="9">
        <v>30000</v>
      </c>
      <c r="J600">
        <v>1</v>
      </c>
      <c r="K600" t="s">
        <v>58</v>
      </c>
      <c r="L600" s="9">
        <f t="shared" si="9"/>
        <v>24000</v>
      </c>
      <c r="M600" s="9">
        <f>Table1[[#This Row],[Unit Price]]*Table1[[#This Row],[Quantity]]</f>
        <v>30000</v>
      </c>
      <c r="N600" s="9">
        <f>Table1[[#This Row],[Cost Price]]*Table1[[#This Row],[Quantity]]</f>
        <v>24000</v>
      </c>
      <c r="O600" s="9">
        <f>Table1[[#This Row],[Revenue]]-Table1[[#This Row],[COGS]]</f>
        <v>6000</v>
      </c>
      <c r="P600" s="6">
        <v>599</v>
      </c>
    </row>
    <row r="601" spans="1:16">
      <c r="A601" s="7" t="s">
        <v>146</v>
      </c>
      <c r="B601" s="7" t="str">
        <f>TEXT(Table1[[#This Row],[Date]],"MMM")</f>
        <v>Jan</v>
      </c>
      <c r="C601" t="s">
        <v>44</v>
      </c>
      <c r="D601" t="s">
        <v>45</v>
      </c>
      <c r="E601" t="s">
        <v>29</v>
      </c>
      <c r="F601" t="s">
        <v>30</v>
      </c>
      <c r="G601" t="s">
        <v>38</v>
      </c>
      <c r="H601" t="s">
        <v>39</v>
      </c>
      <c r="I601" s="9">
        <v>30000</v>
      </c>
      <c r="J601">
        <v>8</v>
      </c>
      <c r="K601" t="s">
        <v>65</v>
      </c>
      <c r="L601" s="9">
        <f t="shared" si="9"/>
        <v>24000</v>
      </c>
      <c r="M601" s="9">
        <f>Table1[[#This Row],[Unit Price]]*Table1[[#This Row],[Quantity]]</f>
        <v>240000</v>
      </c>
      <c r="N601" s="9">
        <f>Table1[[#This Row],[Cost Price]]*Table1[[#This Row],[Quantity]]</f>
        <v>192000</v>
      </c>
      <c r="O601" s="9">
        <f>Table1[[#This Row],[Revenue]]-Table1[[#This Row],[COGS]]</f>
        <v>48000</v>
      </c>
      <c r="P601" s="6">
        <v>600</v>
      </c>
    </row>
    <row r="602" spans="1:16">
      <c r="A602" s="7" t="s">
        <v>157</v>
      </c>
      <c r="B602" s="7" t="str">
        <f>TEXT(Table1[[#This Row],[Date]],"MMM")</f>
        <v>Apr</v>
      </c>
      <c r="C602" t="s">
        <v>49</v>
      </c>
      <c r="D602" t="s">
        <v>28</v>
      </c>
      <c r="E602" t="s">
        <v>41</v>
      </c>
      <c r="F602" t="s">
        <v>30</v>
      </c>
      <c r="G602" t="s">
        <v>71</v>
      </c>
      <c r="H602" t="s">
        <v>51</v>
      </c>
      <c r="I602" s="9">
        <v>250000</v>
      </c>
      <c r="J602">
        <v>10</v>
      </c>
      <c r="K602" t="s">
        <v>65</v>
      </c>
      <c r="L602" s="9">
        <f t="shared" si="9"/>
        <v>200000</v>
      </c>
      <c r="M602" s="9">
        <f>Table1[[#This Row],[Unit Price]]*Table1[[#This Row],[Quantity]]</f>
        <v>2500000</v>
      </c>
      <c r="N602" s="9">
        <f>Table1[[#This Row],[Cost Price]]*Table1[[#This Row],[Quantity]]</f>
        <v>2000000</v>
      </c>
      <c r="O602" s="9">
        <f>Table1[[#This Row],[Revenue]]-Table1[[#This Row],[COGS]]</f>
        <v>500000</v>
      </c>
      <c r="P602" s="6">
        <v>601</v>
      </c>
    </row>
    <row r="603" spans="1:16">
      <c r="A603" s="7" t="s">
        <v>113</v>
      </c>
      <c r="B603" s="7" t="str">
        <f>TEXT(Table1[[#This Row],[Date]],"MMM")</f>
        <v>Apr</v>
      </c>
      <c r="C603" t="s">
        <v>49</v>
      </c>
      <c r="D603" t="s">
        <v>45</v>
      </c>
      <c r="E603" t="s">
        <v>41</v>
      </c>
      <c r="F603" t="s">
        <v>37</v>
      </c>
      <c r="G603" t="s">
        <v>62</v>
      </c>
      <c r="H603" t="s">
        <v>51</v>
      </c>
      <c r="I603" s="9">
        <v>150000</v>
      </c>
      <c r="J603">
        <v>10</v>
      </c>
      <c r="K603" t="s">
        <v>42</v>
      </c>
      <c r="L603" s="9">
        <f t="shared" si="9"/>
        <v>120000</v>
      </c>
      <c r="M603" s="9">
        <f>Table1[[#This Row],[Unit Price]]*Table1[[#This Row],[Quantity]]</f>
        <v>1500000</v>
      </c>
      <c r="N603" s="9">
        <f>Table1[[#This Row],[Cost Price]]*Table1[[#This Row],[Quantity]]</f>
        <v>1200000</v>
      </c>
      <c r="O603" s="9">
        <f>Table1[[#This Row],[Revenue]]-Table1[[#This Row],[COGS]]</f>
        <v>300000</v>
      </c>
      <c r="P603" s="6">
        <v>602</v>
      </c>
    </row>
    <row r="604" spans="1:16">
      <c r="A604" s="7" t="s">
        <v>135</v>
      </c>
      <c r="B604" s="7" t="str">
        <f>TEXT(Table1[[#This Row],[Date]],"MMM")</f>
        <v>Mar</v>
      </c>
      <c r="C604" t="s">
        <v>35</v>
      </c>
      <c r="D604" t="s">
        <v>53</v>
      </c>
      <c r="E604" t="s">
        <v>29</v>
      </c>
      <c r="F604" t="s">
        <v>37</v>
      </c>
      <c r="G604" t="s">
        <v>71</v>
      </c>
      <c r="H604" t="s">
        <v>51</v>
      </c>
      <c r="I604" s="9">
        <v>250000</v>
      </c>
      <c r="J604">
        <v>8</v>
      </c>
      <c r="K604" t="s">
        <v>33</v>
      </c>
      <c r="L604" s="9">
        <f t="shared" si="9"/>
        <v>200000</v>
      </c>
      <c r="M604" s="9">
        <f>Table1[[#This Row],[Unit Price]]*Table1[[#This Row],[Quantity]]</f>
        <v>2000000</v>
      </c>
      <c r="N604" s="9">
        <f>Table1[[#This Row],[Cost Price]]*Table1[[#This Row],[Quantity]]</f>
        <v>1600000</v>
      </c>
      <c r="O604" s="9">
        <f>Table1[[#This Row],[Revenue]]-Table1[[#This Row],[COGS]]</f>
        <v>400000</v>
      </c>
      <c r="P604" s="6">
        <v>603</v>
      </c>
    </row>
    <row r="605" spans="1:16">
      <c r="A605" s="7" t="s">
        <v>64</v>
      </c>
      <c r="B605" s="7" t="str">
        <f>TEXT(Table1[[#This Row],[Date]],"MMM")</f>
        <v>Apr</v>
      </c>
      <c r="C605" t="s">
        <v>49</v>
      </c>
      <c r="D605" t="s">
        <v>45</v>
      </c>
      <c r="E605" t="s">
        <v>29</v>
      </c>
      <c r="F605" t="s">
        <v>37</v>
      </c>
      <c r="G605" t="s">
        <v>71</v>
      </c>
      <c r="H605" t="s">
        <v>51</v>
      </c>
      <c r="I605" s="9">
        <v>250000</v>
      </c>
      <c r="J605">
        <v>9</v>
      </c>
      <c r="K605" t="s">
        <v>69</v>
      </c>
      <c r="L605" s="9">
        <f t="shared" si="9"/>
        <v>200000</v>
      </c>
      <c r="M605" s="9">
        <f>Table1[[#This Row],[Unit Price]]*Table1[[#This Row],[Quantity]]</f>
        <v>2250000</v>
      </c>
      <c r="N605" s="9">
        <f>Table1[[#This Row],[Cost Price]]*Table1[[#This Row],[Quantity]]</f>
        <v>1800000</v>
      </c>
      <c r="O605" s="9">
        <f>Table1[[#This Row],[Revenue]]-Table1[[#This Row],[COGS]]</f>
        <v>450000</v>
      </c>
      <c r="P605" s="6">
        <v>604</v>
      </c>
    </row>
    <row r="606" spans="1:16">
      <c r="A606" s="7" t="s">
        <v>78</v>
      </c>
      <c r="B606" s="7" t="str">
        <f>TEXT(Table1[[#This Row],[Date]],"MMM")</f>
        <v>Apr</v>
      </c>
      <c r="C606" t="s">
        <v>49</v>
      </c>
      <c r="D606" t="s">
        <v>53</v>
      </c>
      <c r="E606" t="s">
        <v>29</v>
      </c>
      <c r="F606" t="s">
        <v>37</v>
      </c>
      <c r="G606" t="s">
        <v>67</v>
      </c>
      <c r="H606" t="s">
        <v>51</v>
      </c>
      <c r="I606" s="9">
        <v>420000</v>
      </c>
      <c r="J606">
        <v>10</v>
      </c>
      <c r="K606" t="s">
        <v>47</v>
      </c>
      <c r="L606" s="9">
        <f t="shared" si="9"/>
        <v>336000</v>
      </c>
      <c r="M606" s="9">
        <f>Table1[[#This Row],[Unit Price]]*Table1[[#This Row],[Quantity]]</f>
        <v>4200000</v>
      </c>
      <c r="N606" s="9">
        <f>Table1[[#This Row],[Cost Price]]*Table1[[#This Row],[Quantity]]</f>
        <v>3360000</v>
      </c>
      <c r="O606" s="9">
        <f>Table1[[#This Row],[Revenue]]-Table1[[#This Row],[COGS]]</f>
        <v>840000</v>
      </c>
      <c r="P606" s="6">
        <v>605</v>
      </c>
    </row>
    <row r="607" spans="1:16">
      <c r="A607" s="7" t="s">
        <v>124</v>
      </c>
      <c r="B607" s="7" t="str">
        <f>TEXT(Table1[[#This Row],[Date]],"MMM")</f>
        <v>Feb</v>
      </c>
      <c r="C607" t="s">
        <v>27</v>
      </c>
      <c r="D607" t="s">
        <v>36</v>
      </c>
      <c r="E607" t="s">
        <v>41</v>
      </c>
      <c r="F607" t="s">
        <v>30</v>
      </c>
      <c r="G607" t="s">
        <v>31</v>
      </c>
      <c r="H607" t="s">
        <v>32</v>
      </c>
      <c r="I607" s="9">
        <v>85000</v>
      </c>
      <c r="J607">
        <v>4</v>
      </c>
      <c r="K607" t="s">
        <v>42</v>
      </c>
      <c r="L607" s="9">
        <f t="shared" si="9"/>
        <v>68000</v>
      </c>
      <c r="M607" s="9">
        <f>Table1[[#This Row],[Unit Price]]*Table1[[#This Row],[Quantity]]</f>
        <v>340000</v>
      </c>
      <c r="N607" s="9">
        <f>Table1[[#This Row],[Cost Price]]*Table1[[#This Row],[Quantity]]</f>
        <v>272000</v>
      </c>
      <c r="O607" s="9">
        <f>Table1[[#This Row],[Revenue]]-Table1[[#This Row],[COGS]]</f>
        <v>68000</v>
      </c>
      <c r="P607" s="6">
        <v>606</v>
      </c>
    </row>
    <row r="608" spans="1:16">
      <c r="A608" s="7" t="s">
        <v>166</v>
      </c>
      <c r="B608" s="7" t="str">
        <f>TEXT(Table1[[#This Row],[Date]],"MMM")</f>
        <v>Jan</v>
      </c>
      <c r="C608" t="s">
        <v>35</v>
      </c>
      <c r="D608" t="s">
        <v>36</v>
      </c>
      <c r="E608" t="s">
        <v>29</v>
      </c>
      <c r="F608" t="s">
        <v>30</v>
      </c>
      <c r="G608" t="s">
        <v>54</v>
      </c>
      <c r="H608" t="s">
        <v>39</v>
      </c>
      <c r="I608" s="9">
        <v>180000</v>
      </c>
      <c r="J608">
        <v>1</v>
      </c>
      <c r="K608" t="s">
        <v>69</v>
      </c>
      <c r="L608" s="9">
        <f t="shared" si="9"/>
        <v>144000</v>
      </c>
      <c r="M608" s="9">
        <f>Table1[[#This Row],[Unit Price]]*Table1[[#This Row],[Quantity]]</f>
        <v>180000</v>
      </c>
      <c r="N608" s="9">
        <f>Table1[[#This Row],[Cost Price]]*Table1[[#This Row],[Quantity]]</f>
        <v>144000</v>
      </c>
      <c r="O608" s="9">
        <f>Table1[[#This Row],[Revenue]]-Table1[[#This Row],[COGS]]</f>
        <v>36000</v>
      </c>
      <c r="P608" s="6">
        <v>607</v>
      </c>
    </row>
    <row r="609" spans="1:16">
      <c r="A609" s="7" t="s">
        <v>170</v>
      </c>
      <c r="B609" s="7" t="str">
        <f>TEXT(Table1[[#This Row],[Date]],"MMM")</f>
        <v>Jan</v>
      </c>
      <c r="C609" t="s">
        <v>44</v>
      </c>
      <c r="D609" t="s">
        <v>36</v>
      </c>
      <c r="E609" t="s">
        <v>29</v>
      </c>
      <c r="F609" t="s">
        <v>37</v>
      </c>
      <c r="G609" t="s">
        <v>54</v>
      </c>
      <c r="H609" t="s">
        <v>39</v>
      </c>
      <c r="I609" s="9">
        <v>180000</v>
      </c>
      <c r="J609">
        <v>9</v>
      </c>
      <c r="K609" t="s">
        <v>58</v>
      </c>
      <c r="L609" s="9">
        <f t="shared" si="9"/>
        <v>144000</v>
      </c>
      <c r="M609" s="9">
        <f>Table1[[#This Row],[Unit Price]]*Table1[[#This Row],[Quantity]]</f>
        <v>1620000</v>
      </c>
      <c r="N609" s="9">
        <f>Table1[[#This Row],[Cost Price]]*Table1[[#This Row],[Quantity]]</f>
        <v>1296000</v>
      </c>
      <c r="O609" s="9">
        <f>Table1[[#This Row],[Revenue]]-Table1[[#This Row],[COGS]]</f>
        <v>324000</v>
      </c>
      <c r="P609" s="6">
        <v>608</v>
      </c>
    </row>
    <row r="610" spans="1:16">
      <c r="A610" s="7" t="s">
        <v>169</v>
      </c>
      <c r="B610" s="7" t="str">
        <f>TEXT(Table1[[#This Row],[Date]],"MMM")</f>
        <v>Feb</v>
      </c>
      <c r="C610" t="s">
        <v>35</v>
      </c>
      <c r="D610" t="s">
        <v>45</v>
      </c>
      <c r="E610" t="s">
        <v>41</v>
      </c>
      <c r="F610" t="s">
        <v>37</v>
      </c>
      <c r="G610" t="s">
        <v>62</v>
      </c>
      <c r="H610" t="s">
        <v>51</v>
      </c>
      <c r="I610" s="9">
        <v>150000</v>
      </c>
      <c r="J610">
        <v>10</v>
      </c>
      <c r="K610" t="s">
        <v>47</v>
      </c>
      <c r="L610" s="9">
        <f t="shared" si="9"/>
        <v>120000</v>
      </c>
      <c r="M610" s="9">
        <f>Table1[[#This Row],[Unit Price]]*Table1[[#This Row],[Quantity]]</f>
        <v>1500000</v>
      </c>
      <c r="N610" s="9">
        <f>Table1[[#This Row],[Cost Price]]*Table1[[#This Row],[Quantity]]</f>
        <v>1200000</v>
      </c>
      <c r="O610" s="9">
        <f>Table1[[#This Row],[Revenue]]-Table1[[#This Row],[COGS]]</f>
        <v>300000</v>
      </c>
      <c r="P610" s="6">
        <v>609</v>
      </c>
    </row>
    <row r="611" spans="1:16">
      <c r="A611" s="7" t="s">
        <v>157</v>
      </c>
      <c r="B611" s="7" t="str">
        <f>TEXT(Table1[[#This Row],[Date]],"MMM")</f>
        <v>Apr</v>
      </c>
      <c r="C611" t="s">
        <v>35</v>
      </c>
      <c r="D611" t="s">
        <v>53</v>
      </c>
      <c r="E611" t="s">
        <v>41</v>
      </c>
      <c r="F611" t="s">
        <v>37</v>
      </c>
      <c r="G611" t="s">
        <v>50</v>
      </c>
      <c r="H611" t="s">
        <v>51</v>
      </c>
      <c r="I611" s="9">
        <v>300000</v>
      </c>
      <c r="J611">
        <v>1</v>
      </c>
      <c r="K611" t="s">
        <v>47</v>
      </c>
      <c r="L611" s="9">
        <f t="shared" si="9"/>
        <v>240000</v>
      </c>
      <c r="M611" s="9">
        <f>Table1[[#This Row],[Unit Price]]*Table1[[#This Row],[Quantity]]</f>
        <v>300000</v>
      </c>
      <c r="N611" s="9">
        <f>Table1[[#This Row],[Cost Price]]*Table1[[#This Row],[Quantity]]</f>
        <v>240000</v>
      </c>
      <c r="O611" s="9">
        <f>Table1[[#This Row],[Revenue]]-Table1[[#This Row],[COGS]]</f>
        <v>60000</v>
      </c>
      <c r="P611" s="6">
        <v>610</v>
      </c>
    </row>
    <row r="612" spans="1:16">
      <c r="A612" s="7" t="s">
        <v>143</v>
      </c>
      <c r="B612" s="7" t="str">
        <f>TEXT(Table1[[#This Row],[Date]],"MMM")</f>
        <v>Apr</v>
      </c>
      <c r="C612" t="s">
        <v>44</v>
      </c>
      <c r="D612" t="s">
        <v>53</v>
      </c>
      <c r="E612" t="s">
        <v>29</v>
      </c>
      <c r="F612" t="s">
        <v>30</v>
      </c>
      <c r="G612" t="s">
        <v>62</v>
      </c>
      <c r="H612" t="s">
        <v>51</v>
      </c>
      <c r="I612" s="9">
        <v>150000</v>
      </c>
      <c r="J612">
        <v>8</v>
      </c>
      <c r="K612" t="s">
        <v>33</v>
      </c>
      <c r="L612" s="9">
        <f t="shared" si="9"/>
        <v>120000</v>
      </c>
      <c r="M612" s="9">
        <f>Table1[[#This Row],[Unit Price]]*Table1[[#This Row],[Quantity]]</f>
        <v>1200000</v>
      </c>
      <c r="N612" s="9">
        <f>Table1[[#This Row],[Cost Price]]*Table1[[#This Row],[Quantity]]</f>
        <v>960000</v>
      </c>
      <c r="O612" s="9">
        <f>Table1[[#This Row],[Revenue]]-Table1[[#This Row],[COGS]]</f>
        <v>240000</v>
      </c>
      <c r="P612" s="6">
        <v>611</v>
      </c>
    </row>
    <row r="613" spans="1:16">
      <c r="A613" s="7" t="s">
        <v>59</v>
      </c>
      <c r="B613" s="7" t="str">
        <f>TEXT(Table1[[#This Row],[Date]],"MMM")</f>
        <v>Mar</v>
      </c>
      <c r="C613" t="s">
        <v>27</v>
      </c>
      <c r="D613" t="s">
        <v>53</v>
      </c>
      <c r="E613" t="s">
        <v>29</v>
      </c>
      <c r="F613" t="s">
        <v>37</v>
      </c>
      <c r="G613" t="s">
        <v>62</v>
      </c>
      <c r="H613" t="s">
        <v>51</v>
      </c>
      <c r="I613" s="9">
        <v>150000</v>
      </c>
      <c r="J613">
        <v>3</v>
      </c>
      <c r="K613" t="s">
        <v>58</v>
      </c>
      <c r="L613" s="9">
        <f t="shared" si="9"/>
        <v>120000</v>
      </c>
      <c r="M613" s="9">
        <f>Table1[[#This Row],[Unit Price]]*Table1[[#This Row],[Quantity]]</f>
        <v>450000</v>
      </c>
      <c r="N613" s="9">
        <f>Table1[[#This Row],[Cost Price]]*Table1[[#This Row],[Quantity]]</f>
        <v>360000</v>
      </c>
      <c r="O613" s="9">
        <f>Table1[[#This Row],[Revenue]]-Table1[[#This Row],[COGS]]</f>
        <v>90000</v>
      </c>
      <c r="P613" s="6">
        <v>612</v>
      </c>
    </row>
    <row r="614" spans="1:16">
      <c r="A614" s="7" t="s">
        <v>131</v>
      </c>
      <c r="B614" s="7" t="str">
        <f>TEXT(Table1[[#This Row],[Date]],"MMM")</f>
        <v>Mar</v>
      </c>
      <c r="C614" t="s">
        <v>49</v>
      </c>
      <c r="D614" t="s">
        <v>53</v>
      </c>
      <c r="E614" t="s">
        <v>29</v>
      </c>
      <c r="F614" t="s">
        <v>37</v>
      </c>
      <c r="G614" t="s">
        <v>56</v>
      </c>
      <c r="H614" t="s">
        <v>32</v>
      </c>
      <c r="I614" s="9">
        <v>320000</v>
      </c>
      <c r="J614">
        <v>3</v>
      </c>
      <c r="K614" t="s">
        <v>33</v>
      </c>
      <c r="L614" s="9">
        <f t="shared" si="9"/>
        <v>256000</v>
      </c>
      <c r="M614" s="9">
        <f>Table1[[#This Row],[Unit Price]]*Table1[[#This Row],[Quantity]]</f>
        <v>960000</v>
      </c>
      <c r="N614" s="9">
        <f>Table1[[#This Row],[Cost Price]]*Table1[[#This Row],[Quantity]]</f>
        <v>768000</v>
      </c>
      <c r="O614" s="9">
        <f>Table1[[#This Row],[Revenue]]-Table1[[#This Row],[COGS]]</f>
        <v>192000</v>
      </c>
      <c r="P614" s="6">
        <v>613</v>
      </c>
    </row>
    <row r="615" spans="1:16">
      <c r="A615" s="7" t="s">
        <v>106</v>
      </c>
      <c r="B615" s="7" t="str">
        <f>TEXT(Table1[[#This Row],[Date]],"MMM")</f>
        <v>Apr</v>
      </c>
      <c r="C615" t="s">
        <v>44</v>
      </c>
      <c r="D615" t="s">
        <v>45</v>
      </c>
      <c r="E615" t="s">
        <v>29</v>
      </c>
      <c r="F615" t="s">
        <v>30</v>
      </c>
      <c r="G615" t="s">
        <v>54</v>
      </c>
      <c r="H615" t="s">
        <v>39</v>
      </c>
      <c r="I615" s="9">
        <v>180000</v>
      </c>
      <c r="J615">
        <v>8</v>
      </c>
      <c r="K615" t="s">
        <v>33</v>
      </c>
      <c r="L615" s="9">
        <f t="shared" si="9"/>
        <v>144000</v>
      </c>
      <c r="M615" s="9">
        <f>Table1[[#This Row],[Unit Price]]*Table1[[#This Row],[Quantity]]</f>
        <v>1440000</v>
      </c>
      <c r="N615" s="9">
        <f>Table1[[#This Row],[Cost Price]]*Table1[[#This Row],[Quantity]]</f>
        <v>1152000</v>
      </c>
      <c r="O615" s="9">
        <f>Table1[[#This Row],[Revenue]]-Table1[[#This Row],[COGS]]</f>
        <v>288000</v>
      </c>
      <c r="P615" s="6">
        <v>614</v>
      </c>
    </row>
    <row r="616" spans="1:16">
      <c r="A616" s="7" t="s">
        <v>136</v>
      </c>
      <c r="B616" s="7" t="str">
        <f>TEXT(Table1[[#This Row],[Date]],"MMM")</f>
        <v>Feb</v>
      </c>
      <c r="C616" t="s">
        <v>44</v>
      </c>
      <c r="D616" t="s">
        <v>45</v>
      </c>
      <c r="E616" t="s">
        <v>29</v>
      </c>
      <c r="F616" t="s">
        <v>37</v>
      </c>
      <c r="G616" t="s">
        <v>54</v>
      </c>
      <c r="H616" t="s">
        <v>39</v>
      </c>
      <c r="I616" s="9">
        <v>180000</v>
      </c>
      <c r="J616">
        <v>1</v>
      </c>
      <c r="K616" t="s">
        <v>42</v>
      </c>
      <c r="L616" s="9">
        <f t="shared" si="9"/>
        <v>144000</v>
      </c>
      <c r="M616" s="9">
        <f>Table1[[#This Row],[Unit Price]]*Table1[[#This Row],[Quantity]]</f>
        <v>180000</v>
      </c>
      <c r="N616" s="9">
        <f>Table1[[#This Row],[Cost Price]]*Table1[[#This Row],[Quantity]]</f>
        <v>144000</v>
      </c>
      <c r="O616" s="9">
        <f>Table1[[#This Row],[Revenue]]-Table1[[#This Row],[COGS]]</f>
        <v>36000</v>
      </c>
      <c r="P616" s="6">
        <v>615</v>
      </c>
    </row>
    <row r="617" spans="1:16">
      <c r="A617" s="7" t="s">
        <v>154</v>
      </c>
      <c r="B617" s="7" t="str">
        <f>TEXT(Table1[[#This Row],[Date]],"MMM")</f>
        <v>Feb</v>
      </c>
      <c r="C617" t="s">
        <v>27</v>
      </c>
      <c r="D617" t="s">
        <v>36</v>
      </c>
      <c r="E617" t="s">
        <v>29</v>
      </c>
      <c r="F617" t="s">
        <v>37</v>
      </c>
      <c r="G617" t="s">
        <v>46</v>
      </c>
      <c r="H617" t="s">
        <v>39</v>
      </c>
      <c r="I617" s="9">
        <v>60000</v>
      </c>
      <c r="J617">
        <v>7</v>
      </c>
      <c r="K617" t="s">
        <v>65</v>
      </c>
      <c r="L617" s="9">
        <f t="shared" si="9"/>
        <v>48000</v>
      </c>
      <c r="M617" s="9">
        <f>Table1[[#This Row],[Unit Price]]*Table1[[#This Row],[Quantity]]</f>
        <v>420000</v>
      </c>
      <c r="N617" s="9">
        <f>Table1[[#This Row],[Cost Price]]*Table1[[#This Row],[Quantity]]</f>
        <v>336000</v>
      </c>
      <c r="O617" s="9">
        <f>Table1[[#This Row],[Revenue]]-Table1[[#This Row],[COGS]]</f>
        <v>84000</v>
      </c>
      <c r="P617" s="6">
        <v>616</v>
      </c>
    </row>
    <row r="618" spans="1:16">
      <c r="A618" s="7" t="s">
        <v>77</v>
      </c>
      <c r="B618" s="7" t="str">
        <f>TEXT(Table1[[#This Row],[Date]],"MMM")</f>
        <v>Apr</v>
      </c>
      <c r="C618" t="s">
        <v>35</v>
      </c>
      <c r="D618" t="s">
        <v>45</v>
      </c>
      <c r="E618" t="s">
        <v>41</v>
      </c>
      <c r="F618" t="s">
        <v>37</v>
      </c>
      <c r="G618" t="s">
        <v>56</v>
      </c>
      <c r="H618" t="s">
        <v>32</v>
      </c>
      <c r="I618" s="9">
        <v>320000</v>
      </c>
      <c r="J618">
        <v>7</v>
      </c>
      <c r="K618" t="s">
        <v>42</v>
      </c>
      <c r="L618" s="9">
        <f t="shared" si="9"/>
        <v>256000</v>
      </c>
      <c r="M618" s="9">
        <f>Table1[[#This Row],[Unit Price]]*Table1[[#This Row],[Quantity]]</f>
        <v>2240000</v>
      </c>
      <c r="N618" s="9">
        <f>Table1[[#This Row],[Cost Price]]*Table1[[#This Row],[Quantity]]</f>
        <v>1792000</v>
      </c>
      <c r="O618" s="9">
        <f>Table1[[#This Row],[Revenue]]-Table1[[#This Row],[COGS]]</f>
        <v>448000</v>
      </c>
      <c r="P618" s="6">
        <v>617</v>
      </c>
    </row>
    <row r="619" spans="1:16">
      <c r="A619" s="7" t="s">
        <v>163</v>
      </c>
      <c r="B619" s="7" t="str">
        <f>TEXT(Table1[[#This Row],[Date]],"MMM")</f>
        <v>Apr</v>
      </c>
      <c r="C619" t="s">
        <v>44</v>
      </c>
      <c r="D619" t="s">
        <v>36</v>
      </c>
      <c r="E619" t="s">
        <v>41</v>
      </c>
      <c r="F619" t="s">
        <v>30</v>
      </c>
      <c r="G619" t="s">
        <v>31</v>
      </c>
      <c r="H619" t="s">
        <v>32</v>
      </c>
      <c r="I619" s="9">
        <v>85000</v>
      </c>
      <c r="J619">
        <v>9</v>
      </c>
      <c r="K619" t="s">
        <v>42</v>
      </c>
      <c r="L619" s="9">
        <f t="shared" si="9"/>
        <v>68000</v>
      </c>
      <c r="M619" s="9">
        <f>Table1[[#This Row],[Unit Price]]*Table1[[#This Row],[Quantity]]</f>
        <v>765000</v>
      </c>
      <c r="N619" s="9">
        <f>Table1[[#This Row],[Cost Price]]*Table1[[#This Row],[Quantity]]</f>
        <v>612000</v>
      </c>
      <c r="O619" s="9">
        <f>Table1[[#This Row],[Revenue]]-Table1[[#This Row],[COGS]]</f>
        <v>153000</v>
      </c>
      <c r="P619" s="6">
        <v>618</v>
      </c>
    </row>
    <row r="620" spans="1:16">
      <c r="A620" s="7" t="s">
        <v>123</v>
      </c>
      <c r="B620" s="7" t="str">
        <f>TEXT(Table1[[#This Row],[Date]],"MMM")</f>
        <v>Apr</v>
      </c>
      <c r="C620" t="s">
        <v>27</v>
      </c>
      <c r="D620" t="s">
        <v>36</v>
      </c>
      <c r="E620" t="s">
        <v>29</v>
      </c>
      <c r="F620" t="s">
        <v>30</v>
      </c>
      <c r="G620" t="s">
        <v>56</v>
      </c>
      <c r="H620" t="s">
        <v>32</v>
      </c>
      <c r="I620" s="9">
        <v>320000</v>
      </c>
      <c r="J620">
        <v>3</v>
      </c>
      <c r="K620" t="s">
        <v>65</v>
      </c>
      <c r="L620" s="9">
        <f t="shared" si="9"/>
        <v>256000</v>
      </c>
      <c r="M620" s="9">
        <f>Table1[[#This Row],[Unit Price]]*Table1[[#This Row],[Quantity]]</f>
        <v>960000</v>
      </c>
      <c r="N620" s="9">
        <f>Table1[[#This Row],[Cost Price]]*Table1[[#This Row],[Quantity]]</f>
        <v>768000</v>
      </c>
      <c r="O620" s="9">
        <f>Table1[[#This Row],[Revenue]]-Table1[[#This Row],[COGS]]</f>
        <v>192000</v>
      </c>
      <c r="P620" s="6">
        <v>619</v>
      </c>
    </row>
    <row r="621" spans="1:16">
      <c r="A621" s="7" t="s">
        <v>84</v>
      </c>
      <c r="B621" s="7" t="str">
        <f>TEXT(Table1[[#This Row],[Date]],"MMM")</f>
        <v>Jan</v>
      </c>
      <c r="C621" t="s">
        <v>44</v>
      </c>
      <c r="D621" t="s">
        <v>53</v>
      </c>
      <c r="E621" t="s">
        <v>29</v>
      </c>
      <c r="F621" t="s">
        <v>30</v>
      </c>
      <c r="G621" t="s">
        <v>73</v>
      </c>
      <c r="H621" t="s">
        <v>39</v>
      </c>
      <c r="I621" s="9">
        <v>220000</v>
      </c>
      <c r="J621">
        <v>4</v>
      </c>
      <c r="K621" t="s">
        <v>65</v>
      </c>
      <c r="L621" s="9">
        <f t="shared" si="9"/>
        <v>176000</v>
      </c>
      <c r="M621" s="9">
        <f>Table1[[#This Row],[Unit Price]]*Table1[[#This Row],[Quantity]]</f>
        <v>880000</v>
      </c>
      <c r="N621" s="9">
        <f>Table1[[#This Row],[Cost Price]]*Table1[[#This Row],[Quantity]]</f>
        <v>704000</v>
      </c>
      <c r="O621" s="9">
        <f>Table1[[#This Row],[Revenue]]-Table1[[#This Row],[COGS]]</f>
        <v>176000</v>
      </c>
      <c r="P621" s="6">
        <v>620</v>
      </c>
    </row>
    <row r="622" spans="1:16">
      <c r="A622" s="7" t="s">
        <v>85</v>
      </c>
      <c r="B622" s="7" t="str">
        <f>TEXT(Table1[[#This Row],[Date]],"MMM")</f>
        <v>Feb</v>
      </c>
      <c r="C622" t="s">
        <v>35</v>
      </c>
      <c r="D622" t="s">
        <v>45</v>
      </c>
      <c r="E622" t="s">
        <v>41</v>
      </c>
      <c r="F622" t="s">
        <v>30</v>
      </c>
      <c r="G622" t="s">
        <v>56</v>
      </c>
      <c r="H622" t="s">
        <v>32</v>
      </c>
      <c r="I622" s="9">
        <v>320000</v>
      </c>
      <c r="J622">
        <v>7</v>
      </c>
      <c r="K622" t="s">
        <v>58</v>
      </c>
      <c r="L622" s="9">
        <f t="shared" si="9"/>
        <v>256000</v>
      </c>
      <c r="M622" s="9">
        <f>Table1[[#This Row],[Unit Price]]*Table1[[#This Row],[Quantity]]</f>
        <v>2240000</v>
      </c>
      <c r="N622" s="9">
        <f>Table1[[#This Row],[Cost Price]]*Table1[[#This Row],[Quantity]]</f>
        <v>1792000</v>
      </c>
      <c r="O622" s="9">
        <f>Table1[[#This Row],[Revenue]]-Table1[[#This Row],[COGS]]</f>
        <v>448000</v>
      </c>
      <c r="P622" s="6">
        <v>621</v>
      </c>
    </row>
    <row r="623" spans="1:16">
      <c r="A623" s="7" t="s">
        <v>163</v>
      </c>
      <c r="B623" s="7" t="str">
        <f>TEXT(Table1[[#This Row],[Date]],"MMM")</f>
        <v>Apr</v>
      </c>
      <c r="C623" t="s">
        <v>35</v>
      </c>
      <c r="D623" t="s">
        <v>28</v>
      </c>
      <c r="E623" t="s">
        <v>41</v>
      </c>
      <c r="F623" t="s">
        <v>30</v>
      </c>
      <c r="G623" t="s">
        <v>71</v>
      </c>
      <c r="H623" t="s">
        <v>51</v>
      </c>
      <c r="I623" s="9">
        <v>250000</v>
      </c>
      <c r="J623">
        <v>1</v>
      </c>
      <c r="K623" t="s">
        <v>47</v>
      </c>
      <c r="L623" s="9">
        <f t="shared" si="9"/>
        <v>200000</v>
      </c>
      <c r="M623" s="9">
        <f>Table1[[#This Row],[Unit Price]]*Table1[[#This Row],[Quantity]]</f>
        <v>250000</v>
      </c>
      <c r="N623" s="9">
        <f>Table1[[#This Row],[Cost Price]]*Table1[[#This Row],[Quantity]]</f>
        <v>200000</v>
      </c>
      <c r="O623" s="9">
        <f>Table1[[#This Row],[Revenue]]-Table1[[#This Row],[COGS]]</f>
        <v>50000</v>
      </c>
      <c r="P623" s="6">
        <v>622</v>
      </c>
    </row>
    <row r="624" spans="1:16">
      <c r="A624" s="7" t="s">
        <v>63</v>
      </c>
      <c r="B624" s="7" t="str">
        <f>TEXT(Table1[[#This Row],[Date]],"MMM")</f>
        <v>Jan</v>
      </c>
      <c r="C624" t="s">
        <v>35</v>
      </c>
      <c r="D624" t="s">
        <v>45</v>
      </c>
      <c r="E624" t="s">
        <v>29</v>
      </c>
      <c r="F624" t="s">
        <v>37</v>
      </c>
      <c r="G624" t="s">
        <v>38</v>
      </c>
      <c r="H624" t="s">
        <v>39</v>
      </c>
      <c r="I624" s="9">
        <v>30000</v>
      </c>
      <c r="J624">
        <v>5</v>
      </c>
      <c r="K624" t="s">
        <v>47</v>
      </c>
      <c r="L624" s="9">
        <f t="shared" si="9"/>
        <v>24000</v>
      </c>
      <c r="M624" s="9">
        <f>Table1[[#This Row],[Unit Price]]*Table1[[#This Row],[Quantity]]</f>
        <v>150000</v>
      </c>
      <c r="N624" s="9">
        <f>Table1[[#This Row],[Cost Price]]*Table1[[#This Row],[Quantity]]</f>
        <v>120000</v>
      </c>
      <c r="O624" s="9">
        <f>Table1[[#This Row],[Revenue]]-Table1[[#This Row],[COGS]]</f>
        <v>30000</v>
      </c>
      <c r="P624" s="6">
        <v>623</v>
      </c>
    </row>
    <row r="625" spans="1:16">
      <c r="A625" s="7" t="s">
        <v>171</v>
      </c>
      <c r="B625" s="7" t="str">
        <f>TEXT(Table1[[#This Row],[Date]],"MMM")</f>
        <v>Mar</v>
      </c>
      <c r="C625" t="s">
        <v>44</v>
      </c>
      <c r="D625" t="s">
        <v>45</v>
      </c>
      <c r="E625" t="s">
        <v>41</v>
      </c>
      <c r="F625" t="s">
        <v>30</v>
      </c>
      <c r="G625" t="s">
        <v>73</v>
      </c>
      <c r="H625" t="s">
        <v>39</v>
      </c>
      <c r="I625" s="9">
        <v>220000</v>
      </c>
      <c r="J625">
        <v>5</v>
      </c>
      <c r="K625" t="s">
        <v>42</v>
      </c>
      <c r="L625" s="9">
        <f t="shared" si="9"/>
        <v>176000</v>
      </c>
      <c r="M625" s="9">
        <f>Table1[[#This Row],[Unit Price]]*Table1[[#This Row],[Quantity]]</f>
        <v>1100000</v>
      </c>
      <c r="N625" s="9">
        <f>Table1[[#This Row],[Cost Price]]*Table1[[#This Row],[Quantity]]</f>
        <v>880000</v>
      </c>
      <c r="O625" s="9">
        <f>Table1[[#This Row],[Revenue]]-Table1[[#This Row],[COGS]]</f>
        <v>220000</v>
      </c>
      <c r="P625" s="6">
        <v>624</v>
      </c>
    </row>
    <row r="626" spans="1:16">
      <c r="A626" s="7" t="s">
        <v>129</v>
      </c>
      <c r="B626" s="7" t="str">
        <f>TEXT(Table1[[#This Row],[Date]],"MMM")</f>
        <v>Mar</v>
      </c>
      <c r="C626" t="s">
        <v>49</v>
      </c>
      <c r="D626" t="s">
        <v>45</v>
      </c>
      <c r="E626" t="s">
        <v>41</v>
      </c>
      <c r="F626" t="s">
        <v>37</v>
      </c>
      <c r="G626" t="s">
        <v>71</v>
      </c>
      <c r="H626" t="s">
        <v>51</v>
      </c>
      <c r="I626" s="9">
        <v>250000</v>
      </c>
      <c r="J626">
        <v>4</v>
      </c>
      <c r="K626" t="s">
        <v>58</v>
      </c>
      <c r="L626" s="9">
        <f t="shared" si="9"/>
        <v>200000</v>
      </c>
      <c r="M626" s="9">
        <f>Table1[[#This Row],[Unit Price]]*Table1[[#This Row],[Quantity]]</f>
        <v>1000000</v>
      </c>
      <c r="N626" s="9">
        <f>Table1[[#This Row],[Cost Price]]*Table1[[#This Row],[Quantity]]</f>
        <v>800000</v>
      </c>
      <c r="O626" s="9">
        <f>Table1[[#This Row],[Revenue]]-Table1[[#This Row],[COGS]]</f>
        <v>200000</v>
      </c>
      <c r="P626" s="6">
        <v>625</v>
      </c>
    </row>
    <row r="627" spans="1:16">
      <c r="A627" s="7" t="s">
        <v>175</v>
      </c>
      <c r="B627" s="7" t="str">
        <f>TEXT(Table1[[#This Row],[Date]],"MMM")</f>
        <v>Jan</v>
      </c>
      <c r="C627" t="s">
        <v>49</v>
      </c>
      <c r="D627" t="s">
        <v>28</v>
      </c>
      <c r="E627" t="s">
        <v>29</v>
      </c>
      <c r="F627" t="s">
        <v>37</v>
      </c>
      <c r="G627" t="s">
        <v>54</v>
      </c>
      <c r="H627" t="s">
        <v>39</v>
      </c>
      <c r="I627" s="9">
        <v>180000</v>
      </c>
      <c r="J627">
        <v>4</v>
      </c>
      <c r="K627" t="s">
        <v>33</v>
      </c>
      <c r="L627" s="9">
        <f t="shared" si="9"/>
        <v>144000</v>
      </c>
      <c r="M627" s="9">
        <f>Table1[[#This Row],[Unit Price]]*Table1[[#This Row],[Quantity]]</f>
        <v>720000</v>
      </c>
      <c r="N627" s="9">
        <f>Table1[[#This Row],[Cost Price]]*Table1[[#This Row],[Quantity]]</f>
        <v>576000</v>
      </c>
      <c r="O627" s="9">
        <f>Table1[[#This Row],[Revenue]]-Table1[[#This Row],[COGS]]</f>
        <v>144000</v>
      </c>
      <c r="P627" s="6">
        <v>626</v>
      </c>
    </row>
    <row r="628" spans="1:16">
      <c r="A628" s="7" t="s">
        <v>165</v>
      </c>
      <c r="B628" s="7" t="str">
        <f>TEXT(Table1[[#This Row],[Date]],"MMM")</f>
        <v>Apr</v>
      </c>
      <c r="C628" t="s">
        <v>44</v>
      </c>
      <c r="D628" t="s">
        <v>28</v>
      </c>
      <c r="E628" t="s">
        <v>41</v>
      </c>
      <c r="F628" t="s">
        <v>37</v>
      </c>
      <c r="G628" t="s">
        <v>46</v>
      </c>
      <c r="H628" t="s">
        <v>39</v>
      </c>
      <c r="I628" s="9">
        <v>60000</v>
      </c>
      <c r="J628">
        <v>10</v>
      </c>
      <c r="K628" t="s">
        <v>42</v>
      </c>
      <c r="L628" s="9">
        <f t="shared" si="9"/>
        <v>48000</v>
      </c>
      <c r="M628" s="9">
        <f>Table1[[#This Row],[Unit Price]]*Table1[[#This Row],[Quantity]]</f>
        <v>600000</v>
      </c>
      <c r="N628" s="9">
        <f>Table1[[#This Row],[Cost Price]]*Table1[[#This Row],[Quantity]]</f>
        <v>480000</v>
      </c>
      <c r="O628" s="9">
        <f>Table1[[#This Row],[Revenue]]-Table1[[#This Row],[COGS]]</f>
        <v>120000</v>
      </c>
      <c r="P628" s="6">
        <v>627</v>
      </c>
    </row>
    <row r="629" spans="1:16">
      <c r="A629" s="7" t="s">
        <v>107</v>
      </c>
      <c r="B629" s="7" t="str">
        <f>TEXT(Table1[[#This Row],[Date]],"MMM")</f>
        <v>Feb</v>
      </c>
      <c r="C629" t="s">
        <v>35</v>
      </c>
      <c r="D629" t="s">
        <v>45</v>
      </c>
      <c r="E629" t="s">
        <v>29</v>
      </c>
      <c r="F629" t="s">
        <v>30</v>
      </c>
      <c r="G629" t="s">
        <v>56</v>
      </c>
      <c r="H629" t="s">
        <v>32</v>
      </c>
      <c r="I629" s="9">
        <v>320000</v>
      </c>
      <c r="J629">
        <v>10</v>
      </c>
      <c r="K629" t="s">
        <v>33</v>
      </c>
      <c r="L629" s="9">
        <f t="shared" si="9"/>
        <v>256000</v>
      </c>
      <c r="M629" s="9">
        <f>Table1[[#This Row],[Unit Price]]*Table1[[#This Row],[Quantity]]</f>
        <v>3200000</v>
      </c>
      <c r="N629" s="9">
        <f>Table1[[#This Row],[Cost Price]]*Table1[[#This Row],[Quantity]]</f>
        <v>2560000</v>
      </c>
      <c r="O629" s="9">
        <f>Table1[[#This Row],[Revenue]]-Table1[[#This Row],[COGS]]</f>
        <v>640000</v>
      </c>
      <c r="P629" s="6">
        <v>628</v>
      </c>
    </row>
    <row r="630" spans="1:16">
      <c r="A630" s="7" t="s">
        <v>127</v>
      </c>
      <c r="B630" s="7" t="str">
        <f>TEXT(Table1[[#This Row],[Date]],"MMM")</f>
        <v>Jan</v>
      </c>
      <c r="C630" t="s">
        <v>35</v>
      </c>
      <c r="D630" t="s">
        <v>45</v>
      </c>
      <c r="E630" t="s">
        <v>29</v>
      </c>
      <c r="F630" t="s">
        <v>37</v>
      </c>
      <c r="G630" t="s">
        <v>62</v>
      </c>
      <c r="H630" t="s">
        <v>51</v>
      </c>
      <c r="I630" s="9">
        <v>150000</v>
      </c>
      <c r="J630">
        <v>4</v>
      </c>
      <c r="K630" t="s">
        <v>47</v>
      </c>
      <c r="L630" s="9">
        <f t="shared" si="9"/>
        <v>120000</v>
      </c>
      <c r="M630" s="9">
        <f>Table1[[#This Row],[Unit Price]]*Table1[[#This Row],[Quantity]]</f>
        <v>600000</v>
      </c>
      <c r="N630" s="9">
        <f>Table1[[#This Row],[Cost Price]]*Table1[[#This Row],[Quantity]]</f>
        <v>480000</v>
      </c>
      <c r="O630" s="9">
        <f>Table1[[#This Row],[Revenue]]-Table1[[#This Row],[COGS]]</f>
        <v>120000</v>
      </c>
      <c r="P630" s="6">
        <v>629</v>
      </c>
    </row>
    <row r="631" spans="1:16">
      <c r="A631" s="7" t="s">
        <v>154</v>
      </c>
      <c r="B631" s="7" t="str">
        <f>TEXT(Table1[[#This Row],[Date]],"MMM")</f>
        <v>Feb</v>
      </c>
      <c r="C631" t="s">
        <v>27</v>
      </c>
      <c r="D631" t="s">
        <v>28</v>
      </c>
      <c r="E631" t="s">
        <v>41</v>
      </c>
      <c r="F631" t="s">
        <v>37</v>
      </c>
      <c r="G631" t="s">
        <v>56</v>
      </c>
      <c r="H631" t="s">
        <v>32</v>
      </c>
      <c r="I631" s="9">
        <v>320000</v>
      </c>
      <c r="J631">
        <v>4</v>
      </c>
      <c r="K631" t="s">
        <v>33</v>
      </c>
      <c r="L631" s="9">
        <f t="shared" si="9"/>
        <v>256000</v>
      </c>
      <c r="M631" s="9">
        <f>Table1[[#This Row],[Unit Price]]*Table1[[#This Row],[Quantity]]</f>
        <v>1280000</v>
      </c>
      <c r="N631" s="9">
        <f>Table1[[#This Row],[Cost Price]]*Table1[[#This Row],[Quantity]]</f>
        <v>1024000</v>
      </c>
      <c r="O631" s="9">
        <f>Table1[[#This Row],[Revenue]]-Table1[[#This Row],[COGS]]</f>
        <v>256000</v>
      </c>
      <c r="P631" s="6">
        <v>630</v>
      </c>
    </row>
    <row r="632" spans="1:16">
      <c r="A632" s="7" t="s">
        <v>119</v>
      </c>
      <c r="B632" s="7" t="str">
        <f>TEXT(Table1[[#This Row],[Date]],"MMM")</f>
        <v>Feb</v>
      </c>
      <c r="C632" t="s">
        <v>44</v>
      </c>
      <c r="D632" t="s">
        <v>36</v>
      </c>
      <c r="E632" t="s">
        <v>41</v>
      </c>
      <c r="F632" t="s">
        <v>30</v>
      </c>
      <c r="G632" t="s">
        <v>50</v>
      </c>
      <c r="H632" t="s">
        <v>51</v>
      </c>
      <c r="I632" s="9">
        <v>300000</v>
      </c>
      <c r="J632">
        <v>7</v>
      </c>
      <c r="K632" t="s">
        <v>65</v>
      </c>
      <c r="L632" s="9">
        <f t="shared" si="9"/>
        <v>240000</v>
      </c>
      <c r="M632" s="9">
        <f>Table1[[#This Row],[Unit Price]]*Table1[[#This Row],[Quantity]]</f>
        <v>2100000</v>
      </c>
      <c r="N632" s="9">
        <f>Table1[[#This Row],[Cost Price]]*Table1[[#This Row],[Quantity]]</f>
        <v>1680000</v>
      </c>
      <c r="O632" s="9">
        <f>Table1[[#This Row],[Revenue]]-Table1[[#This Row],[COGS]]</f>
        <v>420000</v>
      </c>
      <c r="P632" s="6">
        <v>631</v>
      </c>
    </row>
    <row r="633" spans="1:16">
      <c r="A633" s="7" t="s">
        <v>85</v>
      </c>
      <c r="B633" s="7" t="str">
        <f>TEXT(Table1[[#This Row],[Date]],"MMM")</f>
        <v>Feb</v>
      </c>
      <c r="C633" t="s">
        <v>49</v>
      </c>
      <c r="D633" t="s">
        <v>28</v>
      </c>
      <c r="E633" t="s">
        <v>41</v>
      </c>
      <c r="F633" t="s">
        <v>37</v>
      </c>
      <c r="G633" t="s">
        <v>62</v>
      </c>
      <c r="H633" t="s">
        <v>51</v>
      </c>
      <c r="I633" s="9">
        <v>150000</v>
      </c>
      <c r="J633">
        <v>10</v>
      </c>
      <c r="K633" t="s">
        <v>33</v>
      </c>
      <c r="L633" s="9">
        <f t="shared" si="9"/>
        <v>120000</v>
      </c>
      <c r="M633" s="9">
        <f>Table1[[#This Row],[Unit Price]]*Table1[[#This Row],[Quantity]]</f>
        <v>1500000</v>
      </c>
      <c r="N633" s="9">
        <f>Table1[[#This Row],[Cost Price]]*Table1[[#This Row],[Quantity]]</f>
        <v>1200000</v>
      </c>
      <c r="O633" s="9">
        <f>Table1[[#This Row],[Revenue]]-Table1[[#This Row],[COGS]]</f>
        <v>300000</v>
      </c>
      <c r="P633" s="6">
        <v>632</v>
      </c>
    </row>
    <row r="634" spans="1:16">
      <c r="A634" s="7" t="s">
        <v>59</v>
      </c>
      <c r="B634" s="7" t="str">
        <f>TEXT(Table1[[#This Row],[Date]],"MMM")</f>
        <v>Mar</v>
      </c>
      <c r="C634" t="s">
        <v>44</v>
      </c>
      <c r="D634" t="s">
        <v>36</v>
      </c>
      <c r="E634" t="s">
        <v>41</v>
      </c>
      <c r="F634" t="s">
        <v>30</v>
      </c>
      <c r="G634" t="s">
        <v>73</v>
      </c>
      <c r="H634" t="s">
        <v>39</v>
      </c>
      <c r="I634" s="9">
        <v>220000</v>
      </c>
      <c r="J634">
        <v>9</v>
      </c>
      <c r="K634" t="s">
        <v>33</v>
      </c>
      <c r="L634" s="9">
        <f t="shared" si="9"/>
        <v>176000</v>
      </c>
      <c r="M634" s="9">
        <f>Table1[[#This Row],[Unit Price]]*Table1[[#This Row],[Quantity]]</f>
        <v>1980000</v>
      </c>
      <c r="N634" s="9">
        <f>Table1[[#This Row],[Cost Price]]*Table1[[#This Row],[Quantity]]</f>
        <v>1584000</v>
      </c>
      <c r="O634" s="9">
        <f>Table1[[#This Row],[Revenue]]-Table1[[#This Row],[COGS]]</f>
        <v>396000</v>
      </c>
      <c r="P634" s="6">
        <v>633</v>
      </c>
    </row>
    <row r="635" spans="1:16">
      <c r="A635" s="7" t="s">
        <v>86</v>
      </c>
      <c r="B635" s="7" t="str">
        <f>TEXT(Table1[[#This Row],[Date]],"MMM")</f>
        <v>Feb</v>
      </c>
      <c r="C635" t="s">
        <v>27</v>
      </c>
      <c r="D635" t="s">
        <v>53</v>
      </c>
      <c r="E635" t="s">
        <v>41</v>
      </c>
      <c r="F635" t="s">
        <v>37</v>
      </c>
      <c r="G635" t="s">
        <v>31</v>
      </c>
      <c r="H635" t="s">
        <v>32</v>
      </c>
      <c r="I635" s="9">
        <v>85000</v>
      </c>
      <c r="J635">
        <v>4</v>
      </c>
      <c r="K635" t="s">
        <v>47</v>
      </c>
      <c r="L635" s="9">
        <f t="shared" si="9"/>
        <v>68000</v>
      </c>
      <c r="M635" s="9">
        <f>Table1[[#This Row],[Unit Price]]*Table1[[#This Row],[Quantity]]</f>
        <v>340000</v>
      </c>
      <c r="N635" s="9">
        <f>Table1[[#This Row],[Cost Price]]*Table1[[#This Row],[Quantity]]</f>
        <v>272000</v>
      </c>
      <c r="O635" s="9">
        <f>Table1[[#This Row],[Revenue]]-Table1[[#This Row],[COGS]]</f>
        <v>68000</v>
      </c>
      <c r="P635" s="6">
        <v>634</v>
      </c>
    </row>
    <row r="636" spans="1:16">
      <c r="A636" s="7" t="s">
        <v>117</v>
      </c>
      <c r="B636" s="7" t="str">
        <f>TEXT(Table1[[#This Row],[Date]],"MMM")</f>
        <v>Jan</v>
      </c>
      <c r="C636" t="s">
        <v>44</v>
      </c>
      <c r="D636" t="s">
        <v>45</v>
      </c>
      <c r="E636" t="s">
        <v>41</v>
      </c>
      <c r="F636" t="s">
        <v>30</v>
      </c>
      <c r="G636" t="s">
        <v>56</v>
      </c>
      <c r="H636" t="s">
        <v>32</v>
      </c>
      <c r="I636" s="9">
        <v>320000</v>
      </c>
      <c r="J636">
        <v>1</v>
      </c>
      <c r="K636" t="s">
        <v>69</v>
      </c>
      <c r="L636" s="9">
        <f t="shared" si="9"/>
        <v>256000</v>
      </c>
      <c r="M636" s="9">
        <f>Table1[[#This Row],[Unit Price]]*Table1[[#This Row],[Quantity]]</f>
        <v>320000</v>
      </c>
      <c r="N636" s="9">
        <f>Table1[[#This Row],[Cost Price]]*Table1[[#This Row],[Quantity]]</f>
        <v>256000</v>
      </c>
      <c r="O636" s="9">
        <f>Table1[[#This Row],[Revenue]]-Table1[[#This Row],[COGS]]</f>
        <v>64000</v>
      </c>
      <c r="P636" s="6">
        <v>635</v>
      </c>
    </row>
    <row r="637" spans="1:16">
      <c r="A637" s="7" t="s">
        <v>63</v>
      </c>
      <c r="B637" s="7" t="str">
        <f>TEXT(Table1[[#This Row],[Date]],"MMM")</f>
        <v>Jan</v>
      </c>
      <c r="C637" t="s">
        <v>35</v>
      </c>
      <c r="D637" t="s">
        <v>53</v>
      </c>
      <c r="E637" t="s">
        <v>41</v>
      </c>
      <c r="F637" t="s">
        <v>37</v>
      </c>
      <c r="G637" t="s">
        <v>67</v>
      </c>
      <c r="H637" t="s">
        <v>51</v>
      </c>
      <c r="I637" s="9">
        <v>420000</v>
      </c>
      <c r="J637">
        <v>1</v>
      </c>
      <c r="K637" t="s">
        <v>58</v>
      </c>
      <c r="L637" s="9">
        <f t="shared" si="9"/>
        <v>336000</v>
      </c>
      <c r="M637" s="9">
        <f>Table1[[#This Row],[Unit Price]]*Table1[[#This Row],[Quantity]]</f>
        <v>420000</v>
      </c>
      <c r="N637" s="9">
        <f>Table1[[#This Row],[Cost Price]]*Table1[[#This Row],[Quantity]]</f>
        <v>336000</v>
      </c>
      <c r="O637" s="9">
        <f>Table1[[#This Row],[Revenue]]-Table1[[#This Row],[COGS]]</f>
        <v>84000</v>
      </c>
      <c r="P637" s="6">
        <v>636</v>
      </c>
    </row>
    <row r="638" spans="1:16">
      <c r="A638" s="7" t="s">
        <v>34</v>
      </c>
      <c r="B638" s="7" t="str">
        <f>TEXT(Table1[[#This Row],[Date]],"MMM")</f>
        <v>Apr</v>
      </c>
      <c r="C638" t="s">
        <v>44</v>
      </c>
      <c r="D638" t="s">
        <v>45</v>
      </c>
      <c r="E638" t="s">
        <v>41</v>
      </c>
      <c r="F638" t="s">
        <v>37</v>
      </c>
      <c r="G638" t="s">
        <v>67</v>
      </c>
      <c r="H638" t="s">
        <v>51</v>
      </c>
      <c r="I638" s="9">
        <v>420000</v>
      </c>
      <c r="J638">
        <v>6</v>
      </c>
      <c r="K638" t="s">
        <v>42</v>
      </c>
      <c r="L638" s="9">
        <f t="shared" si="9"/>
        <v>336000</v>
      </c>
      <c r="M638" s="9">
        <f>Table1[[#This Row],[Unit Price]]*Table1[[#This Row],[Quantity]]</f>
        <v>2520000</v>
      </c>
      <c r="N638" s="9">
        <f>Table1[[#This Row],[Cost Price]]*Table1[[#This Row],[Quantity]]</f>
        <v>2016000</v>
      </c>
      <c r="O638" s="9">
        <f>Table1[[#This Row],[Revenue]]-Table1[[#This Row],[COGS]]</f>
        <v>504000</v>
      </c>
      <c r="P638" s="6">
        <v>637</v>
      </c>
    </row>
    <row r="639" spans="1:16">
      <c r="A639" s="7" t="s">
        <v>136</v>
      </c>
      <c r="B639" s="7" t="str">
        <f>TEXT(Table1[[#This Row],[Date]],"MMM")</f>
        <v>Feb</v>
      </c>
      <c r="C639" t="s">
        <v>49</v>
      </c>
      <c r="D639" t="s">
        <v>36</v>
      </c>
      <c r="E639" t="s">
        <v>41</v>
      </c>
      <c r="F639" t="s">
        <v>30</v>
      </c>
      <c r="G639" t="s">
        <v>46</v>
      </c>
      <c r="H639" t="s">
        <v>39</v>
      </c>
      <c r="I639" s="9">
        <v>60000</v>
      </c>
      <c r="J639">
        <v>8</v>
      </c>
      <c r="K639" t="s">
        <v>65</v>
      </c>
      <c r="L639" s="9">
        <f t="shared" si="9"/>
        <v>48000</v>
      </c>
      <c r="M639" s="9">
        <f>Table1[[#This Row],[Unit Price]]*Table1[[#This Row],[Quantity]]</f>
        <v>480000</v>
      </c>
      <c r="N639" s="9">
        <f>Table1[[#This Row],[Cost Price]]*Table1[[#This Row],[Quantity]]</f>
        <v>384000</v>
      </c>
      <c r="O639" s="9">
        <f>Table1[[#This Row],[Revenue]]-Table1[[#This Row],[COGS]]</f>
        <v>96000</v>
      </c>
      <c r="P639" s="6">
        <v>638</v>
      </c>
    </row>
    <row r="640" spans="1:16">
      <c r="A640" s="7" t="s">
        <v>139</v>
      </c>
      <c r="B640" s="7" t="str">
        <f>TEXT(Table1[[#This Row],[Date]],"MMM")</f>
        <v>Jan</v>
      </c>
      <c r="C640" t="s">
        <v>35</v>
      </c>
      <c r="D640" t="s">
        <v>28</v>
      </c>
      <c r="E640" t="s">
        <v>41</v>
      </c>
      <c r="F640" t="s">
        <v>37</v>
      </c>
      <c r="G640" t="s">
        <v>73</v>
      </c>
      <c r="H640" t="s">
        <v>39</v>
      </c>
      <c r="I640" s="9">
        <v>220000</v>
      </c>
      <c r="J640">
        <v>7</v>
      </c>
      <c r="K640" t="s">
        <v>33</v>
      </c>
      <c r="L640" s="9">
        <f t="shared" si="9"/>
        <v>176000</v>
      </c>
      <c r="M640" s="9">
        <f>Table1[[#This Row],[Unit Price]]*Table1[[#This Row],[Quantity]]</f>
        <v>1540000</v>
      </c>
      <c r="N640" s="9">
        <f>Table1[[#This Row],[Cost Price]]*Table1[[#This Row],[Quantity]]</f>
        <v>1232000</v>
      </c>
      <c r="O640" s="9">
        <f>Table1[[#This Row],[Revenue]]-Table1[[#This Row],[COGS]]</f>
        <v>308000</v>
      </c>
      <c r="P640" s="6">
        <v>639</v>
      </c>
    </row>
    <row r="641" spans="1:16">
      <c r="A641" s="7" t="s">
        <v>77</v>
      </c>
      <c r="B641" s="7" t="str">
        <f>TEXT(Table1[[#This Row],[Date]],"MMM")</f>
        <v>Apr</v>
      </c>
      <c r="C641" t="s">
        <v>44</v>
      </c>
      <c r="D641" t="s">
        <v>28</v>
      </c>
      <c r="E641" t="s">
        <v>41</v>
      </c>
      <c r="F641" t="s">
        <v>30</v>
      </c>
      <c r="G641" t="s">
        <v>56</v>
      </c>
      <c r="H641" t="s">
        <v>32</v>
      </c>
      <c r="I641" s="9">
        <v>320000</v>
      </c>
      <c r="J641">
        <v>9</v>
      </c>
      <c r="K641" t="s">
        <v>58</v>
      </c>
      <c r="L641" s="9">
        <f t="shared" si="9"/>
        <v>256000</v>
      </c>
      <c r="M641" s="9">
        <f>Table1[[#This Row],[Unit Price]]*Table1[[#This Row],[Quantity]]</f>
        <v>2880000</v>
      </c>
      <c r="N641" s="9">
        <f>Table1[[#This Row],[Cost Price]]*Table1[[#This Row],[Quantity]]</f>
        <v>2304000</v>
      </c>
      <c r="O641" s="9">
        <f>Table1[[#This Row],[Revenue]]-Table1[[#This Row],[COGS]]</f>
        <v>576000</v>
      </c>
      <c r="P641" s="6">
        <v>640</v>
      </c>
    </row>
    <row r="642" spans="1:16">
      <c r="A642" s="7" t="s">
        <v>95</v>
      </c>
      <c r="B642" s="7" t="str">
        <f>TEXT(Table1[[#This Row],[Date]],"MMM")</f>
        <v>Feb</v>
      </c>
      <c r="C642" t="s">
        <v>27</v>
      </c>
      <c r="D642" t="s">
        <v>53</v>
      </c>
      <c r="E642" t="s">
        <v>41</v>
      </c>
      <c r="F642" t="s">
        <v>37</v>
      </c>
      <c r="G642" t="s">
        <v>50</v>
      </c>
      <c r="H642" t="s">
        <v>51</v>
      </c>
      <c r="I642" s="9">
        <v>300000</v>
      </c>
      <c r="J642">
        <v>2</v>
      </c>
      <c r="K642" t="s">
        <v>65</v>
      </c>
      <c r="L642" s="9">
        <f t="shared" ref="L642:L705" si="10">I642-I642*0.2</f>
        <v>240000</v>
      </c>
      <c r="M642" s="9">
        <f>Table1[[#This Row],[Unit Price]]*Table1[[#This Row],[Quantity]]</f>
        <v>600000</v>
      </c>
      <c r="N642" s="9">
        <f>Table1[[#This Row],[Cost Price]]*Table1[[#This Row],[Quantity]]</f>
        <v>480000</v>
      </c>
      <c r="O642" s="9">
        <f>Table1[[#This Row],[Revenue]]-Table1[[#This Row],[COGS]]</f>
        <v>120000</v>
      </c>
      <c r="P642" s="6">
        <v>641</v>
      </c>
    </row>
    <row r="643" spans="1:16">
      <c r="A643" s="7" t="s">
        <v>64</v>
      </c>
      <c r="B643" s="7" t="str">
        <f>TEXT(Table1[[#This Row],[Date]],"MMM")</f>
        <v>Apr</v>
      </c>
      <c r="C643" t="s">
        <v>44</v>
      </c>
      <c r="D643" t="s">
        <v>28</v>
      </c>
      <c r="E643" t="s">
        <v>41</v>
      </c>
      <c r="F643" t="s">
        <v>30</v>
      </c>
      <c r="G643" t="s">
        <v>71</v>
      </c>
      <c r="H643" t="s">
        <v>51</v>
      </c>
      <c r="I643" s="9">
        <v>250000</v>
      </c>
      <c r="J643">
        <v>4</v>
      </c>
      <c r="K643" t="s">
        <v>65</v>
      </c>
      <c r="L643" s="9">
        <f t="shared" si="10"/>
        <v>200000</v>
      </c>
      <c r="M643" s="9">
        <f>Table1[[#This Row],[Unit Price]]*Table1[[#This Row],[Quantity]]</f>
        <v>1000000</v>
      </c>
      <c r="N643" s="9">
        <f>Table1[[#This Row],[Cost Price]]*Table1[[#This Row],[Quantity]]</f>
        <v>800000</v>
      </c>
      <c r="O643" s="9">
        <f>Table1[[#This Row],[Revenue]]-Table1[[#This Row],[COGS]]</f>
        <v>200000</v>
      </c>
      <c r="P643" s="6">
        <v>642</v>
      </c>
    </row>
    <row r="644" spans="1:16">
      <c r="A644" s="7" t="s">
        <v>86</v>
      </c>
      <c r="B644" s="7" t="str">
        <f>TEXT(Table1[[#This Row],[Date]],"MMM")</f>
        <v>Feb</v>
      </c>
      <c r="C644" t="s">
        <v>49</v>
      </c>
      <c r="D644" t="s">
        <v>36</v>
      </c>
      <c r="E644" t="s">
        <v>29</v>
      </c>
      <c r="F644" t="s">
        <v>30</v>
      </c>
      <c r="G644" t="s">
        <v>38</v>
      </c>
      <c r="H644" t="s">
        <v>39</v>
      </c>
      <c r="I644" s="9">
        <v>30000</v>
      </c>
      <c r="J644">
        <v>4</v>
      </c>
      <c r="K644" t="s">
        <v>65</v>
      </c>
      <c r="L644" s="9">
        <f t="shared" si="10"/>
        <v>24000</v>
      </c>
      <c r="M644" s="9">
        <f>Table1[[#This Row],[Unit Price]]*Table1[[#This Row],[Quantity]]</f>
        <v>120000</v>
      </c>
      <c r="N644" s="9">
        <f>Table1[[#This Row],[Cost Price]]*Table1[[#This Row],[Quantity]]</f>
        <v>96000</v>
      </c>
      <c r="O644" s="9">
        <f>Table1[[#This Row],[Revenue]]-Table1[[#This Row],[COGS]]</f>
        <v>24000</v>
      </c>
      <c r="P644" s="6">
        <v>643</v>
      </c>
    </row>
    <row r="645" spans="1:16">
      <c r="A645" s="7" t="s">
        <v>159</v>
      </c>
      <c r="B645" s="7" t="str">
        <f>TEXT(Table1[[#This Row],[Date]],"MMM")</f>
        <v>Feb</v>
      </c>
      <c r="C645" t="s">
        <v>27</v>
      </c>
      <c r="D645" t="s">
        <v>36</v>
      </c>
      <c r="E645" t="s">
        <v>29</v>
      </c>
      <c r="F645" t="s">
        <v>37</v>
      </c>
      <c r="G645" t="s">
        <v>73</v>
      </c>
      <c r="H645" t="s">
        <v>39</v>
      </c>
      <c r="I645" s="9">
        <v>220000</v>
      </c>
      <c r="J645">
        <v>4</v>
      </c>
      <c r="K645" t="s">
        <v>33</v>
      </c>
      <c r="L645" s="9">
        <f t="shared" si="10"/>
        <v>176000</v>
      </c>
      <c r="M645" s="9">
        <f>Table1[[#This Row],[Unit Price]]*Table1[[#This Row],[Quantity]]</f>
        <v>880000</v>
      </c>
      <c r="N645" s="9">
        <f>Table1[[#This Row],[Cost Price]]*Table1[[#This Row],[Quantity]]</f>
        <v>704000</v>
      </c>
      <c r="O645" s="9">
        <f>Table1[[#This Row],[Revenue]]-Table1[[#This Row],[COGS]]</f>
        <v>176000</v>
      </c>
      <c r="P645" s="6">
        <v>644</v>
      </c>
    </row>
    <row r="646" spans="1:16">
      <c r="A646" s="7" t="s">
        <v>52</v>
      </c>
      <c r="B646" s="7" t="str">
        <f>TEXT(Table1[[#This Row],[Date]],"MMM")</f>
        <v>Mar</v>
      </c>
      <c r="C646" t="s">
        <v>49</v>
      </c>
      <c r="D646" t="s">
        <v>53</v>
      </c>
      <c r="E646" t="s">
        <v>29</v>
      </c>
      <c r="F646" t="s">
        <v>37</v>
      </c>
      <c r="G646" t="s">
        <v>50</v>
      </c>
      <c r="H646" t="s">
        <v>51</v>
      </c>
      <c r="I646" s="9">
        <v>300000</v>
      </c>
      <c r="J646">
        <v>2</v>
      </c>
      <c r="K646" t="s">
        <v>65</v>
      </c>
      <c r="L646" s="9">
        <f t="shared" si="10"/>
        <v>240000</v>
      </c>
      <c r="M646" s="9">
        <f>Table1[[#This Row],[Unit Price]]*Table1[[#This Row],[Quantity]]</f>
        <v>600000</v>
      </c>
      <c r="N646" s="9">
        <f>Table1[[#This Row],[Cost Price]]*Table1[[#This Row],[Quantity]]</f>
        <v>480000</v>
      </c>
      <c r="O646" s="9">
        <f>Table1[[#This Row],[Revenue]]-Table1[[#This Row],[COGS]]</f>
        <v>120000</v>
      </c>
      <c r="P646" s="6">
        <v>645</v>
      </c>
    </row>
    <row r="647" spans="1:16">
      <c r="A647" s="7" t="s">
        <v>102</v>
      </c>
      <c r="B647" s="7" t="str">
        <f>TEXT(Table1[[#This Row],[Date]],"MMM")</f>
        <v>Mar</v>
      </c>
      <c r="C647" t="s">
        <v>44</v>
      </c>
      <c r="D647" t="s">
        <v>36</v>
      </c>
      <c r="E647" t="s">
        <v>29</v>
      </c>
      <c r="F647" t="s">
        <v>30</v>
      </c>
      <c r="G647" t="s">
        <v>56</v>
      </c>
      <c r="H647" t="s">
        <v>32</v>
      </c>
      <c r="I647" s="9">
        <v>320000</v>
      </c>
      <c r="J647">
        <v>7</v>
      </c>
      <c r="K647" t="s">
        <v>42</v>
      </c>
      <c r="L647" s="9">
        <f t="shared" si="10"/>
        <v>256000</v>
      </c>
      <c r="M647" s="9">
        <f>Table1[[#This Row],[Unit Price]]*Table1[[#This Row],[Quantity]]</f>
        <v>2240000</v>
      </c>
      <c r="N647" s="9">
        <f>Table1[[#This Row],[Cost Price]]*Table1[[#This Row],[Quantity]]</f>
        <v>1792000</v>
      </c>
      <c r="O647" s="9">
        <f>Table1[[#This Row],[Revenue]]-Table1[[#This Row],[COGS]]</f>
        <v>448000</v>
      </c>
      <c r="P647" s="6">
        <v>646</v>
      </c>
    </row>
    <row r="648" spans="1:16">
      <c r="A648" s="7" t="s">
        <v>173</v>
      </c>
      <c r="B648" s="7" t="str">
        <f>TEXT(Table1[[#This Row],[Date]],"MMM")</f>
        <v>Mar</v>
      </c>
      <c r="C648" t="s">
        <v>35</v>
      </c>
      <c r="D648" t="s">
        <v>53</v>
      </c>
      <c r="E648" t="s">
        <v>41</v>
      </c>
      <c r="F648" t="s">
        <v>30</v>
      </c>
      <c r="G648" t="s">
        <v>46</v>
      </c>
      <c r="H648" t="s">
        <v>39</v>
      </c>
      <c r="I648" s="9">
        <v>60000</v>
      </c>
      <c r="J648">
        <v>5</v>
      </c>
      <c r="K648" t="s">
        <v>47</v>
      </c>
      <c r="L648" s="9">
        <f t="shared" si="10"/>
        <v>48000</v>
      </c>
      <c r="M648" s="9">
        <f>Table1[[#This Row],[Unit Price]]*Table1[[#This Row],[Quantity]]</f>
        <v>300000</v>
      </c>
      <c r="N648" s="9">
        <f>Table1[[#This Row],[Cost Price]]*Table1[[#This Row],[Quantity]]</f>
        <v>240000</v>
      </c>
      <c r="O648" s="9">
        <f>Table1[[#This Row],[Revenue]]-Table1[[#This Row],[COGS]]</f>
        <v>60000</v>
      </c>
      <c r="P648" s="6">
        <v>647</v>
      </c>
    </row>
    <row r="649" spans="1:16">
      <c r="A649" s="7" t="s">
        <v>80</v>
      </c>
      <c r="B649" s="7" t="str">
        <f>TEXT(Table1[[#This Row],[Date]],"MMM")</f>
        <v>Feb</v>
      </c>
      <c r="C649" t="s">
        <v>44</v>
      </c>
      <c r="D649" t="s">
        <v>45</v>
      </c>
      <c r="E649" t="s">
        <v>29</v>
      </c>
      <c r="F649" t="s">
        <v>30</v>
      </c>
      <c r="G649" t="s">
        <v>31</v>
      </c>
      <c r="H649" t="s">
        <v>32</v>
      </c>
      <c r="I649" s="9">
        <v>85000</v>
      </c>
      <c r="J649">
        <v>7</v>
      </c>
      <c r="K649" t="s">
        <v>58</v>
      </c>
      <c r="L649" s="9">
        <f t="shared" si="10"/>
        <v>68000</v>
      </c>
      <c r="M649" s="9">
        <f>Table1[[#This Row],[Unit Price]]*Table1[[#This Row],[Quantity]]</f>
        <v>595000</v>
      </c>
      <c r="N649" s="9">
        <f>Table1[[#This Row],[Cost Price]]*Table1[[#This Row],[Quantity]]</f>
        <v>476000</v>
      </c>
      <c r="O649" s="9">
        <f>Table1[[#This Row],[Revenue]]-Table1[[#This Row],[COGS]]</f>
        <v>119000</v>
      </c>
      <c r="P649" s="6">
        <v>648</v>
      </c>
    </row>
    <row r="650" spans="1:16">
      <c r="A650" s="7" t="s">
        <v>102</v>
      </c>
      <c r="B650" s="7" t="str">
        <f>TEXT(Table1[[#This Row],[Date]],"MMM")</f>
        <v>Mar</v>
      </c>
      <c r="C650" t="s">
        <v>27</v>
      </c>
      <c r="D650" t="s">
        <v>36</v>
      </c>
      <c r="E650" t="s">
        <v>29</v>
      </c>
      <c r="F650" t="s">
        <v>37</v>
      </c>
      <c r="G650" t="s">
        <v>50</v>
      </c>
      <c r="H650" t="s">
        <v>51</v>
      </c>
      <c r="I650" s="9">
        <v>300000</v>
      </c>
      <c r="J650">
        <v>6</v>
      </c>
      <c r="K650" t="s">
        <v>69</v>
      </c>
      <c r="L650" s="9">
        <f t="shared" si="10"/>
        <v>240000</v>
      </c>
      <c r="M650" s="9">
        <f>Table1[[#This Row],[Unit Price]]*Table1[[#This Row],[Quantity]]</f>
        <v>1800000</v>
      </c>
      <c r="N650" s="9">
        <f>Table1[[#This Row],[Cost Price]]*Table1[[#This Row],[Quantity]]</f>
        <v>1440000</v>
      </c>
      <c r="O650" s="9">
        <f>Table1[[#This Row],[Revenue]]-Table1[[#This Row],[COGS]]</f>
        <v>360000</v>
      </c>
      <c r="P650" s="6">
        <v>649</v>
      </c>
    </row>
    <row r="651" spans="1:16">
      <c r="A651" s="7" t="s">
        <v>105</v>
      </c>
      <c r="B651" s="7" t="str">
        <f>TEXT(Table1[[#This Row],[Date]],"MMM")</f>
        <v>Mar</v>
      </c>
      <c r="C651" t="s">
        <v>35</v>
      </c>
      <c r="D651" t="s">
        <v>45</v>
      </c>
      <c r="E651" t="s">
        <v>41</v>
      </c>
      <c r="F651" t="s">
        <v>30</v>
      </c>
      <c r="G651" t="s">
        <v>54</v>
      </c>
      <c r="H651" t="s">
        <v>39</v>
      </c>
      <c r="I651" s="9">
        <v>180000</v>
      </c>
      <c r="J651">
        <v>5</v>
      </c>
      <c r="K651" t="s">
        <v>47</v>
      </c>
      <c r="L651" s="9">
        <f t="shared" si="10"/>
        <v>144000</v>
      </c>
      <c r="M651" s="9">
        <f>Table1[[#This Row],[Unit Price]]*Table1[[#This Row],[Quantity]]</f>
        <v>900000</v>
      </c>
      <c r="N651" s="9">
        <f>Table1[[#This Row],[Cost Price]]*Table1[[#This Row],[Quantity]]</f>
        <v>720000</v>
      </c>
      <c r="O651" s="9">
        <f>Table1[[#This Row],[Revenue]]-Table1[[#This Row],[COGS]]</f>
        <v>180000</v>
      </c>
      <c r="P651" s="6">
        <v>650</v>
      </c>
    </row>
    <row r="652" spans="1:16">
      <c r="A652" s="7" t="s">
        <v>137</v>
      </c>
      <c r="B652" s="7" t="str">
        <f>TEXT(Table1[[#This Row],[Date]],"MMM")</f>
        <v>Apr</v>
      </c>
      <c r="C652" t="s">
        <v>35</v>
      </c>
      <c r="D652" t="s">
        <v>36</v>
      </c>
      <c r="E652" t="s">
        <v>41</v>
      </c>
      <c r="F652" t="s">
        <v>37</v>
      </c>
      <c r="G652" t="s">
        <v>50</v>
      </c>
      <c r="H652" t="s">
        <v>51</v>
      </c>
      <c r="I652" s="9">
        <v>300000</v>
      </c>
      <c r="J652">
        <v>1</v>
      </c>
      <c r="K652" t="s">
        <v>65</v>
      </c>
      <c r="L652" s="9">
        <f t="shared" si="10"/>
        <v>240000</v>
      </c>
      <c r="M652" s="9">
        <f>Table1[[#This Row],[Unit Price]]*Table1[[#This Row],[Quantity]]</f>
        <v>300000</v>
      </c>
      <c r="N652" s="9">
        <f>Table1[[#This Row],[Cost Price]]*Table1[[#This Row],[Quantity]]</f>
        <v>240000</v>
      </c>
      <c r="O652" s="9">
        <f>Table1[[#This Row],[Revenue]]-Table1[[#This Row],[COGS]]</f>
        <v>60000</v>
      </c>
      <c r="P652" s="6">
        <v>651</v>
      </c>
    </row>
    <row r="653" spans="1:16">
      <c r="A653" s="7" t="s">
        <v>60</v>
      </c>
      <c r="B653" s="7" t="str">
        <f>TEXT(Table1[[#This Row],[Date]],"MMM")</f>
        <v>Mar</v>
      </c>
      <c r="C653" t="s">
        <v>27</v>
      </c>
      <c r="D653" t="s">
        <v>28</v>
      </c>
      <c r="E653" t="s">
        <v>29</v>
      </c>
      <c r="F653" t="s">
        <v>37</v>
      </c>
      <c r="G653" t="s">
        <v>46</v>
      </c>
      <c r="H653" t="s">
        <v>39</v>
      </c>
      <c r="I653" s="9">
        <v>60000</v>
      </c>
      <c r="J653">
        <v>7</v>
      </c>
      <c r="K653" t="s">
        <v>42</v>
      </c>
      <c r="L653" s="9">
        <f t="shared" si="10"/>
        <v>48000</v>
      </c>
      <c r="M653" s="9">
        <f>Table1[[#This Row],[Unit Price]]*Table1[[#This Row],[Quantity]]</f>
        <v>420000</v>
      </c>
      <c r="N653" s="9">
        <f>Table1[[#This Row],[Cost Price]]*Table1[[#This Row],[Quantity]]</f>
        <v>336000</v>
      </c>
      <c r="O653" s="9">
        <f>Table1[[#This Row],[Revenue]]-Table1[[#This Row],[COGS]]</f>
        <v>84000</v>
      </c>
      <c r="P653" s="6">
        <v>652</v>
      </c>
    </row>
    <row r="654" spans="1:16">
      <c r="A654" s="7" t="s">
        <v>170</v>
      </c>
      <c r="B654" s="7" t="str">
        <f>TEXT(Table1[[#This Row],[Date]],"MMM")</f>
        <v>Jan</v>
      </c>
      <c r="C654" t="s">
        <v>44</v>
      </c>
      <c r="D654" t="s">
        <v>45</v>
      </c>
      <c r="E654" t="s">
        <v>29</v>
      </c>
      <c r="F654" t="s">
        <v>30</v>
      </c>
      <c r="G654" t="s">
        <v>38</v>
      </c>
      <c r="H654" t="s">
        <v>39</v>
      </c>
      <c r="I654" s="9">
        <v>30000</v>
      </c>
      <c r="J654">
        <v>8</v>
      </c>
      <c r="K654" t="s">
        <v>47</v>
      </c>
      <c r="L654" s="9">
        <f t="shared" si="10"/>
        <v>24000</v>
      </c>
      <c r="M654" s="9">
        <f>Table1[[#This Row],[Unit Price]]*Table1[[#This Row],[Quantity]]</f>
        <v>240000</v>
      </c>
      <c r="N654" s="9">
        <f>Table1[[#This Row],[Cost Price]]*Table1[[#This Row],[Quantity]]</f>
        <v>192000</v>
      </c>
      <c r="O654" s="9">
        <f>Table1[[#This Row],[Revenue]]-Table1[[#This Row],[COGS]]</f>
        <v>48000</v>
      </c>
      <c r="P654" s="6">
        <v>653</v>
      </c>
    </row>
    <row r="655" spans="1:16">
      <c r="A655" s="7" t="s">
        <v>157</v>
      </c>
      <c r="B655" s="7" t="str">
        <f>TEXT(Table1[[#This Row],[Date]],"MMM")</f>
        <v>Apr</v>
      </c>
      <c r="C655" t="s">
        <v>27</v>
      </c>
      <c r="D655" t="s">
        <v>36</v>
      </c>
      <c r="E655" t="s">
        <v>41</v>
      </c>
      <c r="F655" t="s">
        <v>30</v>
      </c>
      <c r="G655" t="s">
        <v>73</v>
      </c>
      <c r="H655" t="s">
        <v>39</v>
      </c>
      <c r="I655" s="9">
        <v>220000</v>
      </c>
      <c r="J655">
        <v>3</v>
      </c>
      <c r="K655" t="s">
        <v>58</v>
      </c>
      <c r="L655" s="9">
        <f t="shared" si="10"/>
        <v>176000</v>
      </c>
      <c r="M655" s="9">
        <f>Table1[[#This Row],[Unit Price]]*Table1[[#This Row],[Quantity]]</f>
        <v>660000</v>
      </c>
      <c r="N655" s="9">
        <f>Table1[[#This Row],[Cost Price]]*Table1[[#This Row],[Quantity]]</f>
        <v>528000</v>
      </c>
      <c r="O655" s="9">
        <f>Table1[[#This Row],[Revenue]]-Table1[[#This Row],[COGS]]</f>
        <v>132000</v>
      </c>
      <c r="P655" s="6">
        <v>654</v>
      </c>
    </row>
    <row r="656" spans="1:16">
      <c r="A656" s="7" t="s">
        <v>99</v>
      </c>
      <c r="B656" s="7" t="str">
        <f>TEXT(Table1[[#This Row],[Date]],"MMM")</f>
        <v>Apr</v>
      </c>
      <c r="C656" t="s">
        <v>44</v>
      </c>
      <c r="D656" t="s">
        <v>36</v>
      </c>
      <c r="E656" t="s">
        <v>41</v>
      </c>
      <c r="F656" t="s">
        <v>30</v>
      </c>
      <c r="G656" t="s">
        <v>73</v>
      </c>
      <c r="H656" t="s">
        <v>39</v>
      </c>
      <c r="I656" s="9">
        <v>220000</v>
      </c>
      <c r="J656">
        <v>7</v>
      </c>
      <c r="K656" t="s">
        <v>58</v>
      </c>
      <c r="L656" s="9">
        <f t="shared" si="10"/>
        <v>176000</v>
      </c>
      <c r="M656" s="9">
        <f>Table1[[#This Row],[Unit Price]]*Table1[[#This Row],[Quantity]]</f>
        <v>1540000</v>
      </c>
      <c r="N656" s="9">
        <f>Table1[[#This Row],[Cost Price]]*Table1[[#This Row],[Quantity]]</f>
        <v>1232000</v>
      </c>
      <c r="O656" s="9">
        <f>Table1[[#This Row],[Revenue]]-Table1[[#This Row],[COGS]]</f>
        <v>308000</v>
      </c>
      <c r="P656" s="6">
        <v>655</v>
      </c>
    </row>
    <row r="657" spans="1:16">
      <c r="A657" s="7" t="s">
        <v>118</v>
      </c>
      <c r="B657" s="7" t="str">
        <f>TEXT(Table1[[#This Row],[Date]],"MMM")</f>
        <v>Mar</v>
      </c>
      <c r="C657" t="s">
        <v>49</v>
      </c>
      <c r="D657" t="s">
        <v>28</v>
      </c>
      <c r="E657" t="s">
        <v>29</v>
      </c>
      <c r="F657" t="s">
        <v>37</v>
      </c>
      <c r="G657" t="s">
        <v>54</v>
      </c>
      <c r="H657" t="s">
        <v>39</v>
      </c>
      <c r="I657" s="9">
        <v>180000</v>
      </c>
      <c r="J657">
        <v>2</v>
      </c>
      <c r="K657" t="s">
        <v>42</v>
      </c>
      <c r="L657" s="9">
        <f t="shared" si="10"/>
        <v>144000</v>
      </c>
      <c r="M657" s="9">
        <f>Table1[[#This Row],[Unit Price]]*Table1[[#This Row],[Quantity]]</f>
        <v>360000</v>
      </c>
      <c r="N657" s="9">
        <f>Table1[[#This Row],[Cost Price]]*Table1[[#This Row],[Quantity]]</f>
        <v>288000</v>
      </c>
      <c r="O657" s="9">
        <f>Table1[[#This Row],[Revenue]]-Table1[[#This Row],[COGS]]</f>
        <v>72000</v>
      </c>
      <c r="P657" s="6">
        <v>656</v>
      </c>
    </row>
    <row r="658" spans="1:16">
      <c r="A658" s="7" t="s">
        <v>55</v>
      </c>
      <c r="B658" s="7" t="str">
        <f>TEXT(Table1[[#This Row],[Date]],"MMM")</f>
        <v>Mar</v>
      </c>
      <c r="C658" t="s">
        <v>27</v>
      </c>
      <c r="D658" t="s">
        <v>45</v>
      </c>
      <c r="E658" t="s">
        <v>29</v>
      </c>
      <c r="F658" t="s">
        <v>37</v>
      </c>
      <c r="G658" t="s">
        <v>46</v>
      </c>
      <c r="H658" t="s">
        <v>39</v>
      </c>
      <c r="I658" s="9">
        <v>60000</v>
      </c>
      <c r="J658">
        <v>8</v>
      </c>
      <c r="K658" t="s">
        <v>65</v>
      </c>
      <c r="L658" s="9">
        <f t="shared" si="10"/>
        <v>48000</v>
      </c>
      <c r="M658" s="9">
        <f>Table1[[#This Row],[Unit Price]]*Table1[[#This Row],[Quantity]]</f>
        <v>480000</v>
      </c>
      <c r="N658" s="9">
        <f>Table1[[#This Row],[Cost Price]]*Table1[[#This Row],[Quantity]]</f>
        <v>384000</v>
      </c>
      <c r="O658" s="9">
        <f>Table1[[#This Row],[Revenue]]-Table1[[#This Row],[COGS]]</f>
        <v>96000</v>
      </c>
      <c r="P658" s="6">
        <v>657</v>
      </c>
    </row>
    <row r="659" spans="1:16">
      <c r="A659" s="7" t="s">
        <v>84</v>
      </c>
      <c r="B659" s="7" t="str">
        <f>TEXT(Table1[[#This Row],[Date]],"MMM")</f>
        <v>Jan</v>
      </c>
      <c r="C659" t="s">
        <v>49</v>
      </c>
      <c r="D659" t="s">
        <v>36</v>
      </c>
      <c r="E659" t="s">
        <v>29</v>
      </c>
      <c r="F659" t="s">
        <v>30</v>
      </c>
      <c r="G659" t="s">
        <v>38</v>
      </c>
      <c r="H659" t="s">
        <v>39</v>
      </c>
      <c r="I659" s="9">
        <v>30000</v>
      </c>
      <c r="J659">
        <v>2</v>
      </c>
      <c r="K659" t="s">
        <v>58</v>
      </c>
      <c r="L659" s="9">
        <f t="shared" si="10"/>
        <v>24000</v>
      </c>
      <c r="M659" s="9">
        <f>Table1[[#This Row],[Unit Price]]*Table1[[#This Row],[Quantity]]</f>
        <v>60000</v>
      </c>
      <c r="N659" s="9">
        <f>Table1[[#This Row],[Cost Price]]*Table1[[#This Row],[Quantity]]</f>
        <v>48000</v>
      </c>
      <c r="O659" s="9">
        <f>Table1[[#This Row],[Revenue]]-Table1[[#This Row],[COGS]]</f>
        <v>12000</v>
      </c>
      <c r="P659" s="6">
        <v>658</v>
      </c>
    </row>
    <row r="660" spans="1:16">
      <c r="A660" s="7" t="s">
        <v>97</v>
      </c>
      <c r="B660" s="7" t="str">
        <f>TEXT(Table1[[#This Row],[Date]],"MMM")</f>
        <v>Jan</v>
      </c>
      <c r="C660" t="s">
        <v>49</v>
      </c>
      <c r="D660" t="s">
        <v>36</v>
      </c>
      <c r="E660" t="s">
        <v>41</v>
      </c>
      <c r="F660" t="s">
        <v>30</v>
      </c>
      <c r="G660" t="s">
        <v>62</v>
      </c>
      <c r="H660" t="s">
        <v>51</v>
      </c>
      <c r="I660" s="9">
        <v>150000</v>
      </c>
      <c r="J660">
        <v>5</v>
      </c>
      <c r="K660" t="s">
        <v>58</v>
      </c>
      <c r="L660" s="9">
        <f t="shared" si="10"/>
        <v>120000</v>
      </c>
      <c r="M660" s="9">
        <f>Table1[[#This Row],[Unit Price]]*Table1[[#This Row],[Quantity]]</f>
        <v>750000</v>
      </c>
      <c r="N660" s="9">
        <f>Table1[[#This Row],[Cost Price]]*Table1[[#This Row],[Quantity]]</f>
        <v>600000</v>
      </c>
      <c r="O660" s="9">
        <f>Table1[[#This Row],[Revenue]]-Table1[[#This Row],[COGS]]</f>
        <v>150000</v>
      </c>
      <c r="P660" s="6">
        <v>659</v>
      </c>
    </row>
    <row r="661" spans="1:16">
      <c r="A661" s="7" t="s">
        <v>122</v>
      </c>
      <c r="B661" s="7" t="str">
        <f>TEXT(Table1[[#This Row],[Date]],"MMM")</f>
        <v>Mar</v>
      </c>
      <c r="C661" t="s">
        <v>27</v>
      </c>
      <c r="D661" t="s">
        <v>36</v>
      </c>
      <c r="E661" t="s">
        <v>41</v>
      </c>
      <c r="F661" t="s">
        <v>37</v>
      </c>
      <c r="G661" t="s">
        <v>71</v>
      </c>
      <c r="H661" t="s">
        <v>51</v>
      </c>
      <c r="I661" s="9">
        <v>250000</v>
      </c>
      <c r="J661">
        <v>5</v>
      </c>
      <c r="K661" t="s">
        <v>58</v>
      </c>
      <c r="L661" s="9">
        <f t="shared" si="10"/>
        <v>200000</v>
      </c>
      <c r="M661" s="9">
        <f>Table1[[#This Row],[Unit Price]]*Table1[[#This Row],[Quantity]]</f>
        <v>1250000</v>
      </c>
      <c r="N661" s="9">
        <f>Table1[[#This Row],[Cost Price]]*Table1[[#This Row],[Quantity]]</f>
        <v>1000000</v>
      </c>
      <c r="O661" s="9">
        <f>Table1[[#This Row],[Revenue]]-Table1[[#This Row],[COGS]]</f>
        <v>250000</v>
      </c>
      <c r="P661" s="6">
        <v>660</v>
      </c>
    </row>
    <row r="662" spans="1:16">
      <c r="A662" s="7" t="s">
        <v>40</v>
      </c>
      <c r="B662" s="7" t="str">
        <f>TEXT(Table1[[#This Row],[Date]],"MMM")</f>
        <v>Feb</v>
      </c>
      <c r="C662" t="s">
        <v>44</v>
      </c>
      <c r="D662" t="s">
        <v>28</v>
      </c>
      <c r="E662" t="s">
        <v>41</v>
      </c>
      <c r="F662" t="s">
        <v>30</v>
      </c>
      <c r="G662" t="s">
        <v>31</v>
      </c>
      <c r="H662" t="s">
        <v>32</v>
      </c>
      <c r="I662" s="9">
        <v>85000</v>
      </c>
      <c r="J662">
        <v>4</v>
      </c>
      <c r="K662" t="s">
        <v>42</v>
      </c>
      <c r="L662" s="9">
        <f t="shared" si="10"/>
        <v>68000</v>
      </c>
      <c r="M662" s="9">
        <f>Table1[[#This Row],[Unit Price]]*Table1[[#This Row],[Quantity]]</f>
        <v>340000</v>
      </c>
      <c r="N662" s="9">
        <f>Table1[[#This Row],[Cost Price]]*Table1[[#This Row],[Quantity]]</f>
        <v>272000</v>
      </c>
      <c r="O662" s="9">
        <f>Table1[[#This Row],[Revenue]]-Table1[[#This Row],[COGS]]</f>
        <v>68000</v>
      </c>
      <c r="P662" s="6">
        <v>661</v>
      </c>
    </row>
    <row r="663" spans="1:16">
      <c r="A663" s="7" t="s">
        <v>171</v>
      </c>
      <c r="B663" s="7" t="str">
        <f>TEXT(Table1[[#This Row],[Date]],"MMM")</f>
        <v>Mar</v>
      </c>
      <c r="C663" t="s">
        <v>27</v>
      </c>
      <c r="D663" t="s">
        <v>45</v>
      </c>
      <c r="E663" t="s">
        <v>29</v>
      </c>
      <c r="F663" t="s">
        <v>37</v>
      </c>
      <c r="G663" t="s">
        <v>50</v>
      </c>
      <c r="H663" t="s">
        <v>51</v>
      </c>
      <c r="I663" s="9">
        <v>300000</v>
      </c>
      <c r="J663">
        <v>10</v>
      </c>
      <c r="K663" t="s">
        <v>42</v>
      </c>
      <c r="L663" s="9">
        <f t="shared" si="10"/>
        <v>240000</v>
      </c>
      <c r="M663" s="9">
        <f>Table1[[#This Row],[Unit Price]]*Table1[[#This Row],[Quantity]]</f>
        <v>3000000</v>
      </c>
      <c r="N663" s="9">
        <f>Table1[[#This Row],[Cost Price]]*Table1[[#This Row],[Quantity]]</f>
        <v>2400000</v>
      </c>
      <c r="O663" s="9">
        <f>Table1[[#This Row],[Revenue]]-Table1[[#This Row],[COGS]]</f>
        <v>600000</v>
      </c>
      <c r="P663" s="6">
        <v>662</v>
      </c>
    </row>
    <row r="664" spans="1:16">
      <c r="A664" s="7" t="s">
        <v>153</v>
      </c>
      <c r="B664" s="7" t="str">
        <f>TEXT(Table1[[#This Row],[Date]],"MMM")</f>
        <v>Mar</v>
      </c>
      <c r="C664" t="s">
        <v>44</v>
      </c>
      <c r="D664" t="s">
        <v>28</v>
      </c>
      <c r="E664" t="s">
        <v>41</v>
      </c>
      <c r="F664" t="s">
        <v>30</v>
      </c>
      <c r="G664" t="s">
        <v>71</v>
      </c>
      <c r="H664" t="s">
        <v>51</v>
      </c>
      <c r="I664" s="9">
        <v>250000</v>
      </c>
      <c r="J664">
        <v>8</v>
      </c>
      <c r="K664" t="s">
        <v>69</v>
      </c>
      <c r="L664" s="9">
        <f t="shared" si="10"/>
        <v>200000</v>
      </c>
      <c r="M664" s="9">
        <f>Table1[[#This Row],[Unit Price]]*Table1[[#This Row],[Quantity]]</f>
        <v>2000000</v>
      </c>
      <c r="N664" s="9">
        <f>Table1[[#This Row],[Cost Price]]*Table1[[#This Row],[Quantity]]</f>
        <v>1600000</v>
      </c>
      <c r="O664" s="9">
        <f>Table1[[#This Row],[Revenue]]-Table1[[#This Row],[COGS]]</f>
        <v>400000</v>
      </c>
      <c r="P664" s="6">
        <v>663</v>
      </c>
    </row>
    <row r="665" spans="1:16">
      <c r="A665" s="7" t="s">
        <v>163</v>
      </c>
      <c r="B665" s="7" t="str">
        <f>TEXT(Table1[[#This Row],[Date]],"MMM")</f>
        <v>Apr</v>
      </c>
      <c r="C665" t="s">
        <v>27</v>
      </c>
      <c r="D665" t="s">
        <v>36</v>
      </c>
      <c r="E665" t="s">
        <v>29</v>
      </c>
      <c r="F665" t="s">
        <v>37</v>
      </c>
      <c r="G665" t="s">
        <v>56</v>
      </c>
      <c r="H665" t="s">
        <v>32</v>
      </c>
      <c r="I665" s="9">
        <v>320000</v>
      </c>
      <c r="J665">
        <v>4</v>
      </c>
      <c r="K665" t="s">
        <v>69</v>
      </c>
      <c r="L665" s="9">
        <f t="shared" si="10"/>
        <v>256000</v>
      </c>
      <c r="M665" s="9">
        <f>Table1[[#This Row],[Unit Price]]*Table1[[#This Row],[Quantity]]</f>
        <v>1280000</v>
      </c>
      <c r="N665" s="9">
        <f>Table1[[#This Row],[Cost Price]]*Table1[[#This Row],[Quantity]]</f>
        <v>1024000</v>
      </c>
      <c r="O665" s="9">
        <f>Table1[[#This Row],[Revenue]]-Table1[[#This Row],[COGS]]</f>
        <v>256000</v>
      </c>
      <c r="P665" s="6">
        <v>664</v>
      </c>
    </row>
    <row r="666" spans="1:16">
      <c r="A666" s="7" t="s">
        <v>157</v>
      </c>
      <c r="B666" s="7" t="str">
        <f>TEXT(Table1[[#This Row],[Date]],"MMM")</f>
        <v>Apr</v>
      </c>
      <c r="C666" t="s">
        <v>49</v>
      </c>
      <c r="D666" t="s">
        <v>36</v>
      </c>
      <c r="E666" t="s">
        <v>41</v>
      </c>
      <c r="F666" t="s">
        <v>37</v>
      </c>
      <c r="G666" t="s">
        <v>38</v>
      </c>
      <c r="H666" t="s">
        <v>39</v>
      </c>
      <c r="I666" s="9">
        <v>30000</v>
      </c>
      <c r="J666">
        <v>10</v>
      </c>
      <c r="K666" t="s">
        <v>47</v>
      </c>
      <c r="L666" s="9">
        <f t="shared" si="10"/>
        <v>24000</v>
      </c>
      <c r="M666" s="9">
        <f>Table1[[#This Row],[Unit Price]]*Table1[[#This Row],[Quantity]]</f>
        <v>300000</v>
      </c>
      <c r="N666" s="9">
        <f>Table1[[#This Row],[Cost Price]]*Table1[[#This Row],[Quantity]]</f>
        <v>240000</v>
      </c>
      <c r="O666" s="9">
        <f>Table1[[#This Row],[Revenue]]-Table1[[#This Row],[COGS]]</f>
        <v>60000</v>
      </c>
      <c r="P666" s="6">
        <v>665</v>
      </c>
    </row>
    <row r="667" spans="1:16">
      <c r="A667" s="7" t="s">
        <v>106</v>
      </c>
      <c r="B667" s="7" t="str">
        <f>TEXT(Table1[[#This Row],[Date]],"MMM")</f>
        <v>Apr</v>
      </c>
      <c r="C667" t="s">
        <v>49</v>
      </c>
      <c r="D667" t="s">
        <v>28</v>
      </c>
      <c r="E667" t="s">
        <v>41</v>
      </c>
      <c r="F667" t="s">
        <v>30</v>
      </c>
      <c r="G667" t="s">
        <v>71</v>
      </c>
      <c r="H667" t="s">
        <v>51</v>
      </c>
      <c r="I667" s="9">
        <v>250000</v>
      </c>
      <c r="J667">
        <v>4</v>
      </c>
      <c r="K667" t="s">
        <v>65</v>
      </c>
      <c r="L667" s="9">
        <f t="shared" si="10"/>
        <v>200000</v>
      </c>
      <c r="M667" s="9">
        <f>Table1[[#This Row],[Unit Price]]*Table1[[#This Row],[Quantity]]</f>
        <v>1000000</v>
      </c>
      <c r="N667" s="9">
        <f>Table1[[#This Row],[Cost Price]]*Table1[[#This Row],[Quantity]]</f>
        <v>800000</v>
      </c>
      <c r="O667" s="9">
        <f>Table1[[#This Row],[Revenue]]-Table1[[#This Row],[COGS]]</f>
        <v>200000</v>
      </c>
      <c r="P667" s="6">
        <v>666</v>
      </c>
    </row>
    <row r="668" spans="1:16">
      <c r="A668" s="7" t="s">
        <v>115</v>
      </c>
      <c r="B668" s="7" t="str">
        <f>TEXT(Table1[[#This Row],[Date]],"MMM")</f>
        <v>Jan</v>
      </c>
      <c r="C668" t="s">
        <v>35</v>
      </c>
      <c r="D668" t="s">
        <v>28</v>
      </c>
      <c r="E668" t="s">
        <v>41</v>
      </c>
      <c r="F668" t="s">
        <v>30</v>
      </c>
      <c r="G668" t="s">
        <v>56</v>
      </c>
      <c r="H668" t="s">
        <v>32</v>
      </c>
      <c r="I668" s="9">
        <v>320000</v>
      </c>
      <c r="J668">
        <v>5</v>
      </c>
      <c r="K668" t="s">
        <v>47</v>
      </c>
      <c r="L668" s="9">
        <f t="shared" si="10"/>
        <v>256000</v>
      </c>
      <c r="M668" s="9">
        <f>Table1[[#This Row],[Unit Price]]*Table1[[#This Row],[Quantity]]</f>
        <v>1600000</v>
      </c>
      <c r="N668" s="9">
        <f>Table1[[#This Row],[Cost Price]]*Table1[[#This Row],[Quantity]]</f>
        <v>1280000</v>
      </c>
      <c r="O668" s="9">
        <f>Table1[[#This Row],[Revenue]]-Table1[[#This Row],[COGS]]</f>
        <v>320000</v>
      </c>
      <c r="P668" s="6">
        <v>667</v>
      </c>
    </row>
    <row r="669" spans="1:16">
      <c r="A669" s="7" t="s">
        <v>68</v>
      </c>
      <c r="B669" s="7" t="str">
        <f>TEXT(Table1[[#This Row],[Date]],"MMM")</f>
        <v>Mar</v>
      </c>
      <c r="C669" t="s">
        <v>35</v>
      </c>
      <c r="D669" t="s">
        <v>36</v>
      </c>
      <c r="E669" t="s">
        <v>29</v>
      </c>
      <c r="F669" t="s">
        <v>37</v>
      </c>
      <c r="G669" t="s">
        <v>56</v>
      </c>
      <c r="H669" t="s">
        <v>32</v>
      </c>
      <c r="I669" s="9">
        <v>320000</v>
      </c>
      <c r="J669">
        <v>9</v>
      </c>
      <c r="K669" t="s">
        <v>69</v>
      </c>
      <c r="L669" s="9">
        <f t="shared" si="10"/>
        <v>256000</v>
      </c>
      <c r="M669" s="9">
        <f>Table1[[#This Row],[Unit Price]]*Table1[[#This Row],[Quantity]]</f>
        <v>2880000</v>
      </c>
      <c r="N669" s="9">
        <f>Table1[[#This Row],[Cost Price]]*Table1[[#This Row],[Quantity]]</f>
        <v>2304000</v>
      </c>
      <c r="O669" s="9">
        <f>Table1[[#This Row],[Revenue]]-Table1[[#This Row],[COGS]]</f>
        <v>576000</v>
      </c>
      <c r="P669" s="6">
        <v>668</v>
      </c>
    </row>
    <row r="670" spans="1:16">
      <c r="A670" s="7" t="s">
        <v>104</v>
      </c>
      <c r="B670" s="7" t="str">
        <f>TEXT(Table1[[#This Row],[Date]],"MMM")</f>
        <v>Mar</v>
      </c>
      <c r="C670" t="s">
        <v>35</v>
      </c>
      <c r="D670" t="s">
        <v>36</v>
      </c>
      <c r="E670" t="s">
        <v>29</v>
      </c>
      <c r="F670" t="s">
        <v>30</v>
      </c>
      <c r="G670" t="s">
        <v>54</v>
      </c>
      <c r="H670" t="s">
        <v>39</v>
      </c>
      <c r="I670" s="9">
        <v>180000</v>
      </c>
      <c r="J670">
        <v>1</v>
      </c>
      <c r="K670" t="s">
        <v>65</v>
      </c>
      <c r="L670" s="9">
        <f t="shared" si="10"/>
        <v>144000</v>
      </c>
      <c r="M670" s="9">
        <f>Table1[[#This Row],[Unit Price]]*Table1[[#This Row],[Quantity]]</f>
        <v>180000</v>
      </c>
      <c r="N670" s="9">
        <f>Table1[[#This Row],[Cost Price]]*Table1[[#This Row],[Quantity]]</f>
        <v>144000</v>
      </c>
      <c r="O670" s="9">
        <f>Table1[[#This Row],[Revenue]]-Table1[[#This Row],[COGS]]</f>
        <v>36000</v>
      </c>
      <c r="P670" s="6">
        <v>669</v>
      </c>
    </row>
    <row r="671" spans="1:16">
      <c r="A671" s="7" t="s">
        <v>93</v>
      </c>
      <c r="B671" s="7" t="str">
        <f>TEXT(Table1[[#This Row],[Date]],"MMM")</f>
        <v>Apr</v>
      </c>
      <c r="C671" t="s">
        <v>44</v>
      </c>
      <c r="D671" t="s">
        <v>28</v>
      </c>
      <c r="E671" t="s">
        <v>29</v>
      </c>
      <c r="F671" t="s">
        <v>30</v>
      </c>
      <c r="G671" t="s">
        <v>38</v>
      </c>
      <c r="H671" t="s">
        <v>39</v>
      </c>
      <c r="I671" s="9">
        <v>30000</v>
      </c>
      <c r="J671">
        <v>7</v>
      </c>
      <c r="K671" t="s">
        <v>47</v>
      </c>
      <c r="L671" s="9">
        <f t="shared" si="10"/>
        <v>24000</v>
      </c>
      <c r="M671" s="9">
        <f>Table1[[#This Row],[Unit Price]]*Table1[[#This Row],[Quantity]]</f>
        <v>210000</v>
      </c>
      <c r="N671" s="9">
        <f>Table1[[#This Row],[Cost Price]]*Table1[[#This Row],[Quantity]]</f>
        <v>168000</v>
      </c>
      <c r="O671" s="9">
        <f>Table1[[#This Row],[Revenue]]-Table1[[#This Row],[COGS]]</f>
        <v>42000</v>
      </c>
      <c r="P671" s="6">
        <v>670</v>
      </c>
    </row>
    <row r="672" spans="1:16">
      <c r="A672" s="7" t="s">
        <v>34</v>
      </c>
      <c r="B672" s="7" t="str">
        <f>TEXT(Table1[[#This Row],[Date]],"MMM")</f>
        <v>Apr</v>
      </c>
      <c r="C672" t="s">
        <v>49</v>
      </c>
      <c r="D672" t="s">
        <v>53</v>
      </c>
      <c r="E672" t="s">
        <v>41</v>
      </c>
      <c r="F672" t="s">
        <v>37</v>
      </c>
      <c r="G672" t="s">
        <v>73</v>
      </c>
      <c r="H672" t="s">
        <v>39</v>
      </c>
      <c r="I672" s="9">
        <v>220000</v>
      </c>
      <c r="J672">
        <v>5</v>
      </c>
      <c r="K672" t="s">
        <v>58</v>
      </c>
      <c r="L672" s="9">
        <f t="shared" si="10"/>
        <v>176000</v>
      </c>
      <c r="M672" s="9">
        <f>Table1[[#This Row],[Unit Price]]*Table1[[#This Row],[Quantity]]</f>
        <v>1100000</v>
      </c>
      <c r="N672" s="9">
        <f>Table1[[#This Row],[Cost Price]]*Table1[[#This Row],[Quantity]]</f>
        <v>880000</v>
      </c>
      <c r="O672" s="9">
        <f>Table1[[#This Row],[Revenue]]-Table1[[#This Row],[COGS]]</f>
        <v>220000</v>
      </c>
      <c r="P672" s="6">
        <v>671</v>
      </c>
    </row>
    <row r="673" spans="1:16">
      <c r="A673" s="7" t="s">
        <v>79</v>
      </c>
      <c r="B673" s="7" t="str">
        <f>TEXT(Table1[[#This Row],[Date]],"MMM")</f>
        <v>Feb</v>
      </c>
      <c r="C673" t="s">
        <v>49</v>
      </c>
      <c r="D673" t="s">
        <v>53</v>
      </c>
      <c r="E673" t="s">
        <v>41</v>
      </c>
      <c r="F673" t="s">
        <v>30</v>
      </c>
      <c r="G673" t="s">
        <v>54</v>
      </c>
      <c r="H673" t="s">
        <v>39</v>
      </c>
      <c r="I673" s="9">
        <v>180000</v>
      </c>
      <c r="J673">
        <v>4</v>
      </c>
      <c r="K673" t="s">
        <v>69</v>
      </c>
      <c r="L673" s="9">
        <f t="shared" si="10"/>
        <v>144000</v>
      </c>
      <c r="M673" s="9">
        <f>Table1[[#This Row],[Unit Price]]*Table1[[#This Row],[Quantity]]</f>
        <v>720000</v>
      </c>
      <c r="N673" s="9">
        <f>Table1[[#This Row],[Cost Price]]*Table1[[#This Row],[Quantity]]</f>
        <v>576000</v>
      </c>
      <c r="O673" s="9">
        <f>Table1[[#This Row],[Revenue]]-Table1[[#This Row],[COGS]]</f>
        <v>144000</v>
      </c>
      <c r="P673" s="6">
        <v>672</v>
      </c>
    </row>
    <row r="674" spans="1:16">
      <c r="A674" s="7" t="s">
        <v>87</v>
      </c>
      <c r="B674" s="7" t="str">
        <f>TEXT(Table1[[#This Row],[Date]],"MMM")</f>
        <v>Mar</v>
      </c>
      <c r="C674" t="s">
        <v>44</v>
      </c>
      <c r="D674" t="s">
        <v>28</v>
      </c>
      <c r="E674" t="s">
        <v>41</v>
      </c>
      <c r="F674" t="s">
        <v>30</v>
      </c>
      <c r="G674" t="s">
        <v>54</v>
      </c>
      <c r="H674" t="s">
        <v>39</v>
      </c>
      <c r="I674" s="9">
        <v>180000</v>
      </c>
      <c r="J674">
        <v>2</v>
      </c>
      <c r="K674" t="s">
        <v>47</v>
      </c>
      <c r="L674" s="9">
        <f t="shared" si="10"/>
        <v>144000</v>
      </c>
      <c r="M674" s="9">
        <f>Table1[[#This Row],[Unit Price]]*Table1[[#This Row],[Quantity]]</f>
        <v>360000</v>
      </c>
      <c r="N674" s="9">
        <f>Table1[[#This Row],[Cost Price]]*Table1[[#This Row],[Quantity]]</f>
        <v>288000</v>
      </c>
      <c r="O674" s="9">
        <f>Table1[[#This Row],[Revenue]]-Table1[[#This Row],[COGS]]</f>
        <v>72000</v>
      </c>
      <c r="P674" s="6">
        <v>673</v>
      </c>
    </row>
    <row r="675" spans="1:16">
      <c r="A675" s="7" t="s">
        <v>72</v>
      </c>
      <c r="B675" s="7" t="str">
        <f>TEXT(Table1[[#This Row],[Date]],"MMM")</f>
        <v>Feb</v>
      </c>
      <c r="C675" t="s">
        <v>27</v>
      </c>
      <c r="D675" t="s">
        <v>45</v>
      </c>
      <c r="E675" t="s">
        <v>41</v>
      </c>
      <c r="F675" t="s">
        <v>30</v>
      </c>
      <c r="G675" t="s">
        <v>73</v>
      </c>
      <c r="H675" t="s">
        <v>39</v>
      </c>
      <c r="I675" s="9">
        <v>220000</v>
      </c>
      <c r="J675">
        <v>2</v>
      </c>
      <c r="K675" t="s">
        <v>65</v>
      </c>
      <c r="L675" s="9">
        <f t="shared" si="10"/>
        <v>176000</v>
      </c>
      <c r="M675" s="9">
        <f>Table1[[#This Row],[Unit Price]]*Table1[[#This Row],[Quantity]]</f>
        <v>440000</v>
      </c>
      <c r="N675" s="9">
        <f>Table1[[#This Row],[Cost Price]]*Table1[[#This Row],[Quantity]]</f>
        <v>352000</v>
      </c>
      <c r="O675" s="9">
        <f>Table1[[#This Row],[Revenue]]-Table1[[#This Row],[COGS]]</f>
        <v>88000</v>
      </c>
      <c r="P675" s="6">
        <v>674</v>
      </c>
    </row>
    <row r="676" spans="1:16">
      <c r="A676" s="7" t="s">
        <v>143</v>
      </c>
      <c r="B676" s="7" t="str">
        <f>TEXT(Table1[[#This Row],[Date]],"MMM")</f>
        <v>Apr</v>
      </c>
      <c r="C676" t="s">
        <v>27</v>
      </c>
      <c r="D676" t="s">
        <v>36</v>
      </c>
      <c r="E676" t="s">
        <v>41</v>
      </c>
      <c r="F676" t="s">
        <v>37</v>
      </c>
      <c r="G676" t="s">
        <v>46</v>
      </c>
      <c r="H676" t="s">
        <v>39</v>
      </c>
      <c r="I676" s="9">
        <v>60000</v>
      </c>
      <c r="J676">
        <v>10</v>
      </c>
      <c r="K676" t="s">
        <v>65</v>
      </c>
      <c r="L676" s="9">
        <f t="shared" si="10"/>
        <v>48000</v>
      </c>
      <c r="M676" s="9">
        <f>Table1[[#This Row],[Unit Price]]*Table1[[#This Row],[Quantity]]</f>
        <v>600000</v>
      </c>
      <c r="N676" s="9">
        <f>Table1[[#This Row],[Cost Price]]*Table1[[#This Row],[Quantity]]</f>
        <v>480000</v>
      </c>
      <c r="O676" s="9">
        <f>Table1[[#This Row],[Revenue]]-Table1[[#This Row],[COGS]]</f>
        <v>120000</v>
      </c>
      <c r="P676" s="6">
        <v>675</v>
      </c>
    </row>
    <row r="677" spans="1:16">
      <c r="A677" s="7" t="s">
        <v>111</v>
      </c>
      <c r="B677" s="7" t="str">
        <f>TEXT(Table1[[#This Row],[Date]],"MMM")</f>
        <v>Feb</v>
      </c>
      <c r="C677" t="s">
        <v>49</v>
      </c>
      <c r="D677" t="s">
        <v>28</v>
      </c>
      <c r="E677" t="s">
        <v>29</v>
      </c>
      <c r="F677" t="s">
        <v>37</v>
      </c>
      <c r="G677" t="s">
        <v>38</v>
      </c>
      <c r="H677" t="s">
        <v>39</v>
      </c>
      <c r="I677" s="9">
        <v>30000</v>
      </c>
      <c r="J677">
        <v>2</v>
      </c>
      <c r="K677" t="s">
        <v>69</v>
      </c>
      <c r="L677" s="9">
        <f t="shared" si="10"/>
        <v>24000</v>
      </c>
      <c r="M677" s="9">
        <f>Table1[[#This Row],[Unit Price]]*Table1[[#This Row],[Quantity]]</f>
        <v>60000</v>
      </c>
      <c r="N677" s="9">
        <f>Table1[[#This Row],[Cost Price]]*Table1[[#This Row],[Quantity]]</f>
        <v>48000</v>
      </c>
      <c r="O677" s="9">
        <f>Table1[[#This Row],[Revenue]]-Table1[[#This Row],[COGS]]</f>
        <v>12000</v>
      </c>
      <c r="P677" s="6">
        <v>676</v>
      </c>
    </row>
    <row r="678" spans="1:16">
      <c r="A678" s="7" t="s">
        <v>158</v>
      </c>
      <c r="B678" s="7" t="str">
        <f>TEXT(Table1[[#This Row],[Date]],"MMM")</f>
        <v>Jan</v>
      </c>
      <c r="C678" t="s">
        <v>35</v>
      </c>
      <c r="D678" t="s">
        <v>36</v>
      </c>
      <c r="E678" t="s">
        <v>41</v>
      </c>
      <c r="F678" t="s">
        <v>30</v>
      </c>
      <c r="G678" t="s">
        <v>50</v>
      </c>
      <c r="H678" t="s">
        <v>51</v>
      </c>
      <c r="I678" s="9">
        <v>300000</v>
      </c>
      <c r="J678">
        <v>3</v>
      </c>
      <c r="K678" t="s">
        <v>42</v>
      </c>
      <c r="L678" s="9">
        <f t="shared" si="10"/>
        <v>240000</v>
      </c>
      <c r="M678" s="9">
        <f>Table1[[#This Row],[Unit Price]]*Table1[[#This Row],[Quantity]]</f>
        <v>900000</v>
      </c>
      <c r="N678" s="9">
        <f>Table1[[#This Row],[Cost Price]]*Table1[[#This Row],[Quantity]]</f>
        <v>720000</v>
      </c>
      <c r="O678" s="9">
        <f>Table1[[#This Row],[Revenue]]-Table1[[#This Row],[COGS]]</f>
        <v>180000</v>
      </c>
      <c r="P678" s="6">
        <v>677</v>
      </c>
    </row>
    <row r="679" spans="1:16">
      <c r="A679" s="7" t="s">
        <v>87</v>
      </c>
      <c r="B679" s="7" t="str">
        <f>TEXT(Table1[[#This Row],[Date]],"MMM")</f>
        <v>Mar</v>
      </c>
      <c r="C679" t="s">
        <v>44</v>
      </c>
      <c r="D679" t="s">
        <v>45</v>
      </c>
      <c r="E679" t="s">
        <v>29</v>
      </c>
      <c r="F679" t="s">
        <v>37</v>
      </c>
      <c r="G679" t="s">
        <v>38</v>
      </c>
      <c r="H679" t="s">
        <v>39</v>
      </c>
      <c r="I679" s="9">
        <v>30000</v>
      </c>
      <c r="J679">
        <v>8</v>
      </c>
      <c r="K679" t="s">
        <v>33</v>
      </c>
      <c r="L679" s="9">
        <f t="shared" si="10"/>
        <v>24000</v>
      </c>
      <c r="M679" s="9">
        <f>Table1[[#This Row],[Unit Price]]*Table1[[#This Row],[Quantity]]</f>
        <v>240000</v>
      </c>
      <c r="N679" s="9">
        <f>Table1[[#This Row],[Cost Price]]*Table1[[#This Row],[Quantity]]</f>
        <v>192000</v>
      </c>
      <c r="O679" s="9">
        <f>Table1[[#This Row],[Revenue]]-Table1[[#This Row],[COGS]]</f>
        <v>48000</v>
      </c>
      <c r="P679" s="6">
        <v>678</v>
      </c>
    </row>
    <row r="680" spans="1:16">
      <c r="A680" s="7" t="s">
        <v>75</v>
      </c>
      <c r="B680" s="7" t="str">
        <f>TEXT(Table1[[#This Row],[Date]],"MMM")</f>
        <v>Mar</v>
      </c>
      <c r="C680" t="s">
        <v>49</v>
      </c>
      <c r="D680" t="s">
        <v>28</v>
      </c>
      <c r="E680" t="s">
        <v>29</v>
      </c>
      <c r="F680" t="s">
        <v>30</v>
      </c>
      <c r="G680" t="s">
        <v>50</v>
      </c>
      <c r="H680" t="s">
        <v>51</v>
      </c>
      <c r="I680" s="9">
        <v>300000</v>
      </c>
      <c r="J680">
        <v>7</v>
      </c>
      <c r="K680" t="s">
        <v>33</v>
      </c>
      <c r="L680" s="9">
        <f t="shared" si="10"/>
        <v>240000</v>
      </c>
      <c r="M680" s="9">
        <f>Table1[[#This Row],[Unit Price]]*Table1[[#This Row],[Quantity]]</f>
        <v>2100000</v>
      </c>
      <c r="N680" s="9">
        <f>Table1[[#This Row],[Cost Price]]*Table1[[#This Row],[Quantity]]</f>
        <v>1680000</v>
      </c>
      <c r="O680" s="9">
        <f>Table1[[#This Row],[Revenue]]-Table1[[#This Row],[COGS]]</f>
        <v>420000</v>
      </c>
      <c r="P680" s="6">
        <v>679</v>
      </c>
    </row>
    <row r="681" spans="1:16">
      <c r="A681" s="7" t="s">
        <v>132</v>
      </c>
      <c r="B681" s="7" t="str">
        <f>TEXT(Table1[[#This Row],[Date]],"MMM")</f>
        <v>Apr</v>
      </c>
      <c r="C681" t="s">
        <v>35</v>
      </c>
      <c r="D681" t="s">
        <v>28</v>
      </c>
      <c r="E681" t="s">
        <v>29</v>
      </c>
      <c r="F681" t="s">
        <v>30</v>
      </c>
      <c r="G681" t="s">
        <v>38</v>
      </c>
      <c r="H681" t="s">
        <v>39</v>
      </c>
      <c r="I681" s="9">
        <v>30000</v>
      </c>
      <c r="J681">
        <v>2</v>
      </c>
      <c r="K681" t="s">
        <v>58</v>
      </c>
      <c r="L681" s="9">
        <f t="shared" si="10"/>
        <v>24000</v>
      </c>
      <c r="M681" s="9">
        <f>Table1[[#This Row],[Unit Price]]*Table1[[#This Row],[Quantity]]</f>
        <v>60000</v>
      </c>
      <c r="N681" s="9">
        <f>Table1[[#This Row],[Cost Price]]*Table1[[#This Row],[Quantity]]</f>
        <v>48000</v>
      </c>
      <c r="O681" s="9">
        <f>Table1[[#This Row],[Revenue]]-Table1[[#This Row],[COGS]]</f>
        <v>12000</v>
      </c>
      <c r="P681" s="6">
        <v>680</v>
      </c>
    </row>
    <row r="682" spans="1:16">
      <c r="A682" s="7" t="s">
        <v>104</v>
      </c>
      <c r="B682" s="7" t="str">
        <f>TEXT(Table1[[#This Row],[Date]],"MMM")</f>
        <v>Mar</v>
      </c>
      <c r="C682" t="s">
        <v>35</v>
      </c>
      <c r="D682" t="s">
        <v>28</v>
      </c>
      <c r="E682" t="s">
        <v>41</v>
      </c>
      <c r="F682" t="s">
        <v>37</v>
      </c>
      <c r="G682" t="s">
        <v>73</v>
      </c>
      <c r="H682" t="s">
        <v>39</v>
      </c>
      <c r="I682" s="9">
        <v>220000</v>
      </c>
      <c r="J682">
        <v>8</v>
      </c>
      <c r="K682" t="s">
        <v>47</v>
      </c>
      <c r="L682" s="9">
        <f t="shared" si="10"/>
        <v>176000</v>
      </c>
      <c r="M682" s="9">
        <f>Table1[[#This Row],[Unit Price]]*Table1[[#This Row],[Quantity]]</f>
        <v>1760000</v>
      </c>
      <c r="N682" s="9">
        <f>Table1[[#This Row],[Cost Price]]*Table1[[#This Row],[Quantity]]</f>
        <v>1408000</v>
      </c>
      <c r="O682" s="9">
        <f>Table1[[#This Row],[Revenue]]-Table1[[#This Row],[COGS]]</f>
        <v>352000</v>
      </c>
      <c r="P682" s="6">
        <v>681</v>
      </c>
    </row>
    <row r="683" spans="1:16">
      <c r="A683" s="7" t="s">
        <v>165</v>
      </c>
      <c r="B683" s="7" t="str">
        <f>TEXT(Table1[[#This Row],[Date]],"MMM")</f>
        <v>Apr</v>
      </c>
      <c r="C683" t="s">
        <v>27</v>
      </c>
      <c r="D683" t="s">
        <v>45</v>
      </c>
      <c r="E683" t="s">
        <v>29</v>
      </c>
      <c r="F683" t="s">
        <v>30</v>
      </c>
      <c r="G683" t="s">
        <v>46</v>
      </c>
      <c r="H683" t="s">
        <v>39</v>
      </c>
      <c r="I683" s="9">
        <v>60000</v>
      </c>
      <c r="J683">
        <v>1</v>
      </c>
      <c r="K683" t="s">
        <v>33</v>
      </c>
      <c r="L683" s="9">
        <f t="shared" si="10"/>
        <v>48000</v>
      </c>
      <c r="M683" s="9">
        <f>Table1[[#This Row],[Unit Price]]*Table1[[#This Row],[Quantity]]</f>
        <v>60000</v>
      </c>
      <c r="N683" s="9">
        <f>Table1[[#This Row],[Cost Price]]*Table1[[#This Row],[Quantity]]</f>
        <v>48000</v>
      </c>
      <c r="O683" s="9">
        <f>Table1[[#This Row],[Revenue]]-Table1[[#This Row],[COGS]]</f>
        <v>12000</v>
      </c>
      <c r="P683" s="6">
        <v>682</v>
      </c>
    </row>
    <row r="684" spans="1:16">
      <c r="A684" s="7" t="s">
        <v>82</v>
      </c>
      <c r="B684" s="7" t="str">
        <f>TEXT(Table1[[#This Row],[Date]],"MMM")</f>
        <v>Mar</v>
      </c>
      <c r="C684" t="s">
        <v>44</v>
      </c>
      <c r="D684" t="s">
        <v>45</v>
      </c>
      <c r="E684" t="s">
        <v>41</v>
      </c>
      <c r="F684" t="s">
        <v>30</v>
      </c>
      <c r="G684" t="s">
        <v>31</v>
      </c>
      <c r="H684" t="s">
        <v>32</v>
      </c>
      <c r="I684" s="9">
        <v>85000</v>
      </c>
      <c r="J684">
        <v>9</v>
      </c>
      <c r="K684" t="s">
        <v>65</v>
      </c>
      <c r="L684" s="9">
        <f t="shared" si="10"/>
        <v>68000</v>
      </c>
      <c r="M684" s="9">
        <f>Table1[[#This Row],[Unit Price]]*Table1[[#This Row],[Quantity]]</f>
        <v>765000</v>
      </c>
      <c r="N684" s="9">
        <f>Table1[[#This Row],[Cost Price]]*Table1[[#This Row],[Quantity]]</f>
        <v>612000</v>
      </c>
      <c r="O684" s="9">
        <f>Table1[[#This Row],[Revenue]]-Table1[[#This Row],[COGS]]</f>
        <v>153000</v>
      </c>
      <c r="P684" s="6">
        <v>683</v>
      </c>
    </row>
    <row r="685" spans="1:16">
      <c r="A685" s="7" t="s">
        <v>79</v>
      </c>
      <c r="B685" s="7" t="str">
        <f>TEXT(Table1[[#This Row],[Date]],"MMM")</f>
        <v>Feb</v>
      </c>
      <c r="C685" t="s">
        <v>35</v>
      </c>
      <c r="D685" t="s">
        <v>36</v>
      </c>
      <c r="E685" t="s">
        <v>29</v>
      </c>
      <c r="F685" t="s">
        <v>37</v>
      </c>
      <c r="G685" t="s">
        <v>31</v>
      </c>
      <c r="H685" t="s">
        <v>32</v>
      </c>
      <c r="I685" s="9">
        <v>85000</v>
      </c>
      <c r="J685">
        <v>4</v>
      </c>
      <c r="K685" t="s">
        <v>58</v>
      </c>
      <c r="L685" s="9">
        <f t="shared" si="10"/>
        <v>68000</v>
      </c>
      <c r="M685" s="9">
        <f>Table1[[#This Row],[Unit Price]]*Table1[[#This Row],[Quantity]]</f>
        <v>340000</v>
      </c>
      <c r="N685" s="9">
        <f>Table1[[#This Row],[Cost Price]]*Table1[[#This Row],[Quantity]]</f>
        <v>272000</v>
      </c>
      <c r="O685" s="9">
        <f>Table1[[#This Row],[Revenue]]-Table1[[#This Row],[COGS]]</f>
        <v>68000</v>
      </c>
      <c r="P685" s="6">
        <v>684</v>
      </c>
    </row>
    <row r="686" spans="1:16">
      <c r="A686" s="7" t="s">
        <v>152</v>
      </c>
      <c r="B686" s="7" t="str">
        <f>TEXT(Table1[[#This Row],[Date]],"MMM")</f>
        <v>Jan</v>
      </c>
      <c r="C686" t="s">
        <v>35</v>
      </c>
      <c r="D686" t="s">
        <v>53</v>
      </c>
      <c r="E686" t="s">
        <v>41</v>
      </c>
      <c r="F686" t="s">
        <v>37</v>
      </c>
      <c r="G686" t="s">
        <v>54</v>
      </c>
      <c r="H686" t="s">
        <v>39</v>
      </c>
      <c r="I686" s="9">
        <v>180000</v>
      </c>
      <c r="J686">
        <v>6</v>
      </c>
      <c r="K686" t="s">
        <v>33</v>
      </c>
      <c r="L686" s="9">
        <f t="shared" si="10"/>
        <v>144000</v>
      </c>
      <c r="M686" s="9">
        <f>Table1[[#This Row],[Unit Price]]*Table1[[#This Row],[Quantity]]</f>
        <v>1080000</v>
      </c>
      <c r="N686" s="9">
        <f>Table1[[#This Row],[Cost Price]]*Table1[[#This Row],[Quantity]]</f>
        <v>864000</v>
      </c>
      <c r="O686" s="9">
        <f>Table1[[#This Row],[Revenue]]-Table1[[#This Row],[COGS]]</f>
        <v>216000</v>
      </c>
      <c r="P686" s="6">
        <v>685</v>
      </c>
    </row>
    <row r="687" spans="1:16">
      <c r="A687" s="7" t="s">
        <v>81</v>
      </c>
      <c r="B687" s="7" t="str">
        <f>TEXT(Table1[[#This Row],[Date]],"MMM")</f>
        <v>Mar</v>
      </c>
      <c r="C687" t="s">
        <v>27</v>
      </c>
      <c r="D687" t="s">
        <v>53</v>
      </c>
      <c r="E687" t="s">
        <v>29</v>
      </c>
      <c r="F687" t="s">
        <v>30</v>
      </c>
      <c r="G687" t="s">
        <v>54</v>
      </c>
      <c r="H687" t="s">
        <v>39</v>
      </c>
      <c r="I687" s="9">
        <v>180000</v>
      </c>
      <c r="J687">
        <v>2</v>
      </c>
      <c r="K687" t="s">
        <v>69</v>
      </c>
      <c r="L687" s="9">
        <f t="shared" si="10"/>
        <v>144000</v>
      </c>
      <c r="M687" s="9">
        <f>Table1[[#This Row],[Unit Price]]*Table1[[#This Row],[Quantity]]</f>
        <v>360000</v>
      </c>
      <c r="N687" s="9">
        <f>Table1[[#This Row],[Cost Price]]*Table1[[#This Row],[Quantity]]</f>
        <v>288000</v>
      </c>
      <c r="O687" s="9">
        <f>Table1[[#This Row],[Revenue]]-Table1[[#This Row],[COGS]]</f>
        <v>72000</v>
      </c>
      <c r="P687" s="6">
        <v>686</v>
      </c>
    </row>
    <row r="688" spans="1:16">
      <c r="A688" s="7" t="s">
        <v>146</v>
      </c>
      <c r="B688" s="7" t="str">
        <f>TEXT(Table1[[#This Row],[Date]],"MMM")</f>
        <v>Jan</v>
      </c>
      <c r="C688" t="s">
        <v>49</v>
      </c>
      <c r="D688" t="s">
        <v>28</v>
      </c>
      <c r="E688" t="s">
        <v>29</v>
      </c>
      <c r="F688" t="s">
        <v>30</v>
      </c>
      <c r="G688" t="s">
        <v>46</v>
      </c>
      <c r="H688" t="s">
        <v>39</v>
      </c>
      <c r="I688" s="9">
        <v>60000</v>
      </c>
      <c r="J688">
        <v>8</v>
      </c>
      <c r="K688" t="s">
        <v>47</v>
      </c>
      <c r="L688" s="9">
        <f t="shared" si="10"/>
        <v>48000</v>
      </c>
      <c r="M688" s="9">
        <f>Table1[[#This Row],[Unit Price]]*Table1[[#This Row],[Quantity]]</f>
        <v>480000</v>
      </c>
      <c r="N688" s="9">
        <f>Table1[[#This Row],[Cost Price]]*Table1[[#This Row],[Quantity]]</f>
        <v>384000</v>
      </c>
      <c r="O688" s="9">
        <f>Table1[[#This Row],[Revenue]]-Table1[[#This Row],[COGS]]</f>
        <v>96000</v>
      </c>
      <c r="P688" s="6">
        <v>687</v>
      </c>
    </row>
    <row r="689" spans="1:16">
      <c r="A689" s="7" t="s">
        <v>84</v>
      </c>
      <c r="B689" s="7" t="str">
        <f>TEXT(Table1[[#This Row],[Date]],"MMM")</f>
        <v>Jan</v>
      </c>
      <c r="C689" t="s">
        <v>49</v>
      </c>
      <c r="D689" t="s">
        <v>53</v>
      </c>
      <c r="E689" t="s">
        <v>29</v>
      </c>
      <c r="F689" t="s">
        <v>30</v>
      </c>
      <c r="G689" t="s">
        <v>56</v>
      </c>
      <c r="H689" t="s">
        <v>32</v>
      </c>
      <c r="I689" s="9">
        <v>320000</v>
      </c>
      <c r="J689">
        <v>4</v>
      </c>
      <c r="K689" t="s">
        <v>58</v>
      </c>
      <c r="L689" s="9">
        <f t="shared" si="10"/>
        <v>256000</v>
      </c>
      <c r="M689" s="9">
        <f>Table1[[#This Row],[Unit Price]]*Table1[[#This Row],[Quantity]]</f>
        <v>1280000</v>
      </c>
      <c r="N689" s="9">
        <f>Table1[[#This Row],[Cost Price]]*Table1[[#This Row],[Quantity]]</f>
        <v>1024000</v>
      </c>
      <c r="O689" s="9">
        <f>Table1[[#This Row],[Revenue]]-Table1[[#This Row],[COGS]]</f>
        <v>256000</v>
      </c>
      <c r="P689" s="6">
        <v>688</v>
      </c>
    </row>
    <row r="690" spans="1:16">
      <c r="A690" s="7" t="s">
        <v>137</v>
      </c>
      <c r="B690" s="7" t="str">
        <f>TEXT(Table1[[#This Row],[Date]],"MMM")</f>
        <v>Apr</v>
      </c>
      <c r="C690" t="s">
        <v>35</v>
      </c>
      <c r="D690" t="s">
        <v>36</v>
      </c>
      <c r="E690" t="s">
        <v>41</v>
      </c>
      <c r="F690" t="s">
        <v>30</v>
      </c>
      <c r="G690" t="s">
        <v>54</v>
      </c>
      <c r="H690" t="s">
        <v>39</v>
      </c>
      <c r="I690" s="9">
        <v>180000</v>
      </c>
      <c r="J690">
        <v>3</v>
      </c>
      <c r="K690" t="s">
        <v>42</v>
      </c>
      <c r="L690" s="9">
        <f t="shared" si="10"/>
        <v>144000</v>
      </c>
      <c r="M690" s="9">
        <f>Table1[[#This Row],[Unit Price]]*Table1[[#This Row],[Quantity]]</f>
        <v>540000</v>
      </c>
      <c r="N690" s="9">
        <f>Table1[[#This Row],[Cost Price]]*Table1[[#This Row],[Quantity]]</f>
        <v>432000</v>
      </c>
      <c r="O690" s="9">
        <f>Table1[[#This Row],[Revenue]]-Table1[[#This Row],[COGS]]</f>
        <v>108000</v>
      </c>
      <c r="P690" s="6">
        <v>689</v>
      </c>
    </row>
    <row r="691" spans="1:16">
      <c r="A691" s="7" t="s">
        <v>122</v>
      </c>
      <c r="B691" s="7" t="str">
        <f>TEXT(Table1[[#This Row],[Date]],"MMM")</f>
        <v>Mar</v>
      </c>
      <c r="C691" t="s">
        <v>35</v>
      </c>
      <c r="D691" t="s">
        <v>28</v>
      </c>
      <c r="E691" t="s">
        <v>29</v>
      </c>
      <c r="F691" t="s">
        <v>37</v>
      </c>
      <c r="G691" t="s">
        <v>62</v>
      </c>
      <c r="H691" t="s">
        <v>51</v>
      </c>
      <c r="I691" s="9">
        <v>150000</v>
      </c>
      <c r="J691">
        <v>9</v>
      </c>
      <c r="K691" t="s">
        <v>47</v>
      </c>
      <c r="L691" s="9">
        <f t="shared" si="10"/>
        <v>120000</v>
      </c>
      <c r="M691" s="9">
        <f>Table1[[#This Row],[Unit Price]]*Table1[[#This Row],[Quantity]]</f>
        <v>1350000</v>
      </c>
      <c r="N691" s="9">
        <f>Table1[[#This Row],[Cost Price]]*Table1[[#This Row],[Quantity]]</f>
        <v>1080000</v>
      </c>
      <c r="O691" s="9">
        <f>Table1[[#This Row],[Revenue]]-Table1[[#This Row],[COGS]]</f>
        <v>270000</v>
      </c>
      <c r="P691" s="6">
        <v>690</v>
      </c>
    </row>
    <row r="692" spans="1:16">
      <c r="A692" s="7" t="s">
        <v>140</v>
      </c>
      <c r="B692" s="7" t="str">
        <f>TEXT(Table1[[#This Row],[Date]],"MMM")</f>
        <v>Apr</v>
      </c>
      <c r="C692" t="s">
        <v>35</v>
      </c>
      <c r="D692" t="s">
        <v>36</v>
      </c>
      <c r="E692" t="s">
        <v>41</v>
      </c>
      <c r="F692" t="s">
        <v>37</v>
      </c>
      <c r="G692" t="s">
        <v>31</v>
      </c>
      <c r="H692" t="s">
        <v>32</v>
      </c>
      <c r="I692" s="9">
        <v>85000</v>
      </c>
      <c r="J692">
        <v>4</v>
      </c>
      <c r="K692" t="s">
        <v>33</v>
      </c>
      <c r="L692" s="9">
        <f t="shared" si="10"/>
        <v>68000</v>
      </c>
      <c r="M692" s="9">
        <f>Table1[[#This Row],[Unit Price]]*Table1[[#This Row],[Quantity]]</f>
        <v>340000</v>
      </c>
      <c r="N692" s="9">
        <f>Table1[[#This Row],[Cost Price]]*Table1[[#This Row],[Quantity]]</f>
        <v>272000</v>
      </c>
      <c r="O692" s="9">
        <f>Table1[[#This Row],[Revenue]]-Table1[[#This Row],[COGS]]</f>
        <v>68000</v>
      </c>
      <c r="P692" s="6">
        <v>691</v>
      </c>
    </row>
    <row r="693" spans="1:16">
      <c r="A693" s="7" t="s">
        <v>143</v>
      </c>
      <c r="B693" s="7" t="str">
        <f>TEXT(Table1[[#This Row],[Date]],"MMM")</f>
        <v>Apr</v>
      </c>
      <c r="C693" t="s">
        <v>44</v>
      </c>
      <c r="D693" t="s">
        <v>45</v>
      </c>
      <c r="E693" t="s">
        <v>29</v>
      </c>
      <c r="F693" t="s">
        <v>30</v>
      </c>
      <c r="G693" t="s">
        <v>73</v>
      </c>
      <c r="H693" t="s">
        <v>39</v>
      </c>
      <c r="I693" s="9">
        <v>220000</v>
      </c>
      <c r="J693">
        <v>4</v>
      </c>
      <c r="K693" t="s">
        <v>33</v>
      </c>
      <c r="L693" s="9">
        <f t="shared" si="10"/>
        <v>176000</v>
      </c>
      <c r="M693" s="9">
        <f>Table1[[#This Row],[Unit Price]]*Table1[[#This Row],[Quantity]]</f>
        <v>880000</v>
      </c>
      <c r="N693" s="9">
        <f>Table1[[#This Row],[Cost Price]]*Table1[[#This Row],[Quantity]]</f>
        <v>704000</v>
      </c>
      <c r="O693" s="9">
        <f>Table1[[#This Row],[Revenue]]-Table1[[#This Row],[COGS]]</f>
        <v>176000</v>
      </c>
      <c r="P693" s="6">
        <v>692</v>
      </c>
    </row>
    <row r="694" spans="1:16">
      <c r="A694" s="7" t="s">
        <v>90</v>
      </c>
      <c r="B694" s="7" t="str">
        <f>TEXT(Table1[[#This Row],[Date]],"MMM")</f>
        <v>Feb</v>
      </c>
      <c r="C694" t="s">
        <v>49</v>
      </c>
      <c r="D694" t="s">
        <v>28</v>
      </c>
      <c r="E694" t="s">
        <v>29</v>
      </c>
      <c r="F694" t="s">
        <v>30</v>
      </c>
      <c r="G694" t="s">
        <v>38</v>
      </c>
      <c r="H694" t="s">
        <v>39</v>
      </c>
      <c r="I694" s="9">
        <v>30000</v>
      </c>
      <c r="J694">
        <v>8</v>
      </c>
      <c r="K694" t="s">
        <v>65</v>
      </c>
      <c r="L694" s="9">
        <f t="shared" si="10"/>
        <v>24000</v>
      </c>
      <c r="M694" s="9">
        <f>Table1[[#This Row],[Unit Price]]*Table1[[#This Row],[Quantity]]</f>
        <v>240000</v>
      </c>
      <c r="N694" s="9">
        <f>Table1[[#This Row],[Cost Price]]*Table1[[#This Row],[Quantity]]</f>
        <v>192000</v>
      </c>
      <c r="O694" s="9">
        <f>Table1[[#This Row],[Revenue]]-Table1[[#This Row],[COGS]]</f>
        <v>48000</v>
      </c>
      <c r="P694" s="6">
        <v>693</v>
      </c>
    </row>
    <row r="695" spans="1:16">
      <c r="A695" s="7" t="s">
        <v>158</v>
      </c>
      <c r="B695" s="7" t="str">
        <f>TEXT(Table1[[#This Row],[Date]],"MMM")</f>
        <v>Jan</v>
      </c>
      <c r="C695" t="s">
        <v>44</v>
      </c>
      <c r="D695" t="s">
        <v>28</v>
      </c>
      <c r="E695" t="s">
        <v>29</v>
      </c>
      <c r="F695" t="s">
        <v>30</v>
      </c>
      <c r="G695" t="s">
        <v>31</v>
      </c>
      <c r="H695" t="s">
        <v>32</v>
      </c>
      <c r="I695" s="9">
        <v>85000</v>
      </c>
      <c r="J695">
        <v>4</v>
      </c>
      <c r="K695" t="s">
        <v>33</v>
      </c>
      <c r="L695" s="9">
        <f t="shared" si="10"/>
        <v>68000</v>
      </c>
      <c r="M695" s="9">
        <f>Table1[[#This Row],[Unit Price]]*Table1[[#This Row],[Quantity]]</f>
        <v>340000</v>
      </c>
      <c r="N695" s="9">
        <f>Table1[[#This Row],[Cost Price]]*Table1[[#This Row],[Quantity]]</f>
        <v>272000</v>
      </c>
      <c r="O695" s="9">
        <f>Table1[[#This Row],[Revenue]]-Table1[[#This Row],[COGS]]</f>
        <v>68000</v>
      </c>
      <c r="P695" s="6">
        <v>694</v>
      </c>
    </row>
    <row r="696" spans="1:16">
      <c r="A696" s="7" t="s">
        <v>89</v>
      </c>
      <c r="B696" s="7" t="str">
        <f>TEXT(Table1[[#This Row],[Date]],"MMM")</f>
        <v>Feb</v>
      </c>
      <c r="C696" t="s">
        <v>49</v>
      </c>
      <c r="D696" t="s">
        <v>28</v>
      </c>
      <c r="E696" t="s">
        <v>29</v>
      </c>
      <c r="F696" t="s">
        <v>30</v>
      </c>
      <c r="G696" t="s">
        <v>50</v>
      </c>
      <c r="H696" t="s">
        <v>51</v>
      </c>
      <c r="I696" s="9">
        <v>300000</v>
      </c>
      <c r="J696">
        <v>2</v>
      </c>
      <c r="K696" t="s">
        <v>47</v>
      </c>
      <c r="L696" s="9">
        <f t="shared" si="10"/>
        <v>240000</v>
      </c>
      <c r="M696" s="9">
        <f>Table1[[#This Row],[Unit Price]]*Table1[[#This Row],[Quantity]]</f>
        <v>600000</v>
      </c>
      <c r="N696" s="9">
        <f>Table1[[#This Row],[Cost Price]]*Table1[[#This Row],[Quantity]]</f>
        <v>480000</v>
      </c>
      <c r="O696" s="9">
        <f>Table1[[#This Row],[Revenue]]-Table1[[#This Row],[COGS]]</f>
        <v>120000</v>
      </c>
      <c r="P696" s="6">
        <v>695</v>
      </c>
    </row>
    <row r="697" spans="1:16">
      <c r="A697" s="7" t="s">
        <v>172</v>
      </c>
      <c r="B697" s="7" t="str">
        <f>TEXT(Table1[[#This Row],[Date]],"MMM")</f>
        <v>Mar</v>
      </c>
      <c r="C697" t="s">
        <v>27</v>
      </c>
      <c r="D697" t="s">
        <v>45</v>
      </c>
      <c r="E697" t="s">
        <v>41</v>
      </c>
      <c r="F697" t="s">
        <v>37</v>
      </c>
      <c r="G697" t="s">
        <v>31</v>
      </c>
      <c r="H697" t="s">
        <v>32</v>
      </c>
      <c r="I697" s="9">
        <v>85000</v>
      </c>
      <c r="J697">
        <v>2</v>
      </c>
      <c r="K697" t="s">
        <v>65</v>
      </c>
      <c r="L697" s="9">
        <f t="shared" si="10"/>
        <v>68000</v>
      </c>
      <c r="M697" s="9">
        <f>Table1[[#This Row],[Unit Price]]*Table1[[#This Row],[Quantity]]</f>
        <v>170000</v>
      </c>
      <c r="N697" s="9">
        <f>Table1[[#This Row],[Cost Price]]*Table1[[#This Row],[Quantity]]</f>
        <v>136000</v>
      </c>
      <c r="O697" s="9">
        <f>Table1[[#This Row],[Revenue]]-Table1[[#This Row],[COGS]]</f>
        <v>34000</v>
      </c>
      <c r="P697" s="6">
        <v>696</v>
      </c>
    </row>
    <row r="698" spans="1:16">
      <c r="A698" s="7" t="s">
        <v>43</v>
      </c>
      <c r="B698" s="7" t="str">
        <f>TEXT(Table1[[#This Row],[Date]],"MMM")</f>
        <v>Apr</v>
      </c>
      <c r="C698" t="s">
        <v>27</v>
      </c>
      <c r="D698" t="s">
        <v>28</v>
      </c>
      <c r="E698" t="s">
        <v>41</v>
      </c>
      <c r="F698" t="s">
        <v>30</v>
      </c>
      <c r="G698" t="s">
        <v>67</v>
      </c>
      <c r="H698" t="s">
        <v>51</v>
      </c>
      <c r="I698" s="9">
        <v>420000</v>
      </c>
      <c r="J698">
        <v>5</v>
      </c>
      <c r="K698" t="s">
        <v>33</v>
      </c>
      <c r="L698" s="9">
        <f t="shared" si="10"/>
        <v>336000</v>
      </c>
      <c r="M698" s="9">
        <f>Table1[[#This Row],[Unit Price]]*Table1[[#This Row],[Quantity]]</f>
        <v>2100000</v>
      </c>
      <c r="N698" s="9">
        <f>Table1[[#This Row],[Cost Price]]*Table1[[#This Row],[Quantity]]</f>
        <v>1680000</v>
      </c>
      <c r="O698" s="9">
        <f>Table1[[#This Row],[Revenue]]-Table1[[#This Row],[COGS]]</f>
        <v>420000</v>
      </c>
      <c r="P698" s="6">
        <v>697</v>
      </c>
    </row>
    <row r="699" spans="1:16">
      <c r="A699" s="7" t="s">
        <v>142</v>
      </c>
      <c r="B699" s="7" t="str">
        <f>TEXT(Table1[[#This Row],[Date]],"MMM")</f>
        <v>Apr</v>
      </c>
      <c r="C699" t="s">
        <v>44</v>
      </c>
      <c r="D699" t="s">
        <v>45</v>
      </c>
      <c r="E699" t="s">
        <v>41</v>
      </c>
      <c r="F699" t="s">
        <v>30</v>
      </c>
      <c r="G699" t="s">
        <v>50</v>
      </c>
      <c r="H699" t="s">
        <v>51</v>
      </c>
      <c r="I699" s="9">
        <v>300000</v>
      </c>
      <c r="J699">
        <v>8</v>
      </c>
      <c r="K699" t="s">
        <v>42</v>
      </c>
      <c r="L699" s="9">
        <f t="shared" si="10"/>
        <v>240000</v>
      </c>
      <c r="M699" s="9">
        <f>Table1[[#This Row],[Unit Price]]*Table1[[#This Row],[Quantity]]</f>
        <v>2400000</v>
      </c>
      <c r="N699" s="9">
        <f>Table1[[#This Row],[Cost Price]]*Table1[[#This Row],[Quantity]]</f>
        <v>1920000</v>
      </c>
      <c r="O699" s="9">
        <f>Table1[[#This Row],[Revenue]]-Table1[[#This Row],[COGS]]</f>
        <v>480000</v>
      </c>
      <c r="P699" s="6">
        <v>698</v>
      </c>
    </row>
    <row r="700" spans="1:16">
      <c r="A700" s="7" t="s">
        <v>143</v>
      </c>
      <c r="B700" s="7" t="str">
        <f>TEXT(Table1[[#This Row],[Date]],"MMM")</f>
        <v>Apr</v>
      </c>
      <c r="C700" t="s">
        <v>27</v>
      </c>
      <c r="D700" t="s">
        <v>36</v>
      </c>
      <c r="E700" t="s">
        <v>41</v>
      </c>
      <c r="F700" t="s">
        <v>37</v>
      </c>
      <c r="G700" t="s">
        <v>46</v>
      </c>
      <c r="H700" t="s">
        <v>39</v>
      </c>
      <c r="I700" s="9">
        <v>60000</v>
      </c>
      <c r="J700">
        <v>1</v>
      </c>
      <c r="K700" t="s">
        <v>33</v>
      </c>
      <c r="L700" s="9">
        <f t="shared" si="10"/>
        <v>48000</v>
      </c>
      <c r="M700" s="9">
        <f>Table1[[#This Row],[Unit Price]]*Table1[[#This Row],[Quantity]]</f>
        <v>60000</v>
      </c>
      <c r="N700" s="9">
        <f>Table1[[#This Row],[Cost Price]]*Table1[[#This Row],[Quantity]]</f>
        <v>48000</v>
      </c>
      <c r="O700" s="9">
        <f>Table1[[#This Row],[Revenue]]-Table1[[#This Row],[COGS]]</f>
        <v>12000</v>
      </c>
      <c r="P700" s="6">
        <v>699</v>
      </c>
    </row>
    <row r="701" spans="1:16">
      <c r="A701" s="7" t="s">
        <v>40</v>
      </c>
      <c r="B701" s="7" t="str">
        <f>TEXT(Table1[[#This Row],[Date]],"MMM")</f>
        <v>Feb</v>
      </c>
      <c r="C701" t="s">
        <v>27</v>
      </c>
      <c r="D701" t="s">
        <v>45</v>
      </c>
      <c r="E701" t="s">
        <v>29</v>
      </c>
      <c r="F701" t="s">
        <v>30</v>
      </c>
      <c r="G701" t="s">
        <v>71</v>
      </c>
      <c r="H701" t="s">
        <v>51</v>
      </c>
      <c r="I701" s="9">
        <v>250000</v>
      </c>
      <c r="J701">
        <v>8</v>
      </c>
      <c r="K701" t="s">
        <v>33</v>
      </c>
      <c r="L701" s="9">
        <f t="shared" si="10"/>
        <v>200000</v>
      </c>
      <c r="M701" s="9">
        <f>Table1[[#This Row],[Unit Price]]*Table1[[#This Row],[Quantity]]</f>
        <v>2000000</v>
      </c>
      <c r="N701" s="9">
        <f>Table1[[#This Row],[Cost Price]]*Table1[[#This Row],[Quantity]]</f>
        <v>1600000</v>
      </c>
      <c r="O701" s="9">
        <f>Table1[[#This Row],[Revenue]]-Table1[[#This Row],[COGS]]</f>
        <v>400000</v>
      </c>
      <c r="P701" s="6">
        <v>700</v>
      </c>
    </row>
    <row r="702" spans="1:16">
      <c r="A702" s="7" t="s">
        <v>138</v>
      </c>
      <c r="B702" s="7" t="str">
        <f>TEXT(Table1[[#This Row],[Date]],"MMM")</f>
        <v>Apr</v>
      </c>
      <c r="C702" t="s">
        <v>27</v>
      </c>
      <c r="D702" t="s">
        <v>36</v>
      </c>
      <c r="E702" t="s">
        <v>41</v>
      </c>
      <c r="F702" t="s">
        <v>30</v>
      </c>
      <c r="G702" t="s">
        <v>50</v>
      </c>
      <c r="H702" t="s">
        <v>51</v>
      </c>
      <c r="I702" s="9">
        <v>300000</v>
      </c>
      <c r="J702">
        <v>4</v>
      </c>
      <c r="K702" t="s">
        <v>33</v>
      </c>
      <c r="L702" s="9">
        <f t="shared" si="10"/>
        <v>240000</v>
      </c>
      <c r="M702" s="9">
        <f>Table1[[#This Row],[Unit Price]]*Table1[[#This Row],[Quantity]]</f>
        <v>1200000</v>
      </c>
      <c r="N702" s="9">
        <f>Table1[[#This Row],[Cost Price]]*Table1[[#This Row],[Quantity]]</f>
        <v>960000</v>
      </c>
      <c r="O702" s="9">
        <f>Table1[[#This Row],[Revenue]]-Table1[[#This Row],[COGS]]</f>
        <v>240000</v>
      </c>
      <c r="P702" s="6">
        <v>701</v>
      </c>
    </row>
    <row r="703" spans="1:16">
      <c r="A703" s="7" t="s">
        <v>136</v>
      </c>
      <c r="B703" s="7" t="str">
        <f>TEXT(Table1[[#This Row],[Date]],"MMM")</f>
        <v>Feb</v>
      </c>
      <c r="C703" t="s">
        <v>35</v>
      </c>
      <c r="D703" t="s">
        <v>45</v>
      </c>
      <c r="E703" t="s">
        <v>41</v>
      </c>
      <c r="F703" t="s">
        <v>30</v>
      </c>
      <c r="G703" t="s">
        <v>50</v>
      </c>
      <c r="H703" t="s">
        <v>51</v>
      </c>
      <c r="I703" s="9">
        <v>300000</v>
      </c>
      <c r="J703">
        <v>10</v>
      </c>
      <c r="K703" t="s">
        <v>65</v>
      </c>
      <c r="L703" s="9">
        <f t="shared" si="10"/>
        <v>240000</v>
      </c>
      <c r="M703" s="9">
        <f>Table1[[#This Row],[Unit Price]]*Table1[[#This Row],[Quantity]]</f>
        <v>3000000</v>
      </c>
      <c r="N703" s="9">
        <f>Table1[[#This Row],[Cost Price]]*Table1[[#This Row],[Quantity]]</f>
        <v>2400000</v>
      </c>
      <c r="O703" s="9">
        <f>Table1[[#This Row],[Revenue]]-Table1[[#This Row],[COGS]]</f>
        <v>600000</v>
      </c>
      <c r="P703" s="6">
        <v>702</v>
      </c>
    </row>
    <row r="704" spans="1:16">
      <c r="A704" s="7" t="s">
        <v>146</v>
      </c>
      <c r="B704" s="7" t="str">
        <f>TEXT(Table1[[#This Row],[Date]],"MMM")</f>
        <v>Jan</v>
      </c>
      <c r="C704" t="s">
        <v>44</v>
      </c>
      <c r="D704" t="s">
        <v>36</v>
      </c>
      <c r="E704" t="s">
        <v>29</v>
      </c>
      <c r="F704" t="s">
        <v>30</v>
      </c>
      <c r="G704" t="s">
        <v>50</v>
      </c>
      <c r="H704" t="s">
        <v>51</v>
      </c>
      <c r="I704" s="9">
        <v>300000</v>
      </c>
      <c r="J704">
        <v>2</v>
      </c>
      <c r="K704" t="s">
        <v>69</v>
      </c>
      <c r="L704" s="9">
        <f t="shared" si="10"/>
        <v>240000</v>
      </c>
      <c r="M704" s="9">
        <f>Table1[[#This Row],[Unit Price]]*Table1[[#This Row],[Quantity]]</f>
        <v>600000</v>
      </c>
      <c r="N704" s="9">
        <f>Table1[[#This Row],[Cost Price]]*Table1[[#This Row],[Quantity]]</f>
        <v>480000</v>
      </c>
      <c r="O704" s="9">
        <f>Table1[[#This Row],[Revenue]]-Table1[[#This Row],[COGS]]</f>
        <v>120000</v>
      </c>
      <c r="P704" s="6">
        <v>703</v>
      </c>
    </row>
    <row r="705" spans="1:16">
      <c r="A705" s="7" t="s">
        <v>174</v>
      </c>
      <c r="B705" s="7" t="str">
        <f>TEXT(Table1[[#This Row],[Date]],"MMM")</f>
        <v>Feb</v>
      </c>
      <c r="C705" t="s">
        <v>27</v>
      </c>
      <c r="D705" t="s">
        <v>53</v>
      </c>
      <c r="E705" t="s">
        <v>29</v>
      </c>
      <c r="F705" t="s">
        <v>37</v>
      </c>
      <c r="G705" t="s">
        <v>31</v>
      </c>
      <c r="H705" t="s">
        <v>32</v>
      </c>
      <c r="I705" s="9">
        <v>85000</v>
      </c>
      <c r="J705">
        <v>2</v>
      </c>
      <c r="K705" t="s">
        <v>58</v>
      </c>
      <c r="L705" s="9">
        <f t="shared" si="10"/>
        <v>68000</v>
      </c>
      <c r="M705" s="9">
        <f>Table1[[#This Row],[Unit Price]]*Table1[[#This Row],[Quantity]]</f>
        <v>170000</v>
      </c>
      <c r="N705" s="9">
        <f>Table1[[#This Row],[Cost Price]]*Table1[[#This Row],[Quantity]]</f>
        <v>136000</v>
      </c>
      <c r="O705" s="9">
        <f>Table1[[#This Row],[Revenue]]-Table1[[#This Row],[COGS]]</f>
        <v>34000</v>
      </c>
      <c r="P705" s="6">
        <v>704</v>
      </c>
    </row>
    <row r="706" spans="1:16">
      <c r="A706" s="7" t="s">
        <v>99</v>
      </c>
      <c r="B706" s="7" t="str">
        <f>TEXT(Table1[[#This Row],[Date]],"MMM")</f>
        <v>Apr</v>
      </c>
      <c r="C706" t="s">
        <v>49</v>
      </c>
      <c r="D706" t="s">
        <v>36</v>
      </c>
      <c r="E706" t="s">
        <v>29</v>
      </c>
      <c r="F706" t="s">
        <v>30</v>
      </c>
      <c r="G706" t="s">
        <v>56</v>
      </c>
      <c r="H706" t="s">
        <v>32</v>
      </c>
      <c r="I706" s="9">
        <v>320000</v>
      </c>
      <c r="J706">
        <v>3</v>
      </c>
      <c r="K706" t="s">
        <v>47</v>
      </c>
      <c r="L706" s="9">
        <f t="shared" ref="L706:L769" si="11">I706-I706*0.2</f>
        <v>256000</v>
      </c>
      <c r="M706" s="9">
        <f>Table1[[#This Row],[Unit Price]]*Table1[[#This Row],[Quantity]]</f>
        <v>960000</v>
      </c>
      <c r="N706" s="9">
        <f>Table1[[#This Row],[Cost Price]]*Table1[[#This Row],[Quantity]]</f>
        <v>768000</v>
      </c>
      <c r="O706" s="9">
        <f>Table1[[#This Row],[Revenue]]-Table1[[#This Row],[COGS]]</f>
        <v>192000</v>
      </c>
      <c r="P706" s="6">
        <v>705</v>
      </c>
    </row>
    <row r="707" spans="1:16">
      <c r="A707" s="7" t="s">
        <v>124</v>
      </c>
      <c r="B707" s="7" t="str">
        <f>TEXT(Table1[[#This Row],[Date]],"MMM")</f>
        <v>Feb</v>
      </c>
      <c r="C707" t="s">
        <v>27</v>
      </c>
      <c r="D707" t="s">
        <v>45</v>
      </c>
      <c r="E707" t="s">
        <v>29</v>
      </c>
      <c r="F707" t="s">
        <v>37</v>
      </c>
      <c r="G707" t="s">
        <v>62</v>
      </c>
      <c r="H707" t="s">
        <v>51</v>
      </c>
      <c r="I707" s="9">
        <v>150000</v>
      </c>
      <c r="J707">
        <v>4</v>
      </c>
      <c r="K707" t="s">
        <v>33</v>
      </c>
      <c r="L707" s="9">
        <f t="shared" si="11"/>
        <v>120000</v>
      </c>
      <c r="M707" s="9">
        <f>Table1[[#This Row],[Unit Price]]*Table1[[#This Row],[Quantity]]</f>
        <v>600000</v>
      </c>
      <c r="N707" s="9">
        <f>Table1[[#This Row],[Cost Price]]*Table1[[#This Row],[Quantity]]</f>
        <v>480000</v>
      </c>
      <c r="O707" s="9">
        <f>Table1[[#This Row],[Revenue]]-Table1[[#This Row],[COGS]]</f>
        <v>120000</v>
      </c>
      <c r="P707" s="6">
        <v>706</v>
      </c>
    </row>
    <row r="708" spans="1:16">
      <c r="A708" s="7" t="s">
        <v>147</v>
      </c>
      <c r="B708" s="7" t="str">
        <f>TEXT(Table1[[#This Row],[Date]],"MMM")</f>
        <v>Jan</v>
      </c>
      <c r="C708" t="s">
        <v>27</v>
      </c>
      <c r="D708" t="s">
        <v>45</v>
      </c>
      <c r="E708" t="s">
        <v>41</v>
      </c>
      <c r="F708" t="s">
        <v>37</v>
      </c>
      <c r="G708" t="s">
        <v>46</v>
      </c>
      <c r="H708" t="s">
        <v>39</v>
      </c>
      <c r="I708" s="9">
        <v>60000</v>
      </c>
      <c r="J708">
        <v>8</v>
      </c>
      <c r="K708" t="s">
        <v>47</v>
      </c>
      <c r="L708" s="9">
        <f t="shared" si="11"/>
        <v>48000</v>
      </c>
      <c r="M708" s="9">
        <f>Table1[[#This Row],[Unit Price]]*Table1[[#This Row],[Quantity]]</f>
        <v>480000</v>
      </c>
      <c r="N708" s="9">
        <f>Table1[[#This Row],[Cost Price]]*Table1[[#This Row],[Quantity]]</f>
        <v>384000</v>
      </c>
      <c r="O708" s="9">
        <f>Table1[[#This Row],[Revenue]]-Table1[[#This Row],[COGS]]</f>
        <v>96000</v>
      </c>
      <c r="P708" s="6">
        <v>707</v>
      </c>
    </row>
    <row r="709" spans="1:16">
      <c r="A709" s="7" t="s">
        <v>81</v>
      </c>
      <c r="B709" s="7" t="str">
        <f>TEXT(Table1[[#This Row],[Date]],"MMM")</f>
        <v>Mar</v>
      </c>
      <c r="C709" t="s">
        <v>49</v>
      </c>
      <c r="D709" t="s">
        <v>28</v>
      </c>
      <c r="E709" t="s">
        <v>41</v>
      </c>
      <c r="F709" t="s">
        <v>37</v>
      </c>
      <c r="G709" t="s">
        <v>31</v>
      </c>
      <c r="H709" t="s">
        <v>32</v>
      </c>
      <c r="I709" s="9">
        <v>85000</v>
      </c>
      <c r="J709">
        <v>2</v>
      </c>
      <c r="K709" t="s">
        <v>33</v>
      </c>
      <c r="L709" s="9">
        <f t="shared" si="11"/>
        <v>68000</v>
      </c>
      <c r="M709" s="9">
        <f>Table1[[#This Row],[Unit Price]]*Table1[[#This Row],[Quantity]]</f>
        <v>170000</v>
      </c>
      <c r="N709" s="9">
        <f>Table1[[#This Row],[Cost Price]]*Table1[[#This Row],[Quantity]]</f>
        <v>136000</v>
      </c>
      <c r="O709" s="9">
        <f>Table1[[#This Row],[Revenue]]-Table1[[#This Row],[COGS]]</f>
        <v>34000</v>
      </c>
      <c r="P709" s="6">
        <v>708</v>
      </c>
    </row>
    <row r="710" spans="1:16">
      <c r="A710" s="7" t="s">
        <v>34</v>
      </c>
      <c r="B710" s="7" t="str">
        <f>TEXT(Table1[[#This Row],[Date]],"MMM")</f>
        <v>Apr</v>
      </c>
      <c r="C710" t="s">
        <v>49</v>
      </c>
      <c r="D710" t="s">
        <v>36</v>
      </c>
      <c r="E710" t="s">
        <v>41</v>
      </c>
      <c r="F710" t="s">
        <v>37</v>
      </c>
      <c r="G710" t="s">
        <v>50</v>
      </c>
      <c r="H710" t="s">
        <v>51</v>
      </c>
      <c r="I710" s="9">
        <v>300000</v>
      </c>
      <c r="J710">
        <v>8</v>
      </c>
      <c r="K710" t="s">
        <v>42</v>
      </c>
      <c r="L710" s="9">
        <f t="shared" si="11"/>
        <v>240000</v>
      </c>
      <c r="M710" s="9">
        <f>Table1[[#This Row],[Unit Price]]*Table1[[#This Row],[Quantity]]</f>
        <v>2400000</v>
      </c>
      <c r="N710" s="9">
        <f>Table1[[#This Row],[Cost Price]]*Table1[[#This Row],[Quantity]]</f>
        <v>1920000</v>
      </c>
      <c r="O710" s="9">
        <f>Table1[[#This Row],[Revenue]]-Table1[[#This Row],[COGS]]</f>
        <v>480000</v>
      </c>
      <c r="P710" s="6">
        <v>709</v>
      </c>
    </row>
    <row r="711" spans="1:16">
      <c r="A711" s="7" t="s">
        <v>123</v>
      </c>
      <c r="B711" s="7" t="str">
        <f>TEXT(Table1[[#This Row],[Date]],"MMM")</f>
        <v>Apr</v>
      </c>
      <c r="C711" t="s">
        <v>49</v>
      </c>
      <c r="D711" t="s">
        <v>28</v>
      </c>
      <c r="E711" t="s">
        <v>29</v>
      </c>
      <c r="F711" t="s">
        <v>30</v>
      </c>
      <c r="G711" t="s">
        <v>56</v>
      </c>
      <c r="H711" t="s">
        <v>32</v>
      </c>
      <c r="I711" s="9">
        <v>320000</v>
      </c>
      <c r="J711">
        <v>5</v>
      </c>
      <c r="K711" t="s">
        <v>65</v>
      </c>
      <c r="L711" s="9">
        <f t="shared" si="11"/>
        <v>256000</v>
      </c>
      <c r="M711" s="9">
        <f>Table1[[#This Row],[Unit Price]]*Table1[[#This Row],[Quantity]]</f>
        <v>1600000</v>
      </c>
      <c r="N711" s="9">
        <f>Table1[[#This Row],[Cost Price]]*Table1[[#This Row],[Quantity]]</f>
        <v>1280000</v>
      </c>
      <c r="O711" s="9">
        <f>Table1[[#This Row],[Revenue]]-Table1[[#This Row],[COGS]]</f>
        <v>320000</v>
      </c>
      <c r="P711" s="6">
        <v>710</v>
      </c>
    </row>
    <row r="712" spans="1:16">
      <c r="A712" s="7" t="s">
        <v>146</v>
      </c>
      <c r="B712" s="7" t="str">
        <f>TEXT(Table1[[#This Row],[Date]],"MMM")</f>
        <v>Jan</v>
      </c>
      <c r="C712" t="s">
        <v>27</v>
      </c>
      <c r="D712" t="s">
        <v>36</v>
      </c>
      <c r="E712" t="s">
        <v>41</v>
      </c>
      <c r="F712" t="s">
        <v>37</v>
      </c>
      <c r="G712" t="s">
        <v>38</v>
      </c>
      <c r="H712" t="s">
        <v>39</v>
      </c>
      <c r="I712" s="9">
        <v>30000</v>
      </c>
      <c r="J712">
        <v>3</v>
      </c>
      <c r="K712" t="s">
        <v>42</v>
      </c>
      <c r="L712" s="9">
        <f t="shared" si="11"/>
        <v>24000</v>
      </c>
      <c r="M712" s="9">
        <f>Table1[[#This Row],[Unit Price]]*Table1[[#This Row],[Quantity]]</f>
        <v>90000</v>
      </c>
      <c r="N712" s="9">
        <f>Table1[[#This Row],[Cost Price]]*Table1[[#This Row],[Quantity]]</f>
        <v>72000</v>
      </c>
      <c r="O712" s="9">
        <f>Table1[[#This Row],[Revenue]]-Table1[[#This Row],[COGS]]</f>
        <v>18000</v>
      </c>
      <c r="P712" s="6">
        <v>711</v>
      </c>
    </row>
    <row r="713" spans="1:16">
      <c r="A713" s="7" t="s">
        <v>76</v>
      </c>
      <c r="B713" s="7" t="str">
        <f>TEXT(Table1[[#This Row],[Date]],"MMM")</f>
        <v>May</v>
      </c>
      <c r="C713" t="s">
        <v>44</v>
      </c>
      <c r="D713" t="s">
        <v>28</v>
      </c>
      <c r="E713" t="s">
        <v>29</v>
      </c>
      <c r="F713" t="s">
        <v>37</v>
      </c>
      <c r="G713" t="s">
        <v>38</v>
      </c>
      <c r="H713" t="s">
        <v>39</v>
      </c>
      <c r="I713" s="9">
        <v>30000</v>
      </c>
      <c r="J713">
        <v>1</v>
      </c>
      <c r="K713" t="s">
        <v>42</v>
      </c>
      <c r="L713" s="9">
        <f t="shared" si="11"/>
        <v>24000</v>
      </c>
      <c r="M713" s="9">
        <f>Table1[[#This Row],[Unit Price]]*Table1[[#This Row],[Quantity]]</f>
        <v>30000</v>
      </c>
      <c r="N713" s="9">
        <f>Table1[[#This Row],[Cost Price]]*Table1[[#This Row],[Quantity]]</f>
        <v>24000</v>
      </c>
      <c r="O713" s="9">
        <f>Table1[[#This Row],[Revenue]]-Table1[[#This Row],[COGS]]</f>
        <v>6000</v>
      </c>
      <c r="P713" s="6">
        <v>712</v>
      </c>
    </row>
    <row r="714" spans="1:16">
      <c r="A714" s="7" t="s">
        <v>87</v>
      </c>
      <c r="B714" s="7" t="str">
        <f>TEXT(Table1[[#This Row],[Date]],"MMM")</f>
        <v>Mar</v>
      </c>
      <c r="C714" t="s">
        <v>44</v>
      </c>
      <c r="D714" t="s">
        <v>53</v>
      </c>
      <c r="E714" t="s">
        <v>41</v>
      </c>
      <c r="F714" t="s">
        <v>37</v>
      </c>
      <c r="G714" t="s">
        <v>62</v>
      </c>
      <c r="H714" t="s">
        <v>51</v>
      </c>
      <c r="I714" s="9">
        <v>150000</v>
      </c>
      <c r="J714">
        <v>3</v>
      </c>
      <c r="K714" t="s">
        <v>42</v>
      </c>
      <c r="L714" s="9">
        <f t="shared" si="11"/>
        <v>120000</v>
      </c>
      <c r="M714" s="9">
        <f>Table1[[#This Row],[Unit Price]]*Table1[[#This Row],[Quantity]]</f>
        <v>450000</v>
      </c>
      <c r="N714" s="9">
        <f>Table1[[#This Row],[Cost Price]]*Table1[[#This Row],[Quantity]]</f>
        <v>360000</v>
      </c>
      <c r="O714" s="9">
        <f>Table1[[#This Row],[Revenue]]-Table1[[#This Row],[COGS]]</f>
        <v>90000</v>
      </c>
      <c r="P714" s="6">
        <v>713</v>
      </c>
    </row>
    <row r="715" spans="1:16">
      <c r="A715" s="7" t="s">
        <v>77</v>
      </c>
      <c r="B715" s="7" t="str">
        <f>TEXT(Table1[[#This Row],[Date]],"MMM")</f>
        <v>Apr</v>
      </c>
      <c r="C715" t="s">
        <v>44</v>
      </c>
      <c r="D715" t="s">
        <v>45</v>
      </c>
      <c r="E715" t="s">
        <v>29</v>
      </c>
      <c r="F715" t="s">
        <v>30</v>
      </c>
      <c r="G715" t="s">
        <v>38</v>
      </c>
      <c r="H715" t="s">
        <v>39</v>
      </c>
      <c r="I715" s="9">
        <v>30000</v>
      </c>
      <c r="J715">
        <v>5</v>
      </c>
      <c r="K715" t="s">
        <v>58</v>
      </c>
      <c r="L715" s="9">
        <f t="shared" si="11"/>
        <v>24000</v>
      </c>
      <c r="M715" s="9">
        <f>Table1[[#This Row],[Unit Price]]*Table1[[#This Row],[Quantity]]</f>
        <v>150000</v>
      </c>
      <c r="N715" s="9">
        <f>Table1[[#This Row],[Cost Price]]*Table1[[#This Row],[Quantity]]</f>
        <v>120000</v>
      </c>
      <c r="O715" s="9">
        <f>Table1[[#This Row],[Revenue]]-Table1[[#This Row],[COGS]]</f>
        <v>30000</v>
      </c>
      <c r="P715" s="6">
        <v>714</v>
      </c>
    </row>
    <row r="716" spans="1:16">
      <c r="A716" s="7" t="s">
        <v>57</v>
      </c>
      <c r="B716" s="7" t="str">
        <f>TEXT(Table1[[#This Row],[Date]],"MMM")</f>
        <v>Feb</v>
      </c>
      <c r="C716" t="s">
        <v>49</v>
      </c>
      <c r="D716" t="s">
        <v>53</v>
      </c>
      <c r="E716" t="s">
        <v>41</v>
      </c>
      <c r="F716" t="s">
        <v>37</v>
      </c>
      <c r="G716" t="s">
        <v>54</v>
      </c>
      <c r="H716" t="s">
        <v>39</v>
      </c>
      <c r="I716" s="9">
        <v>180000</v>
      </c>
      <c r="J716">
        <v>4</v>
      </c>
      <c r="K716" t="s">
        <v>42</v>
      </c>
      <c r="L716" s="9">
        <f t="shared" si="11"/>
        <v>144000</v>
      </c>
      <c r="M716" s="9">
        <f>Table1[[#This Row],[Unit Price]]*Table1[[#This Row],[Quantity]]</f>
        <v>720000</v>
      </c>
      <c r="N716" s="9">
        <f>Table1[[#This Row],[Cost Price]]*Table1[[#This Row],[Quantity]]</f>
        <v>576000</v>
      </c>
      <c r="O716" s="9">
        <f>Table1[[#This Row],[Revenue]]-Table1[[#This Row],[COGS]]</f>
        <v>144000</v>
      </c>
      <c r="P716" s="6">
        <v>715</v>
      </c>
    </row>
    <row r="717" spans="1:16">
      <c r="A717" s="7" t="s">
        <v>160</v>
      </c>
      <c r="B717" s="7" t="str">
        <f>TEXT(Table1[[#This Row],[Date]],"MMM")</f>
        <v>Jan</v>
      </c>
      <c r="C717" t="s">
        <v>44</v>
      </c>
      <c r="D717" t="s">
        <v>45</v>
      </c>
      <c r="E717" t="s">
        <v>41</v>
      </c>
      <c r="F717" t="s">
        <v>37</v>
      </c>
      <c r="G717" t="s">
        <v>54</v>
      </c>
      <c r="H717" t="s">
        <v>39</v>
      </c>
      <c r="I717" s="9">
        <v>180000</v>
      </c>
      <c r="J717">
        <v>3</v>
      </c>
      <c r="K717" t="s">
        <v>69</v>
      </c>
      <c r="L717" s="9">
        <f t="shared" si="11"/>
        <v>144000</v>
      </c>
      <c r="M717" s="9">
        <f>Table1[[#This Row],[Unit Price]]*Table1[[#This Row],[Quantity]]</f>
        <v>540000</v>
      </c>
      <c r="N717" s="9">
        <f>Table1[[#This Row],[Cost Price]]*Table1[[#This Row],[Quantity]]</f>
        <v>432000</v>
      </c>
      <c r="O717" s="9">
        <f>Table1[[#This Row],[Revenue]]-Table1[[#This Row],[COGS]]</f>
        <v>108000</v>
      </c>
      <c r="P717" s="6">
        <v>716</v>
      </c>
    </row>
    <row r="718" spans="1:16">
      <c r="A718" s="7" t="s">
        <v>125</v>
      </c>
      <c r="B718" s="7" t="str">
        <f>TEXT(Table1[[#This Row],[Date]],"MMM")</f>
        <v>Feb</v>
      </c>
      <c r="C718" t="s">
        <v>35</v>
      </c>
      <c r="D718" t="s">
        <v>36</v>
      </c>
      <c r="E718" t="s">
        <v>41</v>
      </c>
      <c r="F718" t="s">
        <v>37</v>
      </c>
      <c r="G718" t="s">
        <v>50</v>
      </c>
      <c r="H718" t="s">
        <v>51</v>
      </c>
      <c r="I718" s="9">
        <v>300000</v>
      </c>
      <c r="J718">
        <v>8</v>
      </c>
      <c r="K718" t="s">
        <v>33</v>
      </c>
      <c r="L718" s="9">
        <f t="shared" si="11"/>
        <v>240000</v>
      </c>
      <c r="M718" s="9">
        <f>Table1[[#This Row],[Unit Price]]*Table1[[#This Row],[Quantity]]</f>
        <v>2400000</v>
      </c>
      <c r="N718" s="9">
        <f>Table1[[#This Row],[Cost Price]]*Table1[[#This Row],[Quantity]]</f>
        <v>1920000</v>
      </c>
      <c r="O718" s="9">
        <f>Table1[[#This Row],[Revenue]]-Table1[[#This Row],[COGS]]</f>
        <v>480000</v>
      </c>
      <c r="P718" s="6">
        <v>717</v>
      </c>
    </row>
    <row r="719" spans="1:16">
      <c r="A719" s="7" t="s">
        <v>79</v>
      </c>
      <c r="B719" s="7" t="str">
        <f>TEXT(Table1[[#This Row],[Date]],"MMM")</f>
        <v>Feb</v>
      </c>
      <c r="C719" t="s">
        <v>35</v>
      </c>
      <c r="D719" t="s">
        <v>53</v>
      </c>
      <c r="E719" t="s">
        <v>41</v>
      </c>
      <c r="F719" t="s">
        <v>30</v>
      </c>
      <c r="G719" t="s">
        <v>31</v>
      </c>
      <c r="H719" t="s">
        <v>32</v>
      </c>
      <c r="I719" s="9">
        <v>85000</v>
      </c>
      <c r="J719">
        <v>8</v>
      </c>
      <c r="K719" t="s">
        <v>42</v>
      </c>
      <c r="L719" s="9">
        <f t="shared" si="11"/>
        <v>68000</v>
      </c>
      <c r="M719" s="9">
        <f>Table1[[#This Row],[Unit Price]]*Table1[[#This Row],[Quantity]]</f>
        <v>680000</v>
      </c>
      <c r="N719" s="9">
        <f>Table1[[#This Row],[Cost Price]]*Table1[[#This Row],[Quantity]]</f>
        <v>544000</v>
      </c>
      <c r="O719" s="9">
        <f>Table1[[#This Row],[Revenue]]-Table1[[#This Row],[COGS]]</f>
        <v>136000</v>
      </c>
      <c r="P719" s="6">
        <v>718</v>
      </c>
    </row>
    <row r="720" spans="1:16">
      <c r="A720" s="7" t="s">
        <v>90</v>
      </c>
      <c r="B720" s="7" t="str">
        <f>TEXT(Table1[[#This Row],[Date]],"MMM")</f>
        <v>Feb</v>
      </c>
      <c r="C720" t="s">
        <v>49</v>
      </c>
      <c r="D720" t="s">
        <v>36</v>
      </c>
      <c r="E720" t="s">
        <v>29</v>
      </c>
      <c r="F720" t="s">
        <v>37</v>
      </c>
      <c r="G720" t="s">
        <v>54</v>
      </c>
      <c r="H720" t="s">
        <v>39</v>
      </c>
      <c r="I720" s="9">
        <v>180000</v>
      </c>
      <c r="J720">
        <v>1</v>
      </c>
      <c r="K720" t="s">
        <v>33</v>
      </c>
      <c r="L720" s="9">
        <f t="shared" si="11"/>
        <v>144000</v>
      </c>
      <c r="M720" s="9">
        <f>Table1[[#This Row],[Unit Price]]*Table1[[#This Row],[Quantity]]</f>
        <v>180000</v>
      </c>
      <c r="N720" s="9">
        <f>Table1[[#This Row],[Cost Price]]*Table1[[#This Row],[Quantity]]</f>
        <v>144000</v>
      </c>
      <c r="O720" s="9">
        <f>Table1[[#This Row],[Revenue]]-Table1[[#This Row],[COGS]]</f>
        <v>36000</v>
      </c>
      <c r="P720" s="6">
        <v>719</v>
      </c>
    </row>
    <row r="721" spans="1:16">
      <c r="A721" s="7" t="s">
        <v>108</v>
      </c>
      <c r="B721" s="7" t="str">
        <f>TEXT(Table1[[#This Row],[Date]],"MMM")</f>
        <v>Apr</v>
      </c>
      <c r="C721" t="s">
        <v>44</v>
      </c>
      <c r="D721" t="s">
        <v>28</v>
      </c>
      <c r="E721" t="s">
        <v>41</v>
      </c>
      <c r="F721" t="s">
        <v>30</v>
      </c>
      <c r="G721" t="s">
        <v>67</v>
      </c>
      <c r="H721" t="s">
        <v>51</v>
      </c>
      <c r="I721" s="9">
        <v>420000</v>
      </c>
      <c r="J721">
        <v>6</v>
      </c>
      <c r="K721" t="s">
        <v>42</v>
      </c>
      <c r="L721" s="9">
        <f t="shared" si="11"/>
        <v>336000</v>
      </c>
      <c r="M721" s="9">
        <f>Table1[[#This Row],[Unit Price]]*Table1[[#This Row],[Quantity]]</f>
        <v>2520000</v>
      </c>
      <c r="N721" s="9">
        <f>Table1[[#This Row],[Cost Price]]*Table1[[#This Row],[Quantity]]</f>
        <v>2016000</v>
      </c>
      <c r="O721" s="9">
        <f>Table1[[#This Row],[Revenue]]-Table1[[#This Row],[COGS]]</f>
        <v>504000</v>
      </c>
      <c r="P721" s="6">
        <v>720</v>
      </c>
    </row>
    <row r="722" spans="1:16">
      <c r="A722" s="7" t="s">
        <v>140</v>
      </c>
      <c r="B722" s="7" t="str">
        <f>TEXT(Table1[[#This Row],[Date]],"MMM")</f>
        <v>Apr</v>
      </c>
      <c r="C722" t="s">
        <v>27</v>
      </c>
      <c r="D722" t="s">
        <v>53</v>
      </c>
      <c r="E722" t="s">
        <v>29</v>
      </c>
      <c r="F722" t="s">
        <v>37</v>
      </c>
      <c r="G722" t="s">
        <v>67</v>
      </c>
      <c r="H722" t="s">
        <v>51</v>
      </c>
      <c r="I722" s="9">
        <v>420000</v>
      </c>
      <c r="J722">
        <v>4</v>
      </c>
      <c r="K722" t="s">
        <v>65</v>
      </c>
      <c r="L722" s="9">
        <f t="shared" si="11"/>
        <v>336000</v>
      </c>
      <c r="M722" s="9">
        <f>Table1[[#This Row],[Unit Price]]*Table1[[#This Row],[Quantity]]</f>
        <v>1680000</v>
      </c>
      <c r="N722" s="9">
        <f>Table1[[#This Row],[Cost Price]]*Table1[[#This Row],[Quantity]]</f>
        <v>1344000</v>
      </c>
      <c r="O722" s="9">
        <f>Table1[[#This Row],[Revenue]]-Table1[[#This Row],[COGS]]</f>
        <v>336000</v>
      </c>
      <c r="P722" s="6">
        <v>721</v>
      </c>
    </row>
    <row r="723" spans="1:16">
      <c r="A723" s="7" t="s">
        <v>102</v>
      </c>
      <c r="B723" s="7" t="str">
        <f>TEXT(Table1[[#This Row],[Date]],"MMM")</f>
        <v>Mar</v>
      </c>
      <c r="C723" t="s">
        <v>35</v>
      </c>
      <c r="D723" t="s">
        <v>53</v>
      </c>
      <c r="E723" t="s">
        <v>41</v>
      </c>
      <c r="F723" t="s">
        <v>37</v>
      </c>
      <c r="G723" t="s">
        <v>54</v>
      </c>
      <c r="H723" t="s">
        <v>39</v>
      </c>
      <c r="I723" s="9">
        <v>180000</v>
      </c>
      <c r="J723">
        <v>3</v>
      </c>
      <c r="K723" t="s">
        <v>42</v>
      </c>
      <c r="L723" s="9">
        <f t="shared" si="11"/>
        <v>144000</v>
      </c>
      <c r="M723" s="9">
        <f>Table1[[#This Row],[Unit Price]]*Table1[[#This Row],[Quantity]]</f>
        <v>540000</v>
      </c>
      <c r="N723" s="9">
        <f>Table1[[#This Row],[Cost Price]]*Table1[[#This Row],[Quantity]]</f>
        <v>432000</v>
      </c>
      <c r="O723" s="9">
        <f>Table1[[#This Row],[Revenue]]-Table1[[#This Row],[COGS]]</f>
        <v>108000</v>
      </c>
      <c r="P723" s="6">
        <v>722</v>
      </c>
    </row>
    <row r="724" spans="1:16">
      <c r="A724" s="7" t="s">
        <v>66</v>
      </c>
      <c r="B724" s="7" t="str">
        <f>TEXT(Table1[[#This Row],[Date]],"MMM")</f>
        <v>Mar</v>
      </c>
      <c r="C724" t="s">
        <v>44</v>
      </c>
      <c r="D724" t="s">
        <v>36</v>
      </c>
      <c r="E724" t="s">
        <v>29</v>
      </c>
      <c r="F724" t="s">
        <v>30</v>
      </c>
      <c r="G724" t="s">
        <v>46</v>
      </c>
      <c r="H724" t="s">
        <v>39</v>
      </c>
      <c r="I724" s="9">
        <v>60000</v>
      </c>
      <c r="J724">
        <v>3</v>
      </c>
      <c r="K724" t="s">
        <v>42</v>
      </c>
      <c r="L724" s="9">
        <f t="shared" si="11"/>
        <v>48000</v>
      </c>
      <c r="M724" s="9">
        <f>Table1[[#This Row],[Unit Price]]*Table1[[#This Row],[Quantity]]</f>
        <v>180000</v>
      </c>
      <c r="N724" s="9">
        <f>Table1[[#This Row],[Cost Price]]*Table1[[#This Row],[Quantity]]</f>
        <v>144000</v>
      </c>
      <c r="O724" s="9">
        <f>Table1[[#This Row],[Revenue]]-Table1[[#This Row],[COGS]]</f>
        <v>36000</v>
      </c>
      <c r="P724" s="6">
        <v>723</v>
      </c>
    </row>
    <row r="725" spans="1:16">
      <c r="A725" s="7" t="s">
        <v>98</v>
      </c>
      <c r="B725" s="7" t="str">
        <f>TEXT(Table1[[#This Row],[Date]],"MMM")</f>
        <v>Jan</v>
      </c>
      <c r="C725" t="s">
        <v>35</v>
      </c>
      <c r="D725" t="s">
        <v>53</v>
      </c>
      <c r="E725" t="s">
        <v>29</v>
      </c>
      <c r="F725" t="s">
        <v>37</v>
      </c>
      <c r="G725" t="s">
        <v>62</v>
      </c>
      <c r="H725" t="s">
        <v>51</v>
      </c>
      <c r="I725" s="9">
        <v>150000</v>
      </c>
      <c r="J725">
        <v>1</v>
      </c>
      <c r="K725" t="s">
        <v>47</v>
      </c>
      <c r="L725" s="9">
        <f t="shared" si="11"/>
        <v>120000</v>
      </c>
      <c r="M725" s="9">
        <f>Table1[[#This Row],[Unit Price]]*Table1[[#This Row],[Quantity]]</f>
        <v>150000</v>
      </c>
      <c r="N725" s="9">
        <f>Table1[[#This Row],[Cost Price]]*Table1[[#This Row],[Quantity]]</f>
        <v>120000</v>
      </c>
      <c r="O725" s="9">
        <f>Table1[[#This Row],[Revenue]]-Table1[[#This Row],[COGS]]</f>
        <v>30000</v>
      </c>
      <c r="P725" s="6">
        <v>724</v>
      </c>
    </row>
    <row r="726" spans="1:16">
      <c r="A726" s="7" t="s">
        <v>133</v>
      </c>
      <c r="B726" s="7" t="str">
        <f>TEXT(Table1[[#This Row],[Date]],"MMM")</f>
        <v>Jan</v>
      </c>
      <c r="C726" t="s">
        <v>44</v>
      </c>
      <c r="D726" t="s">
        <v>28</v>
      </c>
      <c r="E726" t="s">
        <v>41</v>
      </c>
      <c r="F726" t="s">
        <v>30</v>
      </c>
      <c r="G726" t="s">
        <v>67</v>
      </c>
      <c r="H726" t="s">
        <v>51</v>
      </c>
      <c r="I726" s="9">
        <v>420000</v>
      </c>
      <c r="J726">
        <v>4</v>
      </c>
      <c r="K726" t="s">
        <v>42</v>
      </c>
      <c r="L726" s="9">
        <f t="shared" si="11"/>
        <v>336000</v>
      </c>
      <c r="M726" s="9">
        <f>Table1[[#This Row],[Unit Price]]*Table1[[#This Row],[Quantity]]</f>
        <v>1680000</v>
      </c>
      <c r="N726" s="9">
        <f>Table1[[#This Row],[Cost Price]]*Table1[[#This Row],[Quantity]]</f>
        <v>1344000</v>
      </c>
      <c r="O726" s="9">
        <f>Table1[[#This Row],[Revenue]]-Table1[[#This Row],[COGS]]</f>
        <v>336000</v>
      </c>
      <c r="P726" s="6">
        <v>725</v>
      </c>
    </row>
    <row r="727" spans="1:16">
      <c r="A727" s="7" t="s">
        <v>114</v>
      </c>
      <c r="B727" s="7" t="str">
        <f>TEXT(Table1[[#This Row],[Date]],"MMM")</f>
        <v>Apr</v>
      </c>
      <c r="C727" t="s">
        <v>49</v>
      </c>
      <c r="D727" t="s">
        <v>36</v>
      </c>
      <c r="E727" t="s">
        <v>41</v>
      </c>
      <c r="F727" t="s">
        <v>30</v>
      </c>
      <c r="G727" t="s">
        <v>71</v>
      </c>
      <c r="H727" t="s">
        <v>51</v>
      </c>
      <c r="I727" s="9">
        <v>250000</v>
      </c>
      <c r="J727">
        <v>6</v>
      </c>
      <c r="K727" t="s">
        <v>47</v>
      </c>
      <c r="L727" s="9">
        <f t="shared" si="11"/>
        <v>200000</v>
      </c>
      <c r="M727" s="9">
        <f>Table1[[#This Row],[Unit Price]]*Table1[[#This Row],[Quantity]]</f>
        <v>1500000</v>
      </c>
      <c r="N727" s="9">
        <f>Table1[[#This Row],[Cost Price]]*Table1[[#This Row],[Quantity]]</f>
        <v>1200000</v>
      </c>
      <c r="O727" s="9">
        <f>Table1[[#This Row],[Revenue]]-Table1[[#This Row],[COGS]]</f>
        <v>300000</v>
      </c>
      <c r="P727" s="6">
        <v>726</v>
      </c>
    </row>
    <row r="728" spans="1:16">
      <c r="A728" s="7" t="s">
        <v>118</v>
      </c>
      <c r="B728" s="7" t="str">
        <f>TEXT(Table1[[#This Row],[Date]],"MMM")</f>
        <v>Mar</v>
      </c>
      <c r="C728" t="s">
        <v>44</v>
      </c>
      <c r="D728" t="s">
        <v>28</v>
      </c>
      <c r="E728" t="s">
        <v>41</v>
      </c>
      <c r="F728" t="s">
        <v>37</v>
      </c>
      <c r="G728" t="s">
        <v>56</v>
      </c>
      <c r="H728" t="s">
        <v>32</v>
      </c>
      <c r="I728" s="9">
        <v>320000</v>
      </c>
      <c r="J728">
        <v>1</v>
      </c>
      <c r="K728" t="s">
        <v>58</v>
      </c>
      <c r="L728" s="9">
        <f t="shared" si="11"/>
        <v>256000</v>
      </c>
      <c r="M728" s="9">
        <f>Table1[[#This Row],[Unit Price]]*Table1[[#This Row],[Quantity]]</f>
        <v>320000</v>
      </c>
      <c r="N728" s="9">
        <f>Table1[[#This Row],[Cost Price]]*Table1[[#This Row],[Quantity]]</f>
        <v>256000</v>
      </c>
      <c r="O728" s="9">
        <f>Table1[[#This Row],[Revenue]]-Table1[[#This Row],[COGS]]</f>
        <v>64000</v>
      </c>
      <c r="P728" s="6">
        <v>727</v>
      </c>
    </row>
    <row r="729" spans="1:16">
      <c r="A729" s="7" t="s">
        <v>115</v>
      </c>
      <c r="B729" s="7" t="str">
        <f>TEXT(Table1[[#This Row],[Date]],"MMM")</f>
        <v>Jan</v>
      </c>
      <c r="C729" t="s">
        <v>49</v>
      </c>
      <c r="D729" t="s">
        <v>53</v>
      </c>
      <c r="E729" t="s">
        <v>41</v>
      </c>
      <c r="F729" t="s">
        <v>37</v>
      </c>
      <c r="G729" t="s">
        <v>73</v>
      </c>
      <c r="H729" t="s">
        <v>39</v>
      </c>
      <c r="I729" s="9">
        <v>220000</v>
      </c>
      <c r="J729">
        <v>10</v>
      </c>
      <c r="K729" t="s">
        <v>69</v>
      </c>
      <c r="L729" s="9">
        <f t="shared" si="11"/>
        <v>176000</v>
      </c>
      <c r="M729" s="9">
        <f>Table1[[#This Row],[Unit Price]]*Table1[[#This Row],[Quantity]]</f>
        <v>2200000</v>
      </c>
      <c r="N729" s="9">
        <f>Table1[[#This Row],[Cost Price]]*Table1[[#This Row],[Quantity]]</f>
        <v>1760000</v>
      </c>
      <c r="O729" s="9">
        <f>Table1[[#This Row],[Revenue]]-Table1[[#This Row],[COGS]]</f>
        <v>440000</v>
      </c>
      <c r="P729" s="6">
        <v>728</v>
      </c>
    </row>
    <row r="730" spans="1:16">
      <c r="A730" s="7" t="s">
        <v>78</v>
      </c>
      <c r="B730" s="7" t="str">
        <f>TEXT(Table1[[#This Row],[Date]],"MMM")</f>
        <v>Apr</v>
      </c>
      <c r="C730" t="s">
        <v>49</v>
      </c>
      <c r="D730" t="s">
        <v>36</v>
      </c>
      <c r="E730" t="s">
        <v>29</v>
      </c>
      <c r="F730" t="s">
        <v>30</v>
      </c>
      <c r="G730" t="s">
        <v>73</v>
      </c>
      <c r="H730" t="s">
        <v>39</v>
      </c>
      <c r="I730" s="9">
        <v>220000</v>
      </c>
      <c r="J730">
        <v>5</v>
      </c>
      <c r="K730" t="s">
        <v>42</v>
      </c>
      <c r="L730" s="9">
        <f t="shared" si="11"/>
        <v>176000</v>
      </c>
      <c r="M730" s="9">
        <f>Table1[[#This Row],[Unit Price]]*Table1[[#This Row],[Quantity]]</f>
        <v>1100000</v>
      </c>
      <c r="N730" s="9">
        <f>Table1[[#This Row],[Cost Price]]*Table1[[#This Row],[Quantity]]</f>
        <v>880000</v>
      </c>
      <c r="O730" s="9">
        <f>Table1[[#This Row],[Revenue]]-Table1[[#This Row],[COGS]]</f>
        <v>220000</v>
      </c>
      <c r="P730" s="6">
        <v>729</v>
      </c>
    </row>
    <row r="731" spans="1:16">
      <c r="A731" s="7" t="s">
        <v>110</v>
      </c>
      <c r="B731" s="7" t="str">
        <f>TEXT(Table1[[#This Row],[Date]],"MMM")</f>
        <v>Jan</v>
      </c>
      <c r="C731" t="s">
        <v>44</v>
      </c>
      <c r="D731" t="s">
        <v>45</v>
      </c>
      <c r="E731" t="s">
        <v>41</v>
      </c>
      <c r="F731" t="s">
        <v>37</v>
      </c>
      <c r="G731" t="s">
        <v>73</v>
      </c>
      <c r="H731" t="s">
        <v>39</v>
      </c>
      <c r="I731" s="9">
        <v>220000</v>
      </c>
      <c r="J731">
        <v>8</v>
      </c>
      <c r="K731" t="s">
        <v>69</v>
      </c>
      <c r="L731" s="9">
        <f t="shared" si="11"/>
        <v>176000</v>
      </c>
      <c r="M731" s="9">
        <f>Table1[[#This Row],[Unit Price]]*Table1[[#This Row],[Quantity]]</f>
        <v>1760000</v>
      </c>
      <c r="N731" s="9">
        <f>Table1[[#This Row],[Cost Price]]*Table1[[#This Row],[Quantity]]</f>
        <v>1408000</v>
      </c>
      <c r="O731" s="9">
        <f>Table1[[#This Row],[Revenue]]-Table1[[#This Row],[COGS]]</f>
        <v>352000</v>
      </c>
      <c r="P731" s="6">
        <v>730</v>
      </c>
    </row>
    <row r="732" spans="1:16">
      <c r="A732" s="7" t="s">
        <v>164</v>
      </c>
      <c r="B732" s="7" t="str">
        <f>TEXT(Table1[[#This Row],[Date]],"MMM")</f>
        <v>Mar</v>
      </c>
      <c r="C732" t="s">
        <v>35</v>
      </c>
      <c r="D732" t="s">
        <v>28</v>
      </c>
      <c r="E732" t="s">
        <v>29</v>
      </c>
      <c r="F732" t="s">
        <v>30</v>
      </c>
      <c r="G732" t="s">
        <v>73</v>
      </c>
      <c r="H732" t="s">
        <v>39</v>
      </c>
      <c r="I732" s="9">
        <v>220000</v>
      </c>
      <c r="J732">
        <v>9</v>
      </c>
      <c r="K732" t="s">
        <v>47</v>
      </c>
      <c r="L732" s="9">
        <f t="shared" si="11"/>
        <v>176000</v>
      </c>
      <c r="M732" s="9">
        <f>Table1[[#This Row],[Unit Price]]*Table1[[#This Row],[Quantity]]</f>
        <v>1980000</v>
      </c>
      <c r="N732" s="9">
        <f>Table1[[#This Row],[Cost Price]]*Table1[[#This Row],[Quantity]]</f>
        <v>1584000</v>
      </c>
      <c r="O732" s="9">
        <f>Table1[[#This Row],[Revenue]]-Table1[[#This Row],[COGS]]</f>
        <v>396000</v>
      </c>
      <c r="P732" s="6">
        <v>731</v>
      </c>
    </row>
    <row r="733" spans="1:16">
      <c r="A733" s="7" t="s">
        <v>120</v>
      </c>
      <c r="B733" s="7" t="str">
        <f>TEXT(Table1[[#This Row],[Date]],"MMM")</f>
        <v>Mar</v>
      </c>
      <c r="C733" t="s">
        <v>49</v>
      </c>
      <c r="D733" t="s">
        <v>45</v>
      </c>
      <c r="E733" t="s">
        <v>41</v>
      </c>
      <c r="F733" t="s">
        <v>30</v>
      </c>
      <c r="G733" t="s">
        <v>50</v>
      </c>
      <c r="H733" t="s">
        <v>51</v>
      </c>
      <c r="I733" s="9">
        <v>300000</v>
      </c>
      <c r="J733">
        <v>7</v>
      </c>
      <c r="K733" t="s">
        <v>69</v>
      </c>
      <c r="L733" s="9">
        <f t="shared" si="11"/>
        <v>240000</v>
      </c>
      <c r="M733" s="9">
        <f>Table1[[#This Row],[Unit Price]]*Table1[[#This Row],[Quantity]]</f>
        <v>2100000</v>
      </c>
      <c r="N733" s="9">
        <f>Table1[[#This Row],[Cost Price]]*Table1[[#This Row],[Quantity]]</f>
        <v>1680000</v>
      </c>
      <c r="O733" s="9">
        <f>Table1[[#This Row],[Revenue]]-Table1[[#This Row],[COGS]]</f>
        <v>420000</v>
      </c>
      <c r="P733" s="6">
        <v>732</v>
      </c>
    </row>
    <row r="734" spans="1:16">
      <c r="A734" s="7" t="s">
        <v>104</v>
      </c>
      <c r="B734" s="7" t="str">
        <f>TEXT(Table1[[#This Row],[Date]],"MMM")</f>
        <v>Mar</v>
      </c>
      <c r="C734" t="s">
        <v>27</v>
      </c>
      <c r="D734" t="s">
        <v>53</v>
      </c>
      <c r="E734" t="s">
        <v>29</v>
      </c>
      <c r="F734" t="s">
        <v>30</v>
      </c>
      <c r="G734" t="s">
        <v>67</v>
      </c>
      <c r="H734" t="s">
        <v>51</v>
      </c>
      <c r="I734" s="9">
        <v>420000</v>
      </c>
      <c r="J734">
        <v>1</v>
      </c>
      <c r="K734" t="s">
        <v>47</v>
      </c>
      <c r="L734" s="9">
        <f t="shared" si="11"/>
        <v>336000</v>
      </c>
      <c r="M734" s="9">
        <f>Table1[[#This Row],[Unit Price]]*Table1[[#This Row],[Quantity]]</f>
        <v>420000</v>
      </c>
      <c r="N734" s="9">
        <f>Table1[[#This Row],[Cost Price]]*Table1[[#This Row],[Quantity]]</f>
        <v>336000</v>
      </c>
      <c r="O734" s="9">
        <f>Table1[[#This Row],[Revenue]]-Table1[[#This Row],[COGS]]</f>
        <v>84000</v>
      </c>
      <c r="P734" s="6">
        <v>733</v>
      </c>
    </row>
    <row r="735" spans="1:16">
      <c r="A735" s="7" t="s">
        <v>89</v>
      </c>
      <c r="B735" s="7" t="str">
        <f>TEXT(Table1[[#This Row],[Date]],"MMM")</f>
        <v>Feb</v>
      </c>
      <c r="C735" t="s">
        <v>27</v>
      </c>
      <c r="D735" t="s">
        <v>36</v>
      </c>
      <c r="E735" t="s">
        <v>41</v>
      </c>
      <c r="F735" t="s">
        <v>37</v>
      </c>
      <c r="G735" t="s">
        <v>54</v>
      </c>
      <c r="H735" t="s">
        <v>39</v>
      </c>
      <c r="I735" s="9">
        <v>180000</v>
      </c>
      <c r="J735">
        <v>6</v>
      </c>
      <c r="K735" t="s">
        <v>47</v>
      </c>
      <c r="L735" s="9">
        <f t="shared" si="11"/>
        <v>144000</v>
      </c>
      <c r="M735" s="9">
        <f>Table1[[#This Row],[Unit Price]]*Table1[[#This Row],[Quantity]]</f>
        <v>1080000</v>
      </c>
      <c r="N735" s="9">
        <f>Table1[[#This Row],[Cost Price]]*Table1[[#This Row],[Quantity]]</f>
        <v>864000</v>
      </c>
      <c r="O735" s="9">
        <f>Table1[[#This Row],[Revenue]]-Table1[[#This Row],[COGS]]</f>
        <v>216000</v>
      </c>
      <c r="P735" s="6">
        <v>734</v>
      </c>
    </row>
    <row r="736" spans="1:16">
      <c r="A736" s="7" t="s">
        <v>99</v>
      </c>
      <c r="B736" s="7" t="str">
        <f>TEXT(Table1[[#This Row],[Date]],"MMM")</f>
        <v>Apr</v>
      </c>
      <c r="C736" t="s">
        <v>49</v>
      </c>
      <c r="D736" t="s">
        <v>28</v>
      </c>
      <c r="E736" t="s">
        <v>29</v>
      </c>
      <c r="F736" t="s">
        <v>30</v>
      </c>
      <c r="G736" t="s">
        <v>71</v>
      </c>
      <c r="H736" t="s">
        <v>51</v>
      </c>
      <c r="I736" s="9">
        <v>250000</v>
      </c>
      <c r="J736">
        <v>3</v>
      </c>
      <c r="K736" t="s">
        <v>47</v>
      </c>
      <c r="L736" s="9">
        <f t="shared" si="11"/>
        <v>200000</v>
      </c>
      <c r="M736" s="9">
        <f>Table1[[#This Row],[Unit Price]]*Table1[[#This Row],[Quantity]]</f>
        <v>750000</v>
      </c>
      <c r="N736" s="9">
        <f>Table1[[#This Row],[Cost Price]]*Table1[[#This Row],[Quantity]]</f>
        <v>600000</v>
      </c>
      <c r="O736" s="9">
        <f>Table1[[#This Row],[Revenue]]-Table1[[#This Row],[COGS]]</f>
        <v>150000</v>
      </c>
      <c r="P736" s="6">
        <v>735</v>
      </c>
    </row>
    <row r="737" spans="1:16">
      <c r="A737" s="7" t="s">
        <v>138</v>
      </c>
      <c r="B737" s="7" t="str">
        <f>TEXT(Table1[[#This Row],[Date]],"MMM")</f>
        <v>Apr</v>
      </c>
      <c r="C737" t="s">
        <v>49</v>
      </c>
      <c r="D737" t="s">
        <v>53</v>
      </c>
      <c r="E737" t="s">
        <v>29</v>
      </c>
      <c r="F737" t="s">
        <v>30</v>
      </c>
      <c r="G737" t="s">
        <v>56</v>
      </c>
      <c r="H737" t="s">
        <v>32</v>
      </c>
      <c r="I737" s="9">
        <v>320000</v>
      </c>
      <c r="J737">
        <v>2</v>
      </c>
      <c r="K737" t="s">
        <v>33</v>
      </c>
      <c r="L737" s="9">
        <f t="shared" si="11"/>
        <v>256000</v>
      </c>
      <c r="M737" s="9">
        <f>Table1[[#This Row],[Unit Price]]*Table1[[#This Row],[Quantity]]</f>
        <v>640000</v>
      </c>
      <c r="N737" s="9">
        <f>Table1[[#This Row],[Cost Price]]*Table1[[#This Row],[Quantity]]</f>
        <v>512000</v>
      </c>
      <c r="O737" s="9">
        <f>Table1[[#This Row],[Revenue]]-Table1[[#This Row],[COGS]]</f>
        <v>128000</v>
      </c>
      <c r="P737" s="6">
        <v>736</v>
      </c>
    </row>
    <row r="738" spans="1:16">
      <c r="A738" s="7" t="s">
        <v>64</v>
      </c>
      <c r="B738" s="7" t="str">
        <f>TEXT(Table1[[#This Row],[Date]],"MMM")</f>
        <v>Apr</v>
      </c>
      <c r="C738" t="s">
        <v>35</v>
      </c>
      <c r="D738" t="s">
        <v>36</v>
      </c>
      <c r="E738" t="s">
        <v>41</v>
      </c>
      <c r="F738" t="s">
        <v>30</v>
      </c>
      <c r="G738" t="s">
        <v>46</v>
      </c>
      <c r="H738" t="s">
        <v>39</v>
      </c>
      <c r="I738" s="9">
        <v>60000</v>
      </c>
      <c r="J738">
        <v>3</v>
      </c>
      <c r="K738" t="s">
        <v>42</v>
      </c>
      <c r="L738" s="9">
        <f t="shared" si="11"/>
        <v>48000</v>
      </c>
      <c r="M738" s="9">
        <f>Table1[[#This Row],[Unit Price]]*Table1[[#This Row],[Quantity]]</f>
        <v>180000</v>
      </c>
      <c r="N738" s="9">
        <f>Table1[[#This Row],[Cost Price]]*Table1[[#This Row],[Quantity]]</f>
        <v>144000</v>
      </c>
      <c r="O738" s="9">
        <f>Table1[[#This Row],[Revenue]]-Table1[[#This Row],[COGS]]</f>
        <v>36000</v>
      </c>
      <c r="P738" s="6">
        <v>737</v>
      </c>
    </row>
    <row r="739" spans="1:16">
      <c r="A739" s="7" t="s">
        <v>143</v>
      </c>
      <c r="B739" s="7" t="str">
        <f>TEXT(Table1[[#This Row],[Date]],"MMM")</f>
        <v>Apr</v>
      </c>
      <c r="C739" t="s">
        <v>44</v>
      </c>
      <c r="D739" t="s">
        <v>53</v>
      </c>
      <c r="E739" t="s">
        <v>41</v>
      </c>
      <c r="F739" t="s">
        <v>37</v>
      </c>
      <c r="G739" t="s">
        <v>38</v>
      </c>
      <c r="H739" t="s">
        <v>39</v>
      </c>
      <c r="I739" s="9">
        <v>30000</v>
      </c>
      <c r="J739">
        <v>9</v>
      </c>
      <c r="K739" t="s">
        <v>42</v>
      </c>
      <c r="L739" s="9">
        <f t="shared" si="11"/>
        <v>24000</v>
      </c>
      <c r="M739" s="9">
        <f>Table1[[#This Row],[Unit Price]]*Table1[[#This Row],[Quantity]]</f>
        <v>270000</v>
      </c>
      <c r="N739" s="9">
        <f>Table1[[#This Row],[Cost Price]]*Table1[[#This Row],[Quantity]]</f>
        <v>216000</v>
      </c>
      <c r="O739" s="9">
        <f>Table1[[#This Row],[Revenue]]-Table1[[#This Row],[COGS]]</f>
        <v>54000</v>
      </c>
      <c r="P739" s="6">
        <v>738</v>
      </c>
    </row>
    <row r="740" spans="1:16">
      <c r="A740" s="7" t="s">
        <v>57</v>
      </c>
      <c r="B740" s="7" t="str">
        <f>TEXT(Table1[[#This Row],[Date]],"MMM")</f>
        <v>Feb</v>
      </c>
      <c r="C740" t="s">
        <v>35</v>
      </c>
      <c r="D740" t="s">
        <v>45</v>
      </c>
      <c r="E740" t="s">
        <v>41</v>
      </c>
      <c r="F740" t="s">
        <v>37</v>
      </c>
      <c r="G740" t="s">
        <v>54</v>
      </c>
      <c r="H740" t="s">
        <v>39</v>
      </c>
      <c r="I740" s="9">
        <v>180000</v>
      </c>
      <c r="J740">
        <v>6</v>
      </c>
      <c r="K740" t="s">
        <v>42</v>
      </c>
      <c r="L740" s="9">
        <f t="shared" si="11"/>
        <v>144000</v>
      </c>
      <c r="M740" s="9">
        <f>Table1[[#This Row],[Unit Price]]*Table1[[#This Row],[Quantity]]</f>
        <v>1080000</v>
      </c>
      <c r="N740" s="9">
        <f>Table1[[#This Row],[Cost Price]]*Table1[[#This Row],[Quantity]]</f>
        <v>864000</v>
      </c>
      <c r="O740" s="9">
        <f>Table1[[#This Row],[Revenue]]-Table1[[#This Row],[COGS]]</f>
        <v>216000</v>
      </c>
      <c r="P740" s="6">
        <v>739</v>
      </c>
    </row>
    <row r="741" spans="1:16">
      <c r="A741" s="7" t="s">
        <v>99</v>
      </c>
      <c r="B741" s="7" t="str">
        <f>TEXT(Table1[[#This Row],[Date]],"MMM")</f>
        <v>Apr</v>
      </c>
      <c r="C741" t="s">
        <v>44</v>
      </c>
      <c r="D741" t="s">
        <v>45</v>
      </c>
      <c r="E741" t="s">
        <v>41</v>
      </c>
      <c r="F741" t="s">
        <v>30</v>
      </c>
      <c r="G741" t="s">
        <v>46</v>
      </c>
      <c r="H741" t="s">
        <v>39</v>
      </c>
      <c r="I741" s="9">
        <v>60000</v>
      </c>
      <c r="J741">
        <v>8</v>
      </c>
      <c r="K741" t="s">
        <v>65</v>
      </c>
      <c r="L741" s="9">
        <f t="shared" si="11"/>
        <v>48000</v>
      </c>
      <c r="M741" s="9">
        <f>Table1[[#This Row],[Unit Price]]*Table1[[#This Row],[Quantity]]</f>
        <v>480000</v>
      </c>
      <c r="N741" s="9">
        <f>Table1[[#This Row],[Cost Price]]*Table1[[#This Row],[Quantity]]</f>
        <v>384000</v>
      </c>
      <c r="O741" s="9">
        <f>Table1[[#This Row],[Revenue]]-Table1[[#This Row],[COGS]]</f>
        <v>96000</v>
      </c>
      <c r="P741" s="6">
        <v>740</v>
      </c>
    </row>
    <row r="742" spans="1:16">
      <c r="A742" s="7" t="s">
        <v>97</v>
      </c>
      <c r="B742" s="7" t="str">
        <f>TEXT(Table1[[#This Row],[Date]],"MMM")</f>
        <v>Jan</v>
      </c>
      <c r="C742" t="s">
        <v>44</v>
      </c>
      <c r="D742" t="s">
        <v>45</v>
      </c>
      <c r="E742" t="s">
        <v>41</v>
      </c>
      <c r="F742" t="s">
        <v>30</v>
      </c>
      <c r="G742" t="s">
        <v>46</v>
      </c>
      <c r="H742" t="s">
        <v>39</v>
      </c>
      <c r="I742" s="9">
        <v>60000</v>
      </c>
      <c r="J742">
        <v>8</v>
      </c>
      <c r="K742" t="s">
        <v>69</v>
      </c>
      <c r="L742" s="9">
        <f t="shared" si="11"/>
        <v>48000</v>
      </c>
      <c r="M742" s="9">
        <f>Table1[[#This Row],[Unit Price]]*Table1[[#This Row],[Quantity]]</f>
        <v>480000</v>
      </c>
      <c r="N742" s="9">
        <f>Table1[[#This Row],[Cost Price]]*Table1[[#This Row],[Quantity]]</f>
        <v>384000</v>
      </c>
      <c r="O742" s="9">
        <f>Table1[[#This Row],[Revenue]]-Table1[[#This Row],[COGS]]</f>
        <v>96000</v>
      </c>
      <c r="P742" s="6">
        <v>741</v>
      </c>
    </row>
    <row r="743" spans="1:16">
      <c r="A743" s="7" t="s">
        <v>106</v>
      </c>
      <c r="B743" s="7" t="str">
        <f>TEXT(Table1[[#This Row],[Date]],"MMM")</f>
        <v>Apr</v>
      </c>
      <c r="C743" t="s">
        <v>44</v>
      </c>
      <c r="D743" t="s">
        <v>45</v>
      </c>
      <c r="E743" t="s">
        <v>41</v>
      </c>
      <c r="F743" t="s">
        <v>37</v>
      </c>
      <c r="G743" t="s">
        <v>71</v>
      </c>
      <c r="H743" t="s">
        <v>51</v>
      </c>
      <c r="I743" s="9">
        <v>250000</v>
      </c>
      <c r="J743">
        <v>3</v>
      </c>
      <c r="K743" t="s">
        <v>58</v>
      </c>
      <c r="L743" s="9">
        <f t="shared" si="11"/>
        <v>200000</v>
      </c>
      <c r="M743" s="9">
        <f>Table1[[#This Row],[Unit Price]]*Table1[[#This Row],[Quantity]]</f>
        <v>750000</v>
      </c>
      <c r="N743" s="9">
        <f>Table1[[#This Row],[Cost Price]]*Table1[[#This Row],[Quantity]]</f>
        <v>600000</v>
      </c>
      <c r="O743" s="9">
        <f>Table1[[#This Row],[Revenue]]-Table1[[#This Row],[COGS]]</f>
        <v>150000</v>
      </c>
      <c r="P743" s="6">
        <v>742</v>
      </c>
    </row>
    <row r="744" spans="1:16">
      <c r="A744" s="7" t="s">
        <v>133</v>
      </c>
      <c r="B744" s="7" t="str">
        <f>TEXT(Table1[[#This Row],[Date]],"MMM")</f>
        <v>Jan</v>
      </c>
      <c r="C744" t="s">
        <v>49</v>
      </c>
      <c r="D744" t="s">
        <v>45</v>
      </c>
      <c r="E744" t="s">
        <v>41</v>
      </c>
      <c r="F744" t="s">
        <v>37</v>
      </c>
      <c r="G744" t="s">
        <v>31</v>
      </c>
      <c r="H744" t="s">
        <v>32</v>
      </c>
      <c r="I744" s="9">
        <v>85000</v>
      </c>
      <c r="J744">
        <v>6</v>
      </c>
      <c r="K744" t="s">
        <v>65</v>
      </c>
      <c r="L744" s="9">
        <f t="shared" si="11"/>
        <v>68000</v>
      </c>
      <c r="M744" s="9">
        <f>Table1[[#This Row],[Unit Price]]*Table1[[#This Row],[Quantity]]</f>
        <v>510000</v>
      </c>
      <c r="N744" s="9">
        <f>Table1[[#This Row],[Cost Price]]*Table1[[#This Row],[Quantity]]</f>
        <v>408000</v>
      </c>
      <c r="O744" s="9">
        <f>Table1[[#This Row],[Revenue]]-Table1[[#This Row],[COGS]]</f>
        <v>102000</v>
      </c>
      <c r="P744" s="6">
        <v>743</v>
      </c>
    </row>
    <row r="745" spans="1:16">
      <c r="A745" s="7" t="s">
        <v>117</v>
      </c>
      <c r="B745" s="7" t="str">
        <f>TEXT(Table1[[#This Row],[Date]],"MMM")</f>
        <v>Jan</v>
      </c>
      <c r="C745" t="s">
        <v>35</v>
      </c>
      <c r="D745" t="s">
        <v>53</v>
      </c>
      <c r="E745" t="s">
        <v>41</v>
      </c>
      <c r="F745" t="s">
        <v>30</v>
      </c>
      <c r="G745" t="s">
        <v>73</v>
      </c>
      <c r="H745" t="s">
        <v>39</v>
      </c>
      <c r="I745" s="9">
        <v>220000</v>
      </c>
      <c r="J745">
        <v>9</v>
      </c>
      <c r="K745" t="s">
        <v>47</v>
      </c>
      <c r="L745" s="9">
        <f t="shared" si="11"/>
        <v>176000</v>
      </c>
      <c r="M745" s="9">
        <f>Table1[[#This Row],[Unit Price]]*Table1[[#This Row],[Quantity]]</f>
        <v>1980000</v>
      </c>
      <c r="N745" s="9">
        <f>Table1[[#This Row],[Cost Price]]*Table1[[#This Row],[Quantity]]</f>
        <v>1584000</v>
      </c>
      <c r="O745" s="9">
        <f>Table1[[#This Row],[Revenue]]-Table1[[#This Row],[COGS]]</f>
        <v>396000</v>
      </c>
      <c r="P745" s="6">
        <v>744</v>
      </c>
    </row>
    <row r="746" spans="1:16">
      <c r="A746" s="7" t="s">
        <v>94</v>
      </c>
      <c r="B746" s="7" t="str">
        <f>TEXT(Table1[[#This Row],[Date]],"MMM")</f>
        <v>Jan</v>
      </c>
      <c r="C746" t="s">
        <v>49</v>
      </c>
      <c r="D746" t="s">
        <v>53</v>
      </c>
      <c r="E746" t="s">
        <v>41</v>
      </c>
      <c r="F746" t="s">
        <v>37</v>
      </c>
      <c r="G746" t="s">
        <v>71</v>
      </c>
      <c r="H746" t="s">
        <v>51</v>
      </c>
      <c r="I746" s="9">
        <v>250000</v>
      </c>
      <c r="J746">
        <v>4</v>
      </c>
      <c r="K746" t="s">
        <v>47</v>
      </c>
      <c r="L746" s="9">
        <f t="shared" si="11"/>
        <v>200000</v>
      </c>
      <c r="M746" s="9">
        <f>Table1[[#This Row],[Unit Price]]*Table1[[#This Row],[Quantity]]</f>
        <v>1000000</v>
      </c>
      <c r="N746" s="9">
        <f>Table1[[#This Row],[Cost Price]]*Table1[[#This Row],[Quantity]]</f>
        <v>800000</v>
      </c>
      <c r="O746" s="9">
        <f>Table1[[#This Row],[Revenue]]-Table1[[#This Row],[COGS]]</f>
        <v>200000</v>
      </c>
      <c r="P746" s="6">
        <v>745</v>
      </c>
    </row>
    <row r="747" spans="1:16">
      <c r="A747" s="7" t="s">
        <v>68</v>
      </c>
      <c r="B747" s="7" t="str">
        <f>TEXT(Table1[[#This Row],[Date]],"MMM")</f>
        <v>Mar</v>
      </c>
      <c r="C747" t="s">
        <v>44</v>
      </c>
      <c r="D747" t="s">
        <v>45</v>
      </c>
      <c r="E747" t="s">
        <v>41</v>
      </c>
      <c r="F747" t="s">
        <v>37</v>
      </c>
      <c r="G747" t="s">
        <v>71</v>
      </c>
      <c r="H747" t="s">
        <v>51</v>
      </c>
      <c r="I747" s="9">
        <v>250000</v>
      </c>
      <c r="J747">
        <v>3</v>
      </c>
      <c r="K747" t="s">
        <v>33</v>
      </c>
      <c r="L747" s="9">
        <f t="shared" si="11"/>
        <v>200000</v>
      </c>
      <c r="M747" s="9">
        <f>Table1[[#This Row],[Unit Price]]*Table1[[#This Row],[Quantity]]</f>
        <v>750000</v>
      </c>
      <c r="N747" s="9">
        <f>Table1[[#This Row],[Cost Price]]*Table1[[#This Row],[Quantity]]</f>
        <v>600000</v>
      </c>
      <c r="O747" s="9">
        <f>Table1[[#This Row],[Revenue]]-Table1[[#This Row],[COGS]]</f>
        <v>150000</v>
      </c>
      <c r="P747" s="6">
        <v>746</v>
      </c>
    </row>
    <row r="748" spans="1:16">
      <c r="A748" s="7" t="s">
        <v>61</v>
      </c>
      <c r="B748" s="7" t="str">
        <f>TEXT(Table1[[#This Row],[Date]],"MMM")</f>
        <v>Jan</v>
      </c>
      <c r="C748" t="s">
        <v>44</v>
      </c>
      <c r="D748" t="s">
        <v>53</v>
      </c>
      <c r="E748" t="s">
        <v>41</v>
      </c>
      <c r="F748" t="s">
        <v>37</v>
      </c>
      <c r="G748" t="s">
        <v>38</v>
      </c>
      <c r="H748" t="s">
        <v>39</v>
      </c>
      <c r="I748" s="9">
        <v>30000</v>
      </c>
      <c r="J748">
        <v>10</v>
      </c>
      <c r="K748" t="s">
        <v>33</v>
      </c>
      <c r="L748" s="9">
        <f t="shared" si="11"/>
        <v>24000</v>
      </c>
      <c r="M748" s="9">
        <f>Table1[[#This Row],[Unit Price]]*Table1[[#This Row],[Quantity]]</f>
        <v>300000</v>
      </c>
      <c r="N748" s="9">
        <f>Table1[[#This Row],[Cost Price]]*Table1[[#This Row],[Quantity]]</f>
        <v>240000</v>
      </c>
      <c r="O748" s="9">
        <f>Table1[[#This Row],[Revenue]]-Table1[[#This Row],[COGS]]</f>
        <v>60000</v>
      </c>
      <c r="P748" s="6">
        <v>747</v>
      </c>
    </row>
    <row r="749" spans="1:16">
      <c r="A749" s="7" t="s">
        <v>76</v>
      </c>
      <c r="B749" s="7" t="str">
        <f>TEXT(Table1[[#This Row],[Date]],"MMM")</f>
        <v>May</v>
      </c>
      <c r="C749" t="s">
        <v>49</v>
      </c>
      <c r="D749" t="s">
        <v>45</v>
      </c>
      <c r="E749" t="s">
        <v>41</v>
      </c>
      <c r="F749" t="s">
        <v>37</v>
      </c>
      <c r="G749" t="s">
        <v>50</v>
      </c>
      <c r="H749" t="s">
        <v>51</v>
      </c>
      <c r="I749" s="9">
        <v>300000</v>
      </c>
      <c r="J749">
        <v>4</v>
      </c>
      <c r="K749" t="s">
        <v>69</v>
      </c>
      <c r="L749" s="9">
        <f t="shared" si="11"/>
        <v>240000</v>
      </c>
      <c r="M749" s="9">
        <f>Table1[[#This Row],[Unit Price]]*Table1[[#This Row],[Quantity]]</f>
        <v>1200000</v>
      </c>
      <c r="N749" s="9">
        <f>Table1[[#This Row],[Cost Price]]*Table1[[#This Row],[Quantity]]</f>
        <v>960000</v>
      </c>
      <c r="O749" s="9">
        <f>Table1[[#This Row],[Revenue]]-Table1[[#This Row],[COGS]]</f>
        <v>240000</v>
      </c>
      <c r="P749" s="6">
        <v>748</v>
      </c>
    </row>
    <row r="750" spans="1:16">
      <c r="A750" s="7" t="s">
        <v>106</v>
      </c>
      <c r="B750" s="7" t="str">
        <f>TEXT(Table1[[#This Row],[Date]],"MMM")</f>
        <v>Apr</v>
      </c>
      <c r="C750" t="s">
        <v>44</v>
      </c>
      <c r="D750" t="s">
        <v>28</v>
      </c>
      <c r="E750" t="s">
        <v>41</v>
      </c>
      <c r="F750" t="s">
        <v>37</v>
      </c>
      <c r="G750" t="s">
        <v>56</v>
      </c>
      <c r="H750" t="s">
        <v>32</v>
      </c>
      <c r="I750" s="9">
        <v>320000</v>
      </c>
      <c r="J750">
        <v>2</v>
      </c>
      <c r="K750" t="s">
        <v>58</v>
      </c>
      <c r="L750" s="9">
        <f t="shared" si="11"/>
        <v>256000</v>
      </c>
      <c r="M750" s="9">
        <f>Table1[[#This Row],[Unit Price]]*Table1[[#This Row],[Quantity]]</f>
        <v>640000</v>
      </c>
      <c r="N750" s="9">
        <f>Table1[[#This Row],[Cost Price]]*Table1[[#This Row],[Quantity]]</f>
        <v>512000</v>
      </c>
      <c r="O750" s="9">
        <f>Table1[[#This Row],[Revenue]]-Table1[[#This Row],[COGS]]</f>
        <v>128000</v>
      </c>
      <c r="P750" s="6">
        <v>749</v>
      </c>
    </row>
    <row r="751" spans="1:16">
      <c r="A751" s="7" t="s">
        <v>100</v>
      </c>
      <c r="B751" s="7" t="str">
        <f>TEXT(Table1[[#This Row],[Date]],"MMM")</f>
        <v>Jan</v>
      </c>
      <c r="C751" t="s">
        <v>44</v>
      </c>
      <c r="D751" t="s">
        <v>53</v>
      </c>
      <c r="E751" t="s">
        <v>41</v>
      </c>
      <c r="F751" t="s">
        <v>37</v>
      </c>
      <c r="G751" t="s">
        <v>67</v>
      </c>
      <c r="H751" t="s">
        <v>51</v>
      </c>
      <c r="I751" s="9">
        <v>420000</v>
      </c>
      <c r="J751">
        <v>8</v>
      </c>
      <c r="K751" t="s">
        <v>69</v>
      </c>
      <c r="L751" s="9">
        <f t="shared" si="11"/>
        <v>336000</v>
      </c>
      <c r="M751" s="9">
        <f>Table1[[#This Row],[Unit Price]]*Table1[[#This Row],[Quantity]]</f>
        <v>3360000</v>
      </c>
      <c r="N751" s="9">
        <f>Table1[[#This Row],[Cost Price]]*Table1[[#This Row],[Quantity]]</f>
        <v>2688000</v>
      </c>
      <c r="O751" s="9">
        <f>Table1[[#This Row],[Revenue]]-Table1[[#This Row],[COGS]]</f>
        <v>672000</v>
      </c>
      <c r="P751" s="6">
        <v>750</v>
      </c>
    </row>
    <row r="752" spans="1:16">
      <c r="A752" s="7" t="s">
        <v>124</v>
      </c>
      <c r="B752" s="7" t="str">
        <f>TEXT(Table1[[#This Row],[Date]],"MMM")</f>
        <v>Feb</v>
      </c>
      <c r="C752" t="s">
        <v>44</v>
      </c>
      <c r="D752" t="s">
        <v>53</v>
      </c>
      <c r="E752" t="s">
        <v>41</v>
      </c>
      <c r="F752" t="s">
        <v>37</v>
      </c>
      <c r="G752" t="s">
        <v>38</v>
      </c>
      <c r="H752" t="s">
        <v>39</v>
      </c>
      <c r="I752" s="9">
        <v>30000</v>
      </c>
      <c r="J752">
        <v>2</v>
      </c>
      <c r="K752" t="s">
        <v>42</v>
      </c>
      <c r="L752" s="9">
        <f t="shared" si="11"/>
        <v>24000</v>
      </c>
      <c r="M752" s="9">
        <f>Table1[[#This Row],[Unit Price]]*Table1[[#This Row],[Quantity]]</f>
        <v>60000</v>
      </c>
      <c r="N752" s="9">
        <f>Table1[[#This Row],[Cost Price]]*Table1[[#This Row],[Quantity]]</f>
        <v>48000</v>
      </c>
      <c r="O752" s="9">
        <f>Table1[[#This Row],[Revenue]]-Table1[[#This Row],[COGS]]</f>
        <v>12000</v>
      </c>
      <c r="P752" s="6">
        <v>751</v>
      </c>
    </row>
    <row r="753" spans="1:16">
      <c r="A753" s="7" t="s">
        <v>88</v>
      </c>
      <c r="B753" s="7" t="str">
        <f>TEXT(Table1[[#This Row],[Date]],"MMM")</f>
        <v>Feb</v>
      </c>
      <c r="C753" t="s">
        <v>49</v>
      </c>
      <c r="D753" t="s">
        <v>53</v>
      </c>
      <c r="E753" t="s">
        <v>41</v>
      </c>
      <c r="F753" t="s">
        <v>37</v>
      </c>
      <c r="G753" t="s">
        <v>62</v>
      </c>
      <c r="H753" t="s">
        <v>51</v>
      </c>
      <c r="I753" s="9">
        <v>150000</v>
      </c>
      <c r="J753">
        <v>3</v>
      </c>
      <c r="K753" t="s">
        <v>33</v>
      </c>
      <c r="L753" s="9">
        <f t="shared" si="11"/>
        <v>120000</v>
      </c>
      <c r="M753" s="9">
        <f>Table1[[#This Row],[Unit Price]]*Table1[[#This Row],[Quantity]]</f>
        <v>450000</v>
      </c>
      <c r="N753" s="9">
        <f>Table1[[#This Row],[Cost Price]]*Table1[[#This Row],[Quantity]]</f>
        <v>360000</v>
      </c>
      <c r="O753" s="9">
        <f>Table1[[#This Row],[Revenue]]-Table1[[#This Row],[COGS]]</f>
        <v>90000</v>
      </c>
      <c r="P753" s="6">
        <v>752</v>
      </c>
    </row>
    <row r="754" spans="1:16">
      <c r="A754" s="7" t="s">
        <v>118</v>
      </c>
      <c r="B754" s="7" t="str">
        <f>TEXT(Table1[[#This Row],[Date]],"MMM")</f>
        <v>Mar</v>
      </c>
      <c r="C754" t="s">
        <v>44</v>
      </c>
      <c r="D754" t="s">
        <v>36</v>
      </c>
      <c r="E754" t="s">
        <v>41</v>
      </c>
      <c r="F754" t="s">
        <v>37</v>
      </c>
      <c r="G754" t="s">
        <v>73</v>
      </c>
      <c r="H754" t="s">
        <v>39</v>
      </c>
      <c r="I754" s="9">
        <v>220000</v>
      </c>
      <c r="J754">
        <v>6</v>
      </c>
      <c r="K754" t="s">
        <v>42</v>
      </c>
      <c r="L754" s="9">
        <f t="shared" si="11"/>
        <v>176000</v>
      </c>
      <c r="M754" s="9">
        <f>Table1[[#This Row],[Unit Price]]*Table1[[#This Row],[Quantity]]</f>
        <v>1320000</v>
      </c>
      <c r="N754" s="9">
        <f>Table1[[#This Row],[Cost Price]]*Table1[[#This Row],[Quantity]]</f>
        <v>1056000</v>
      </c>
      <c r="O754" s="9">
        <f>Table1[[#This Row],[Revenue]]-Table1[[#This Row],[COGS]]</f>
        <v>264000</v>
      </c>
      <c r="P754" s="6">
        <v>753</v>
      </c>
    </row>
    <row r="755" spans="1:16">
      <c r="A755" s="7" t="s">
        <v>99</v>
      </c>
      <c r="B755" s="7" t="str">
        <f>TEXT(Table1[[#This Row],[Date]],"MMM")</f>
        <v>Apr</v>
      </c>
      <c r="C755" t="s">
        <v>27</v>
      </c>
      <c r="D755" t="s">
        <v>28</v>
      </c>
      <c r="E755" t="s">
        <v>41</v>
      </c>
      <c r="F755" t="s">
        <v>30</v>
      </c>
      <c r="G755" t="s">
        <v>46</v>
      </c>
      <c r="H755" t="s">
        <v>39</v>
      </c>
      <c r="I755" s="9">
        <v>60000</v>
      </c>
      <c r="J755">
        <v>7</v>
      </c>
      <c r="K755" t="s">
        <v>58</v>
      </c>
      <c r="L755" s="9">
        <f t="shared" si="11"/>
        <v>48000</v>
      </c>
      <c r="M755" s="9">
        <f>Table1[[#This Row],[Unit Price]]*Table1[[#This Row],[Quantity]]</f>
        <v>420000</v>
      </c>
      <c r="N755" s="9">
        <f>Table1[[#This Row],[Cost Price]]*Table1[[#This Row],[Quantity]]</f>
        <v>336000</v>
      </c>
      <c r="O755" s="9">
        <f>Table1[[#This Row],[Revenue]]-Table1[[#This Row],[COGS]]</f>
        <v>84000</v>
      </c>
      <c r="P755" s="6">
        <v>754</v>
      </c>
    </row>
    <row r="756" spans="1:16">
      <c r="A756" s="7" t="s">
        <v>159</v>
      </c>
      <c r="B756" s="7" t="str">
        <f>TEXT(Table1[[#This Row],[Date]],"MMM")</f>
        <v>Feb</v>
      </c>
      <c r="C756" t="s">
        <v>44</v>
      </c>
      <c r="D756" t="s">
        <v>28</v>
      </c>
      <c r="E756" t="s">
        <v>29</v>
      </c>
      <c r="F756" t="s">
        <v>30</v>
      </c>
      <c r="G756" t="s">
        <v>31</v>
      </c>
      <c r="H756" t="s">
        <v>32</v>
      </c>
      <c r="I756" s="9">
        <v>85000</v>
      </c>
      <c r="J756">
        <v>7</v>
      </c>
      <c r="K756" t="s">
        <v>58</v>
      </c>
      <c r="L756" s="9">
        <f t="shared" si="11"/>
        <v>68000</v>
      </c>
      <c r="M756" s="9">
        <f>Table1[[#This Row],[Unit Price]]*Table1[[#This Row],[Quantity]]</f>
        <v>595000</v>
      </c>
      <c r="N756" s="9">
        <f>Table1[[#This Row],[Cost Price]]*Table1[[#This Row],[Quantity]]</f>
        <v>476000</v>
      </c>
      <c r="O756" s="9">
        <f>Table1[[#This Row],[Revenue]]-Table1[[#This Row],[COGS]]</f>
        <v>119000</v>
      </c>
      <c r="P756" s="6">
        <v>755</v>
      </c>
    </row>
    <row r="757" spans="1:16">
      <c r="A757" s="7" t="s">
        <v>83</v>
      </c>
      <c r="B757" s="7" t="str">
        <f>TEXT(Table1[[#This Row],[Date]],"MMM")</f>
        <v>Jan</v>
      </c>
      <c r="C757" t="s">
        <v>27</v>
      </c>
      <c r="D757" t="s">
        <v>36</v>
      </c>
      <c r="E757" t="s">
        <v>29</v>
      </c>
      <c r="F757" t="s">
        <v>30</v>
      </c>
      <c r="G757" t="s">
        <v>67</v>
      </c>
      <c r="H757" t="s">
        <v>51</v>
      </c>
      <c r="I757" s="9">
        <v>420000</v>
      </c>
      <c r="J757">
        <v>6</v>
      </c>
      <c r="K757" t="s">
        <v>33</v>
      </c>
      <c r="L757" s="9">
        <f t="shared" si="11"/>
        <v>336000</v>
      </c>
      <c r="M757" s="9">
        <f>Table1[[#This Row],[Unit Price]]*Table1[[#This Row],[Quantity]]</f>
        <v>2520000</v>
      </c>
      <c r="N757" s="9">
        <f>Table1[[#This Row],[Cost Price]]*Table1[[#This Row],[Quantity]]</f>
        <v>2016000</v>
      </c>
      <c r="O757" s="9">
        <f>Table1[[#This Row],[Revenue]]-Table1[[#This Row],[COGS]]</f>
        <v>504000</v>
      </c>
      <c r="P757" s="6">
        <v>756</v>
      </c>
    </row>
    <row r="758" spans="1:16">
      <c r="A758" s="7" t="s">
        <v>78</v>
      </c>
      <c r="B758" s="7" t="str">
        <f>TEXT(Table1[[#This Row],[Date]],"MMM")</f>
        <v>Apr</v>
      </c>
      <c r="C758" t="s">
        <v>27</v>
      </c>
      <c r="D758" t="s">
        <v>28</v>
      </c>
      <c r="E758" t="s">
        <v>29</v>
      </c>
      <c r="F758" t="s">
        <v>37</v>
      </c>
      <c r="G758" t="s">
        <v>50</v>
      </c>
      <c r="H758" t="s">
        <v>51</v>
      </c>
      <c r="I758" s="9">
        <v>300000</v>
      </c>
      <c r="J758">
        <v>3</v>
      </c>
      <c r="K758" t="s">
        <v>47</v>
      </c>
      <c r="L758" s="9">
        <f t="shared" si="11"/>
        <v>240000</v>
      </c>
      <c r="M758" s="9">
        <f>Table1[[#This Row],[Unit Price]]*Table1[[#This Row],[Quantity]]</f>
        <v>900000</v>
      </c>
      <c r="N758" s="9">
        <f>Table1[[#This Row],[Cost Price]]*Table1[[#This Row],[Quantity]]</f>
        <v>720000</v>
      </c>
      <c r="O758" s="9">
        <f>Table1[[#This Row],[Revenue]]-Table1[[#This Row],[COGS]]</f>
        <v>180000</v>
      </c>
      <c r="P758" s="6">
        <v>757</v>
      </c>
    </row>
    <row r="759" spans="1:16">
      <c r="A759" s="7" t="s">
        <v>176</v>
      </c>
      <c r="B759" s="7" t="str">
        <f>TEXT(Table1[[#This Row],[Date]],"MMM")</f>
        <v>Jan</v>
      </c>
      <c r="C759" t="s">
        <v>49</v>
      </c>
      <c r="D759" t="s">
        <v>53</v>
      </c>
      <c r="E759" t="s">
        <v>29</v>
      </c>
      <c r="F759" t="s">
        <v>30</v>
      </c>
      <c r="G759" t="s">
        <v>73</v>
      </c>
      <c r="H759" t="s">
        <v>39</v>
      </c>
      <c r="I759" s="9">
        <v>220000</v>
      </c>
      <c r="J759">
        <v>10</v>
      </c>
      <c r="K759" t="s">
        <v>33</v>
      </c>
      <c r="L759" s="9">
        <f t="shared" si="11"/>
        <v>176000</v>
      </c>
      <c r="M759" s="9">
        <f>Table1[[#This Row],[Unit Price]]*Table1[[#This Row],[Quantity]]</f>
        <v>2200000</v>
      </c>
      <c r="N759" s="9">
        <f>Table1[[#This Row],[Cost Price]]*Table1[[#This Row],[Quantity]]</f>
        <v>1760000</v>
      </c>
      <c r="O759" s="9">
        <f>Table1[[#This Row],[Revenue]]-Table1[[#This Row],[COGS]]</f>
        <v>440000</v>
      </c>
      <c r="P759" s="6">
        <v>758</v>
      </c>
    </row>
    <row r="760" spans="1:16">
      <c r="A760" s="7" t="s">
        <v>40</v>
      </c>
      <c r="B760" s="7" t="str">
        <f>TEXT(Table1[[#This Row],[Date]],"MMM")</f>
        <v>Feb</v>
      </c>
      <c r="C760" t="s">
        <v>49</v>
      </c>
      <c r="D760" t="s">
        <v>28</v>
      </c>
      <c r="E760" t="s">
        <v>41</v>
      </c>
      <c r="F760" t="s">
        <v>37</v>
      </c>
      <c r="G760" t="s">
        <v>31</v>
      </c>
      <c r="H760" t="s">
        <v>32</v>
      </c>
      <c r="I760" s="9">
        <v>85000</v>
      </c>
      <c r="J760">
        <v>4</v>
      </c>
      <c r="K760" t="s">
        <v>58</v>
      </c>
      <c r="L760" s="9">
        <f t="shared" si="11"/>
        <v>68000</v>
      </c>
      <c r="M760" s="9">
        <f>Table1[[#This Row],[Unit Price]]*Table1[[#This Row],[Quantity]]</f>
        <v>340000</v>
      </c>
      <c r="N760" s="9">
        <f>Table1[[#This Row],[Cost Price]]*Table1[[#This Row],[Quantity]]</f>
        <v>272000</v>
      </c>
      <c r="O760" s="9">
        <f>Table1[[#This Row],[Revenue]]-Table1[[#This Row],[COGS]]</f>
        <v>68000</v>
      </c>
      <c r="P760" s="6">
        <v>759</v>
      </c>
    </row>
    <row r="761" spans="1:16">
      <c r="A761" s="7" t="s">
        <v>171</v>
      </c>
      <c r="B761" s="7" t="str">
        <f>TEXT(Table1[[#This Row],[Date]],"MMM")</f>
        <v>Mar</v>
      </c>
      <c r="C761" t="s">
        <v>49</v>
      </c>
      <c r="D761" t="s">
        <v>36</v>
      </c>
      <c r="E761" t="s">
        <v>29</v>
      </c>
      <c r="F761" t="s">
        <v>37</v>
      </c>
      <c r="G761" t="s">
        <v>56</v>
      </c>
      <c r="H761" t="s">
        <v>32</v>
      </c>
      <c r="I761" s="9">
        <v>320000</v>
      </c>
      <c r="J761">
        <v>4</v>
      </c>
      <c r="K761" t="s">
        <v>69</v>
      </c>
      <c r="L761" s="9">
        <f t="shared" si="11"/>
        <v>256000</v>
      </c>
      <c r="M761" s="9">
        <f>Table1[[#This Row],[Unit Price]]*Table1[[#This Row],[Quantity]]</f>
        <v>1280000</v>
      </c>
      <c r="N761" s="9">
        <f>Table1[[#This Row],[Cost Price]]*Table1[[#This Row],[Quantity]]</f>
        <v>1024000</v>
      </c>
      <c r="O761" s="9">
        <f>Table1[[#This Row],[Revenue]]-Table1[[#This Row],[COGS]]</f>
        <v>256000</v>
      </c>
      <c r="P761" s="6">
        <v>760</v>
      </c>
    </row>
    <row r="762" spans="1:16">
      <c r="A762" s="7" t="s">
        <v>139</v>
      </c>
      <c r="B762" s="7" t="str">
        <f>TEXT(Table1[[#This Row],[Date]],"MMM")</f>
        <v>Jan</v>
      </c>
      <c r="C762" t="s">
        <v>44</v>
      </c>
      <c r="D762" t="s">
        <v>53</v>
      </c>
      <c r="E762" t="s">
        <v>29</v>
      </c>
      <c r="F762" t="s">
        <v>37</v>
      </c>
      <c r="G762" t="s">
        <v>62</v>
      </c>
      <c r="H762" t="s">
        <v>51</v>
      </c>
      <c r="I762" s="9">
        <v>150000</v>
      </c>
      <c r="J762">
        <v>6</v>
      </c>
      <c r="K762" t="s">
        <v>69</v>
      </c>
      <c r="L762" s="9">
        <f t="shared" si="11"/>
        <v>120000</v>
      </c>
      <c r="M762" s="9">
        <f>Table1[[#This Row],[Unit Price]]*Table1[[#This Row],[Quantity]]</f>
        <v>900000</v>
      </c>
      <c r="N762" s="9">
        <f>Table1[[#This Row],[Cost Price]]*Table1[[#This Row],[Quantity]]</f>
        <v>720000</v>
      </c>
      <c r="O762" s="9">
        <f>Table1[[#This Row],[Revenue]]-Table1[[#This Row],[COGS]]</f>
        <v>180000</v>
      </c>
      <c r="P762" s="6">
        <v>761</v>
      </c>
    </row>
    <row r="763" spans="1:16">
      <c r="A763" s="7" t="s">
        <v>139</v>
      </c>
      <c r="B763" s="7" t="str">
        <f>TEXT(Table1[[#This Row],[Date]],"MMM")</f>
        <v>Jan</v>
      </c>
      <c r="C763" t="s">
        <v>27</v>
      </c>
      <c r="D763" t="s">
        <v>36</v>
      </c>
      <c r="E763" t="s">
        <v>29</v>
      </c>
      <c r="F763" t="s">
        <v>37</v>
      </c>
      <c r="G763" t="s">
        <v>56</v>
      </c>
      <c r="H763" t="s">
        <v>32</v>
      </c>
      <c r="I763" s="9">
        <v>320000</v>
      </c>
      <c r="J763">
        <v>2</v>
      </c>
      <c r="K763" t="s">
        <v>69</v>
      </c>
      <c r="L763" s="9">
        <f t="shared" si="11"/>
        <v>256000</v>
      </c>
      <c r="M763" s="9">
        <f>Table1[[#This Row],[Unit Price]]*Table1[[#This Row],[Quantity]]</f>
        <v>640000</v>
      </c>
      <c r="N763" s="9">
        <f>Table1[[#This Row],[Cost Price]]*Table1[[#This Row],[Quantity]]</f>
        <v>512000</v>
      </c>
      <c r="O763" s="9">
        <f>Table1[[#This Row],[Revenue]]-Table1[[#This Row],[COGS]]</f>
        <v>128000</v>
      </c>
      <c r="P763" s="6">
        <v>762</v>
      </c>
    </row>
    <row r="764" spans="1:16">
      <c r="A764" s="7" t="s">
        <v>148</v>
      </c>
      <c r="B764" s="7" t="str">
        <f>TEXT(Table1[[#This Row],[Date]],"MMM")</f>
        <v>Feb</v>
      </c>
      <c r="C764" t="s">
        <v>49</v>
      </c>
      <c r="D764" t="s">
        <v>45</v>
      </c>
      <c r="E764" t="s">
        <v>29</v>
      </c>
      <c r="F764" t="s">
        <v>30</v>
      </c>
      <c r="G764" t="s">
        <v>56</v>
      </c>
      <c r="H764" t="s">
        <v>32</v>
      </c>
      <c r="I764" s="9">
        <v>320000</v>
      </c>
      <c r="J764">
        <v>10</v>
      </c>
      <c r="K764" t="s">
        <v>69</v>
      </c>
      <c r="L764" s="9">
        <f t="shared" si="11"/>
        <v>256000</v>
      </c>
      <c r="M764" s="9">
        <f>Table1[[#This Row],[Unit Price]]*Table1[[#This Row],[Quantity]]</f>
        <v>3200000</v>
      </c>
      <c r="N764" s="9">
        <f>Table1[[#This Row],[Cost Price]]*Table1[[#This Row],[Quantity]]</f>
        <v>2560000</v>
      </c>
      <c r="O764" s="9">
        <f>Table1[[#This Row],[Revenue]]-Table1[[#This Row],[COGS]]</f>
        <v>640000</v>
      </c>
      <c r="P764" s="6">
        <v>763</v>
      </c>
    </row>
    <row r="765" spans="1:16">
      <c r="A765" s="7" t="s">
        <v>156</v>
      </c>
      <c r="B765" s="7" t="str">
        <f>TEXT(Table1[[#This Row],[Date]],"MMM")</f>
        <v>Feb</v>
      </c>
      <c r="C765" t="s">
        <v>44</v>
      </c>
      <c r="D765" t="s">
        <v>36</v>
      </c>
      <c r="E765" t="s">
        <v>41</v>
      </c>
      <c r="F765" t="s">
        <v>30</v>
      </c>
      <c r="G765" t="s">
        <v>67</v>
      </c>
      <c r="H765" t="s">
        <v>51</v>
      </c>
      <c r="I765" s="9">
        <v>420000</v>
      </c>
      <c r="J765">
        <v>8</v>
      </c>
      <c r="K765" t="s">
        <v>33</v>
      </c>
      <c r="L765" s="9">
        <f t="shared" si="11"/>
        <v>336000</v>
      </c>
      <c r="M765" s="9">
        <f>Table1[[#This Row],[Unit Price]]*Table1[[#This Row],[Quantity]]</f>
        <v>3360000</v>
      </c>
      <c r="N765" s="9">
        <f>Table1[[#This Row],[Cost Price]]*Table1[[#This Row],[Quantity]]</f>
        <v>2688000</v>
      </c>
      <c r="O765" s="9">
        <f>Table1[[#This Row],[Revenue]]-Table1[[#This Row],[COGS]]</f>
        <v>672000</v>
      </c>
      <c r="P765" s="6">
        <v>764</v>
      </c>
    </row>
    <row r="766" spans="1:16">
      <c r="A766" s="7" t="s">
        <v>82</v>
      </c>
      <c r="B766" s="7" t="str">
        <f>TEXT(Table1[[#This Row],[Date]],"MMM")</f>
        <v>Mar</v>
      </c>
      <c r="C766" t="s">
        <v>49</v>
      </c>
      <c r="D766" t="s">
        <v>28</v>
      </c>
      <c r="E766" t="s">
        <v>41</v>
      </c>
      <c r="F766" t="s">
        <v>30</v>
      </c>
      <c r="G766" t="s">
        <v>62</v>
      </c>
      <c r="H766" t="s">
        <v>51</v>
      </c>
      <c r="I766" s="9">
        <v>150000</v>
      </c>
      <c r="J766">
        <v>5</v>
      </c>
      <c r="K766" t="s">
        <v>65</v>
      </c>
      <c r="L766" s="9">
        <f t="shared" si="11"/>
        <v>120000</v>
      </c>
      <c r="M766" s="9">
        <f>Table1[[#This Row],[Unit Price]]*Table1[[#This Row],[Quantity]]</f>
        <v>750000</v>
      </c>
      <c r="N766" s="9">
        <f>Table1[[#This Row],[Cost Price]]*Table1[[#This Row],[Quantity]]</f>
        <v>600000</v>
      </c>
      <c r="O766" s="9">
        <f>Table1[[#This Row],[Revenue]]-Table1[[#This Row],[COGS]]</f>
        <v>150000</v>
      </c>
      <c r="P766" s="6">
        <v>765</v>
      </c>
    </row>
    <row r="767" spans="1:16">
      <c r="A767" s="7" t="s">
        <v>114</v>
      </c>
      <c r="B767" s="7" t="str">
        <f>TEXT(Table1[[#This Row],[Date]],"MMM")</f>
        <v>Apr</v>
      </c>
      <c r="C767" t="s">
        <v>27</v>
      </c>
      <c r="D767" t="s">
        <v>45</v>
      </c>
      <c r="E767" t="s">
        <v>41</v>
      </c>
      <c r="F767" t="s">
        <v>37</v>
      </c>
      <c r="G767" t="s">
        <v>31</v>
      </c>
      <c r="H767" t="s">
        <v>32</v>
      </c>
      <c r="I767" s="9">
        <v>85000</v>
      </c>
      <c r="J767">
        <v>1</v>
      </c>
      <c r="K767" t="s">
        <v>65</v>
      </c>
      <c r="L767" s="9">
        <f t="shared" si="11"/>
        <v>68000</v>
      </c>
      <c r="M767" s="9">
        <f>Table1[[#This Row],[Unit Price]]*Table1[[#This Row],[Quantity]]</f>
        <v>85000</v>
      </c>
      <c r="N767" s="9">
        <f>Table1[[#This Row],[Cost Price]]*Table1[[#This Row],[Quantity]]</f>
        <v>68000</v>
      </c>
      <c r="O767" s="9">
        <f>Table1[[#This Row],[Revenue]]-Table1[[#This Row],[COGS]]</f>
        <v>17000</v>
      </c>
      <c r="P767" s="6">
        <v>766</v>
      </c>
    </row>
    <row r="768" spans="1:16">
      <c r="A768" s="7" t="s">
        <v>113</v>
      </c>
      <c r="B768" s="7" t="str">
        <f>TEXT(Table1[[#This Row],[Date]],"MMM")</f>
        <v>Apr</v>
      </c>
      <c r="C768" t="s">
        <v>35</v>
      </c>
      <c r="D768" t="s">
        <v>53</v>
      </c>
      <c r="E768" t="s">
        <v>41</v>
      </c>
      <c r="F768" t="s">
        <v>37</v>
      </c>
      <c r="G768" t="s">
        <v>67</v>
      </c>
      <c r="H768" t="s">
        <v>51</v>
      </c>
      <c r="I768" s="9">
        <v>420000</v>
      </c>
      <c r="J768">
        <v>2</v>
      </c>
      <c r="K768" t="s">
        <v>69</v>
      </c>
      <c r="L768" s="9">
        <f t="shared" si="11"/>
        <v>336000</v>
      </c>
      <c r="M768" s="9">
        <f>Table1[[#This Row],[Unit Price]]*Table1[[#This Row],[Quantity]]</f>
        <v>840000</v>
      </c>
      <c r="N768" s="9">
        <f>Table1[[#This Row],[Cost Price]]*Table1[[#This Row],[Quantity]]</f>
        <v>672000</v>
      </c>
      <c r="O768" s="9">
        <f>Table1[[#This Row],[Revenue]]-Table1[[#This Row],[COGS]]</f>
        <v>168000</v>
      </c>
      <c r="P768" s="6">
        <v>767</v>
      </c>
    </row>
    <row r="769" spans="1:16">
      <c r="A769" s="7" t="s">
        <v>115</v>
      </c>
      <c r="B769" s="7" t="str">
        <f>TEXT(Table1[[#This Row],[Date]],"MMM")</f>
        <v>Jan</v>
      </c>
      <c r="C769" t="s">
        <v>35</v>
      </c>
      <c r="D769" t="s">
        <v>53</v>
      </c>
      <c r="E769" t="s">
        <v>29</v>
      </c>
      <c r="F769" t="s">
        <v>37</v>
      </c>
      <c r="G769" t="s">
        <v>54</v>
      </c>
      <c r="H769" t="s">
        <v>39</v>
      </c>
      <c r="I769" s="9">
        <v>180000</v>
      </c>
      <c r="J769">
        <v>6</v>
      </c>
      <c r="K769" t="s">
        <v>69</v>
      </c>
      <c r="L769" s="9">
        <f t="shared" si="11"/>
        <v>144000</v>
      </c>
      <c r="M769" s="9">
        <f>Table1[[#This Row],[Unit Price]]*Table1[[#This Row],[Quantity]]</f>
        <v>1080000</v>
      </c>
      <c r="N769" s="9">
        <f>Table1[[#This Row],[Cost Price]]*Table1[[#This Row],[Quantity]]</f>
        <v>864000</v>
      </c>
      <c r="O769" s="9">
        <f>Table1[[#This Row],[Revenue]]-Table1[[#This Row],[COGS]]</f>
        <v>216000</v>
      </c>
      <c r="P769" s="6">
        <v>768</v>
      </c>
    </row>
    <row r="770" spans="1:16">
      <c r="A770" s="7" t="s">
        <v>154</v>
      </c>
      <c r="B770" s="7" t="str">
        <f>TEXT(Table1[[#This Row],[Date]],"MMM")</f>
        <v>Feb</v>
      </c>
      <c r="C770" t="s">
        <v>35</v>
      </c>
      <c r="D770" t="s">
        <v>28</v>
      </c>
      <c r="E770" t="s">
        <v>29</v>
      </c>
      <c r="F770" t="s">
        <v>37</v>
      </c>
      <c r="G770" t="s">
        <v>73</v>
      </c>
      <c r="H770" t="s">
        <v>39</v>
      </c>
      <c r="I770" s="9">
        <v>220000</v>
      </c>
      <c r="J770">
        <v>7</v>
      </c>
      <c r="K770" t="s">
        <v>33</v>
      </c>
      <c r="L770" s="9">
        <f t="shared" ref="L770:L833" si="12">I770-I770*0.2</f>
        <v>176000</v>
      </c>
      <c r="M770" s="9">
        <f>Table1[[#This Row],[Unit Price]]*Table1[[#This Row],[Quantity]]</f>
        <v>1540000</v>
      </c>
      <c r="N770" s="9">
        <f>Table1[[#This Row],[Cost Price]]*Table1[[#This Row],[Quantity]]</f>
        <v>1232000</v>
      </c>
      <c r="O770" s="9">
        <f>Table1[[#This Row],[Revenue]]-Table1[[#This Row],[COGS]]</f>
        <v>308000</v>
      </c>
      <c r="P770" s="6">
        <v>769</v>
      </c>
    </row>
    <row r="771" spans="1:16">
      <c r="A771" s="7" t="s">
        <v>48</v>
      </c>
      <c r="B771" s="7" t="str">
        <f>TEXT(Table1[[#This Row],[Date]],"MMM")</f>
        <v>Apr</v>
      </c>
      <c r="C771" t="s">
        <v>35</v>
      </c>
      <c r="D771" t="s">
        <v>28</v>
      </c>
      <c r="E771" t="s">
        <v>29</v>
      </c>
      <c r="F771" t="s">
        <v>30</v>
      </c>
      <c r="G771" t="s">
        <v>73</v>
      </c>
      <c r="H771" t="s">
        <v>39</v>
      </c>
      <c r="I771" s="9">
        <v>220000</v>
      </c>
      <c r="J771">
        <v>5</v>
      </c>
      <c r="K771" t="s">
        <v>42</v>
      </c>
      <c r="L771" s="9">
        <f t="shared" si="12"/>
        <v>176000</v>
      </c>
      <c r="M771" s="9">
        <f>Table1[[#This Row],[Unit Price]]*Table1[[#This Row],[Quantity]]</f>
        <v>1100000</v>
      </c>
      <c r="N771" s="9">
        <f>Table1[[#This Row],[Cost Price]]*Table1[[#This Row],[Quantity]]</f>
        <v>880000</v>
      </c>
      <c r="O771" s="9">
        <f>Table1[[#This Row],[Revenue]]-Table1[[#This Row],[COGS]]</f>
        <v>220000</v>
      </c>
      <c r="P771" s="6">
        <v>770</v>
      </c>
    </row>
    <row r="772" spans="1:16">
      <c r="A772" s="7" t="s">
        <v>68</v>
      </c>
      <c r="B772" s="7" t="str">
        <f>TEXT(Table1[[#This Row],[Date]],"MMM")</f>
        <v>Mar</v>
      </c>
      <c r="C772" t="s">
        <v>49</v>
      </c>
      <c r="D772" t="s">
        <v>28</v>
      </c>
      <c r="E772" t="s">
        <v>29</v>
      </c>
      <c r="F772" t="s">
        <v>37</v>
      </c>
      <c r="G772" t="s">
        <v>50</v>
      </c>
      <c r="H772" t="s">
        <v>51</v>
      </c>
      <c r="I772" s="9">
        <v>300000</v>
      </c>
      <c r="J772">
        <v>6</v>
      </c>
      <c r="K772" t="s">
        <v>47</v>
      </c>
      <c r="L772" s="9">
        <f t="shared" si="12"/>
        <v>240000</v>
      </c>
      <c r="M772" s="9">
        <f>Table1[[#This Row],[Unit Price]]*Table1[[#This Row],[Quantity]]</f>
        <v>1800000</v>
      </c>
      <c r="N772" s="9">
        <f>Table1[[#This Row],[Cost Price]]*Table1[[#This Row],[Quantity]]</f>
        <v>1440000</v>
      </c>
      <c r="O772" s="9">
        <f>Table1[[#This Row],[Revenue]]-Table1[[#This Row],[COGS]]</f>
        <v>360000</v>
      </c>
      <c r="P772" s="6">
        <v>771</v>
      </c>
    </row>
    <row r="773" spans="1:16">
      <c r="A773" s="7" t="s">
        <v>155</v>
      </c>
      <c r="B773" s="7" t="str">
        <f>TEXT(Table1[[#This Row],[Date]],"MMM")</f>
        <v>Apr</v>
      </c>
      <c r="C773" t="s">
        <v>27</v>
      </c>
      <c r="D773" t="s">
        <v>45</v>
      </c>
      <c r="E773" t="s">
        <v>29</v>
      </c>
      <c r="F773" t="s">
        <v>37</v>
      </c>
      <c r="G773" t="s">
        <v>71</v>
      </c>
      <c r="H773" t="s">
        <v>51</v>
      </c>
      <c r="I773" s="9">
        <v>250000</v>
      </c>
      <c r="J773">
        <v>4</v>
      </c>
      <c r="K773" t="s">
        <v>47</v>
      </c>
      <c r="L773" s="9">
        <f t="shared" si="12"/>
        <v>200000</v>
      </c>
      <c r="M773" s="9">
        <f>Table1[[#This Row],[Unit Price]]*Table1[[#This Row],[Quantity]]</f>
        <v>1000000</v>
      </c>
      <c r="N773" s="9">
        <f>Table1[[#This Row],[Cost Price]]*Table1[[#This Row],[Quantity]]</f>
        <v>800000</v>
      </c>
      <c r="O773" s="9">
        <f>Table1[[#This Row],[Revenue]]-Table1[[#This Row],[COGS]]</f>
        <v>200000</v>
      </c>
      <c r="P773" s="6">
        <v>772</v>
      </c>
    </row>
    <row r="774" spans="1:16">
      <c r="A774" s="7" t="s">
        <v>99</v>
      </c>
      <c r="B774" s="7" t="str">
        <f>TEXT(Table1[[#This Row],[Date]],"MMM")</f>
        <v>Apr</v>
      </c>
      <c r="C774" t="s">
        <v>49</v>
      </c>
      <c r="D774" t="s">
        <v>36</v>
      </c>
      <c r="E774" t="s">
        <v>41</v>
      </c>
      <c r="F774" t="s">
        <v>30</v>
      </c>
      <c r="G774" t="s">
        <v>56</v>
      </c>
      <c r="H774" t="s">
        <v>32</v>
      </c>
      <c r="I774" s="9">
        <v>320000</v>
      </c>
      <c r="J774">
        <v>5</v>
      </c>
      <c r="K774" t="s">
        <v>42</v>
      </c>
      <c r="L774" s="9">
        <f t="shared" si="12"/>
        <v>256000</v>
      </c>
      <c r="M774" s="9">
        <f>Table1[[#This Row],[Unit Price]]*Table1[[#This Row],[Quantity]]</f>
        <v>1600000</v>
      </c>
      <c r="N774" s="9">
        <f>Table1[[#This Row],[Cost Price]]*Table1[[#This Row],[Quantity]]</f>
        <v>1280000</v>
      </c>
      <c r="O774" s="9">
        <f>Table1[[#This Row],[Revenue]]-Table1[[#This Row],[COGS]]</f>
        <v>320000</v>
      </c>
      <c r="P774" s="6">
        <v>773</v>
      </c>
    </row>
    <row r="775" spans="1:16">
      <c r="A775" s="7" t="s">
        <v>164</v>
      </c>
      <c r="B775" s="7" t="str">
        <f>TEXT(Table1[[#This Row],[Date]],"MMM")</f>
        <v>Mar</v>
      </c>
      <c r="C775" t="s">
        <v>49</v>
      </c>
      <c r="D775" t="s">
        <v>28</v>
      </c>
      <c r="E775" t="s">
        <v>29</v>
      </c>
      <c r="F775" t="s">
        <v>37</v>
      </c>
      <c r="G775" t="s">
        <v>50</v>
      </c>
      <c r="H775" t="s">
        <v>51</v>
      </c>
      <c r="I775" s="9">
        <v>300000</v>
      </c>
      <c r="J775">
        <v>10</v>
      </c>
      <c r="K775" t="s">
        <v>69</v>
      </c>
      <c r="L775" s="9">
        <f t="shared" si="12"/>
        <v>240000</v>
      </c>
      <c r="M775" s="9">
        <f>Table1[[#This Row],[Unit Price]]*Table1[[#This Row],[Quantity]]</f>
        <v>3000000</v>
      </c>
      <c r="N775" s="9">
        <f>Table1[[#This Row],[Cost Price]]*Table1[[#This Row],[Quantity]]</f>
        <v>2400000</v>
      </c>
      <c r="O775" s="9">
        <f>Table1[[#This Row],[Revenue]]-Table1[[#This Row],[COGS]]</f>
        <v>600000</v>
      </c>
      <c r="P775" s="6">
        <v>774</v>
      </c>
    </row>
    <row r="776" spans="1:16">
      <c r="A776" s="7" t="s">
        <v>87</v>
      </c>
      <c r="B776" s="7" t="str">
        <f>TEXT(Table1[[#This Row],[Date]],"MMM")</f>
        <v>Mar</v>
      </c>
      <c r="C776" t="s">
        <v>49</v>
      </c>
      <c r="D776" t="s">
        <v>28</v>
      </c>
      <c r="E776" t="s">
        <v>29</v>
      </c>
      <c r="F776" t="s">
        <v>37</v>
      </c>
      <c r="G776" t="s">
        <v>46</v>
      </c>
      <c r="H776" t="s">
        <v>39</v>
      </c>
      <c r="I776" s="9">
        <v>60000</v>
      </c>
      <c r="J776">
        <v>5</v>
      </c>
      <c r="K776" t="s">
        <v>65</v>
      </c>
      <c r="L776" s="9">
        <f t="shared" si="12"/>
        <v>48000</v>
      </c>
      <c r="M776" s="9">
        <f>Table1[[#This Row],[Unit Price]]*Table1[[#This Row],[Quantity]]</f>
        <v>300000</v>
      </c>
      <c r="N776" s="9">
        <f>Table1[[#This Row],[Cost Price]]*Table1[[#This Row],[Quantity]]</f>
        <v>240000</v>
      </c>
      <c r="O776" s="9">
        <f>Table1[[#This Row],[Revenue]]-Table1[[#This Row],[COGS]]</f>
        <v>60000</v>
      </c>
      <c r="P776" s="6">
        <v>775</v>
      </c>
    </row>
    <row r="777" spans="1:16">
      <c r="A777" s="7" t="s">
        <v>137</v>
      </c>
      <c r="B777" s="7" t="str">
        <f>TEXT(Table1[[#This Row],[Date]],"MMM")</f>
        <v>Apr</v>
      </c>
      <c r="C777" t="s">
        <v>49</v>
      </c>
      <c r="D777" t="s">
        <v>45</v>
      </c>
      <c r="E777" t="s">
        <v>29</v>
      </c>
      <c r="F777" t="s">
        <v>30</v>
      </c>
      <c r="G777" t="s">
        <v>67</v>
      </c>
      <c r="H777" t="s">
        <v>51</v>
      </c>
      <c r="I777" s="9">
        <v>420000</v>
      </c>
      <c r="J777">
        <v>8</v>
      </c>
      <c r="K777" t="s">
        <v>58</v>
      </c>
      <c r="L777" s="9">
        <f t="shared" si="12"/>
        <v>336000</v>
      </c>
      <c r="M777" s="9">
        <f>Table1[[#This Row],[Unit Price]]*Table1[[#This Row],[Quantity]]</f>
        <v>3360000</v>
      </c>
      <c r="N777" s="9">
        <f>Table1[[#This Row],[Cost Price]]*Table1[[#This Row],[Quantity]]</f>
        <v>2688000</v>
      </c>
      <c r="O777" s="9">
        <f>Table1[[#This Row],[Revenue]]-Table1[[#This Row],[COGS]]</f>
        <v>672000</v>
      </c>
      <c r="P777" s="6">
        <v>776</v>
      </c>
    </row>
    <row r="778" spans="1:16">
      <c r="A778" s="7" t="s">
        <v>115</v>
      </c>
      <c r="B778" s="7" t="str">
        <f>TEXT(Table1[[#This Row],[Date]],"MMM")</f>
        <v>Jan</v>
      </c>
      <c r="C778" t="s">
        <v>27</v>
      </c>
      <c r="D778" t="s">
        <v>53</v>
      </c>
      <c r="E778" t="s">
        <v>41</v>
      </c>
      <c r="F778" t="s">
        <v>30</v>
      </c>
      <c r="G778" t="s">
        <v>50</v>
      </c>
      <c r="H778" t="s">
        <v>51</v>
      </c>
      <c r="I778" s="9">
        <v>300000</v>
      </c>
      <c r="J778">
        <v>1</v>
      </c>
      <c r="K778" t="s">
        <v>42</v>
      </c>
      <c r="L778" s="9">
        <f t="shared" si="12"/>
        <v>240000</v>
      </c>
      <c r="M778" s="9">
        <f>Table1[[#This Row],[Unit Price]]*Table1[[#This Row],[Quantity]]</f>
        <v>300000</v>
      </c>
      <c r="N778" s="9">
        <f>Table1[[#This Row],[Cost Price]]*Table1[[#This Row],[Quantity]]</f>
        <v>240000</v>
      </c>
      <c r="O778" s="9">
        <f>Table1[[#This Row],[Revenue]]-Table1[[#This Row],[COGS]]</f>
        <v>60000</v>
      </c>
      <c r="P778" s="6">
        <v>777</v>
      </c>
    </row>
    <row r="779" spans="1:16">
      <c r="A779" s="7" t="s">
        <v>87</v>
      </c>
      <c r="B779" s="7" t="str">
        <f>TEXT(Table1[[#This Row],[Date]],"MMM")</f>
        <v>Mar</v>
      </c>
      <c r="C779" t="s">
        <v>27</v>
      </c>
      <c r="D779" t="s">
        <v>45</v>
      </c>
      <c r="E779" t="s">
        <v>41</v>
      </c>
      <c r="F779" t="s">
        <v>37</v>
      </c>
      <c r="G779" t="s">
        <v>67</v>
      </c>
      <c r="H779" t="s">
        <v>51</v>
      </c>
      <c r="I779" s="9">
        <v>420000</v>
      </c>
      <c r="J779">
        <v>2</v>
      </c>
      <c r="K779" t="s">
        <v>65</v>
      </c>
      <c r="L779" s="9">
        <f t="shared" si="12"/>
        <v>336000</v>
      </c>
      <c r="M779" s="9">
        <f>Table1[[#This Row],[Unit Price]]*Table1[[#This Row],[Quantity]]</f>
        <v>840000</v>
      </c>
      <c r="N779" s="9">
        <f>Table1[[#This Row],[Cost Price]]*Table1[[#This Row],[Quantity]]</f>
        <v>672000</v>
      </c>
      <c r="O779" s="9">
        <f>Table1[[#This Row],[Revenue]]-Table1[[#This Row],[COGS]]</f>
        <v>168000</v>
      </c>
      <c r="P779" s="6">
        <v>778</v>
      </c>
    </row>
    <row r="780" spans="1:16">
      <c r="A780" s="7" t="s">
        <v>176</v>
      </c>
      <c r="B780" s="7" t="str">
        <f>TEXT(Table1[[#This Row],[Date]],"MMM")</f>
        <v>Jan</v>
      </c>
      <c r="C780" t="s">
        <v>44</v>
      </c>
      <c r="D780" t="s">
        <v>36</v>
      </c>
      <c r="E780" t="s">
        <v>41</v>
      </c>
      <c r="F780" t="s">
        <v>30</v>
      </c>
      <c r="G780" t="s">
        <v>67</v>
      </c>
      <c r="H780" t="s">
        <v>51</v>
      </c>
      <c r="I780" s="9">
        <v>420000</v>
      </c>
      <c r="J780">
        <v>7</v>
      </c>
      <c r="K780" t="s">
        <v>58</v>
      </c>
      <c r="L780" s="9">
        <f t="shared" si="12"/>
        <v>336000</v>
      </c>
      <c r="M780" s="9">
        <f>Table1[[#This Row],[Unit Price]]*Table1[[#This Row],[Quantity]]</f>
        <v>2940000</v>
      </c>
      <c r="N780" s="9">
        <f>Table1[[#This Row],[Cost Price]]*Table1[[#This Row],[Quantity]]</f>
        <v>2352000</v>
      </c>
      <c r="O780" s="9">
        <f>Table1[[#This Row],[Revenue]]-Table1[[#This Row],[COGS]]</f>
        <v>588000</v>
      </c>
      <c r="P780" s="6">
        <v>779</v>
      </c>
    </row>
    <row r="781" spans="1:16">
      <c r="A781" s="7" t="s">
        <v>152</v>
      </c>
      <c r="B781" s="7" t="str">
        <f>TEXT(Table1[[#This Row],[Date]],"MMM")</f>
        <v>Jan</v>
      </c>
      <c r="C781" t="s">
        <v>27</v>
      </c>
      <c r="D781" t="s">
        <v>45</v>
      </c>
      <c r="E781" t="s">
        <v>41</v>
      </c>
      <c r="F781" t="s">
        <v>30</v>
      </c>
      <c r="G781" t="s">
        <v>54</v>
      </c>
      <c r="H781" t="s">
        <v>39</v>
      </c>
      <c r="I781" s="9">
        <v>180000</v>
      </c>
      <c r="J781">
        <v>8</v>
      </c>
      <c r="K781" t="s">
        <v>47</v>
      </c>
      <c r="L781" s="9">
        <f t="shared" si="12"/>
        <v>144000</v>
      </c>
      <c r="M781" s="9">
        <f>Table1[[#This Row],[Unit Price]]*Table1[[#This Row],[Quantity]]</f>
        <v>1440000</v>
      </c>
      <c r="N781" s="9">
        <f>Table1[[#This Row],[Cost Price]]*Table1[[#This Row],[Quantity]]</f>
        <v>1152000</v>
      </c>
      <c r="O781" s="9">
        <f>Table1[[#This Row],[Revenue]]-Table1[[#This Row],[COGS]]</f>
        <v>288000</v>
      </c>
      <c r="P781" s="6">
        <v>780</v>
      </c>
    </row>
    <row r="782" spans="1:16">
      <c r="A782" s="7" t="s">
        <v>134</v>
      </c>
      <c r="B782" s="7" t="str">
        <f>TEXT(Table1[[#This Row],[Date]],"MMM")</f>
        <v>Jan</v>
      </c>
      <c r="C782" t="s">
        <v>27</v>
      </c>
      <c r="D782" t="s">
        <v>45</v>
      </c>
      <c r="E782" t="s">
        <v>29</v>
      </c>
      <c r="F782" t="s">
        <v>30</v>
      </c>
      <c r="G782" t="s">
        <v>46</v>
      </c>
      <c r="H782" t="s">
        <v>39</v>
      </c>
      <c r="I782" s="9">
        <v>60000</v>
      </c>
      <c r="J782">
        <v>7</v>
      </c>
      <c r="K782" t="s">
        <v>47</v>
      </c>
      <c r="L782" s="9">
        <f t="shared" si="12"/>
        <v>48000</v>
      </c>
      <c r="M782" s="9">
        <f>Table1[[#This Row],[Unit Price]]*Table1[[#This Row],[Quantity]]</f>
        <v>420000</v>
      </c>
      <c r="N782" s="9">
        <f>Table1[[#This Row],[Cost Price]]*Table1[[#This Row],[Quantity]]</f>
        <v>336000</v>
      </c>
      <c r="O782" s="9">
        <f>Table1[[#This Row],[Revenue]]-Table1[[#This Row],[COGS]]</f>
        <v>84000</v>
      </c>
      <c r="P782" s="6">
        <v>781</v>
      </c>
    </row>
    <row r="783" spans="1:16">
      <c r="A783" s="7" t="s">
        <v>93</v>
      </c>
      <c r="B783" s="7" t="str">
        <f>TEXT(Table1[[#This Row],[Date]],"MMM")</f>
        <v>Apr</v>
      </c>
      <c r="C783" t="s">
        <v>35</v>
      </c>
      <c r="D783" t="s">
        <v>36</v>
      </c>
      <c r="E783" t="s">
        <v>41</v>
      </c>
      <c r="F783" t="s">
        <v>30</v>
      </c>
      <c r="G783" t="s">
        <v>67</v>
      </c>
      <c r="H783" t="s">
        <v>51</v>
      </c>
      <c r="I783" s="9">
        <v>420000</v>
      </c>
      <c r="J783">
        <v>7</v>
      </c>
      <c r="K783" t="s">
        <v>47</v>
      </c>
      <c r="L783" s="9">
        <f t="shared" si="12"/>
        <v>336000</v>
      </c>
      <c r="M783" s="9">
        <f>Table1[[#This Row],[Unit Price]]*Table1[[#This Row],[Quantity]]</f>
        <v>2940000</v>
      </c>
      <c r="N783" s="9">
        <f>Table1[[#This Row],[Cost Price]]*Table1[[#This Row],[Quantity]]</f>
        <v>2352000</v>
      </c>
      <c r="O783" s="9">
        <f>Table1[[#This Row],[Revenue]]-Table1[[#This Row],[COGS]]</f>
        <v>588000</v>
      </c>
      <c r="P783" s="6">
        <v>782</v>
      </c>
    </row>
    <row r="784" spans="1:16">
      <c r="A784" s="7" t="s">
        <v>90</v>
      </c>
      <c r="B784" s="7" t="str">
        <f>TEXT(Table1[[#This Row],[Date]],"MMM")</f>
        <v>Feb</v>
      </c>
      <c r="C784" t="s">
        <v>35</v>
      </c>
      <c r="D784" t="s">
        <v>28</v>
      </c>
      <c r="E784" t="s">
        <v>29</v>
      </c>
      <c r="F784" t="s">
        <v>30</v>
      </c>
      <c r="G784" t="s">
        <v>54</v>
      </c>
      <c r="H784" t="s">
        <v>39</v>
      </c>
      <c r="I784" s="9">
        <v>180000</v>
      </c>
      <c r="J784">
        <v>5</v>
      </c>
      <c r="K784" t="s">
        <v>69</v>
      </c>
      <c r="L784" s="9">
        <f t="shared" si="12"/>
        <v>144000</v>
      </c>
      <c r="M784" s="9">
        <f>Table1[[#This Row],[Unit Price]]*Table1[[#This Row],[Quantity]]</f>
        <v>900000</v>
      </c>
      <c r="N784" s="9">
        <f>Table1[[#This Row],[Cost Price]]*Table1[[#This Row],[Quantity]]</f>
        <v>720000</v>
      </c>
      <c r="O784" s="9">
        <f>Table1[[#This Row],[Revenue]]-Table1[[#This Row],[COGS]]</f>
        <v>180000</v>
      </c>
      <c r="P784" s="6">
        <v>783</v>
      </c>
    </row>
    <row r="785" spans="1:16">
      <c r="A785" s="7" t="s">
        <v>161</v>
      </c>
      <c r="B785" s="7" t="str">
        <f>TEXT(Table1[[#This Row],[Date]],"MMM")</f>
        <v>Mar</v>
      </c>
      <c r="C785" t="s">
        <v>35</v>
      </c>
      <c r="D785" t="s">
        <v>45</v>
      </c>
      <c r="E785" t="s">
        <v>41</v>
      </c>
      <c r="F785" t="s">
        <v>37</v>
      </c>
      <c r="G785" t="s">
        <v>67</v>
      </c>
      <c r="H785" t="s">
        <v>51</v>
      </c>
      <c r="I785" s="9">
        <v>420000</v>
      </c>
      <c r="J785">
        <v>9</v>
      </c>
      <c r="K785" t="s">
        <v>69</v>
      </c>
      <c r="L785" s="9">
        <f t="shared" si="12"/>
        <v>336000</v>
      </c>
      <c r="M785" s="9">
        <f>Table1[[#This Row],[Unit Price]]*Table1[[#This Row],[Quantity]]</f>
        <v>3780000</v>
      </c>
      <c r="N785" s="9">
        <f>Table1[[#This Row],[Cost Price]]*Table1[[#This Row],[Quantity]]</f>
        <v>3024000</v>
      </c>
      <c r="O785" s="9">
        <f>Table1[[#This Row],[Revenue]]-Table1[[#This Row],[COGS]]</f>
        <v>756000</v>
      </c>
      <c r="P785" s="6">
        <v>784</v>
      </c>
    </row>
    <row r="786" spans="1:16">
      <c r="A786" s="7" t="s">
        <v>74</v>
      </c>
      <c r="B786" s="7" t="str">
        <f>TEXT(Table1[[#This Row],[Date]],"MMM")</f>
        <v>Feb</v>
      </c>
      <c r="C786" t="s">
        <v>35</v>
      </c>
      <c r="D786" t="s">
        <v>45</v>
      </c>
      <c r="E786" t="s">
        <v>41</v>
      </c>
      <c r="F786" t="s">
        <v>37</v>
      </c>
      <c r="G786" t="s">
        <v>50</v>
      </c>
      <c r="H786" t="s">
        <v>51</v>
      </c>
      <c r="I786" s="9">
        <v>300000</v>
      </c>
      <c r="J786">
        <v>7</v>
      </c>
      <c r="K786" t="s">
        <v>58</v>
      </c>
      <c r="L786" s="9">
        <f t="shared" si="12"/>
        <v>240000</v>
      </c>
      <c r="M786" s="9">
        <f>Table1[[#This Row],[Unit Price]]*Table1[[#This Row],[Quantity]]</f>
        <v>2100000</v>
      </c>
      <c r="N786" s="9">
        <f>Table1[[#This Row],[Cost Price]]*Table1[[#This Row],[Quantity]]</f>
        <v>1680000</v>
      </c>
      <c r="O786" s="9">
        <f>Table1[[#This Row],[Revenue]]-Table1[[#This Row],[COGS]]</f>
        <v>420000</v>
      </c>
      <c r="P786" s="6">
        <v>785</v>
      </c>
    </row>
    <row r="787" spans="1:16">
      <c r="A787" s="7" t="s">
        <v>78</v>
      </c>
      <c r="B787" s="7" t="str">
        <f>TEXT(Table1[[#This Row],[Date]],"MMM")</f>
        <v>Apr</v>
      </c>
      <c r="C787" t="s">
        <v>27</v>
      </c>
      <c r="D787" t="s">
        <v>53</v>
      </c>
      <c r="E787" t="s">
        <v>29</v>
      </c>
      <c r="F787" t="s">
        <v>37</v>
      </c>
      <c r="G787" t="s">
        <v>62</v>
      </c>
      <c r="H787" t="s">
        <v>51</v>
      </c>
      <c r="I787" s="9">
        <v>150000</v>
      </c>
      <c r="J787">
        <v>3</v>
      </c>
      <c r="K787" t="s">
        <v>42</v>
      </c>
      <c r="L787" s="9">
        <f t="shared" si="12"/>
        <v>120000</v>
      </c>
      <c r="M787" s="9">
        <f>Table1[[#This Row],[Unit Price]]*Table1[[#This Row],[Quantity]]</f>
        <v>450000</v>
      </c>
      <c r="N787" s="9">
        <f>Table1[[#This Row],[Cost Price]]*Table1[[#This Row],[Quantity]]</f>
        <v>360000</v>
      </c>
      <c r="O787" s="9">
        <f>Table1[[#This Row],[Revenue]]-Table1[[#This Row],[COGS]]</f>
        <v>90000</v>
      </c>
      <c r="P787" s="6">
        <v>786</v>
      </c>
    </row>
    <row r="788" spans="1:16">
      <c r="A788" s="7" t="s">
        <v>127</v>
      </c>
      <c r="B788" s="7" t="str">
        <f>TEXT(Table1[[#This Row],[Date]],"MMM")</f>
        <v>Jan</v>
      </c>
      <c r="C788" t="s">
        <v>27</v>
      </c>
      <c r="D788" t="s">
        <v>36</v>
      </c>
      <c r="E788" t="s">
        <v>29</v>
      </c>
      <c r="F788" t="s">
        <v>37</v>
      </c>
      <c r="G788" t="s">
        <v>50</v>
      </c>
      <c r="H788" t="s">
        <v>51</v>
      </c>
      <c r="I788" s="9">
        <v>300000</v>
      </c>
      <c r="J788">
        <v>10</v>
      </c>
      <c r="K788" t="s">
        <v>69</v>
      </c>
      <c r="L788" s="9">
        <f t="shared" si="12"/>
        <v>240000</v>
      </c>
      <c r="M788" s="9">
        <f>Table1[[#This Row],[Unit Price]]*Table1[[#This Row],[Quantity]]</f>
        <v>3000000</v>
      </c>
      <c r="N788" s="9">
        <f>Table1[[#This Row],[Cost Price]]*Table1[[#This Row],[Quantity]]</f>
        <v>2400000</v>
      </c>
      <c r="O788" s="9">
        <f>Table1[[#This Row],[Revenue]]-Table1[[#This Row],[COGS]]</f>
        <v>600000</v>
      </c>
      <c r="P788" s="6">
        <v>787</v>
      </c>
    </row>
    <row r="789" spans="1:16">
      <c r="A789" s="7" t="s">
        <v>111</v>
      </c>
      <c r="B789" s="7" t="str">
        <f>TEXT(Table1[[#This Row],[Date]],"MMM")</f>
        <v>Feb</v>
      </c>
      <c r="C789" t="s">
        <v>35</v>
      </c>
      <c r="D789" t="s">
        <v>28</v>
      </c>
      <c r="E789" t="s">
        <v>29</v>
      </c>
      <c r="F789" t="s">
        <v>30</v>
      </c>
      <c r="G789" t="s">
        <v>67</v>
      </c>
      <c r="H789" t="s">
        <v>51</v>
      </c>
      <c r="I789" s="9">
        <v>420000</v>
      </c>
      <c r="J789">
        <v>8</v>
      </c>
      <c r="K789" t="s">
        <v>69</v>
      </c>
      <c r="L789" s="9">
        <f t="shared" si="12"/>
        <v>336000</v>
      </c>
      <c r="M789" s="9">
        <f>Table1[[#This Row],[Unit Price]]*Table1[[#This Row],[Quantity]]</f>
        <v>3360000</v>
      </c>
      <c r="N789" s="9">
        <f>Table1[[#This Row],[Cost Price]]*Table1[[#This Row],[Quantity]]</f>
        <v>2688000</v>
      </c>
      <c r="O789" s="9">
        <f>Table1[[#This Row],[Revenue]]-Table1[[#This Row],[COGS]]</f>
        <v>672000</v>
      </c>
      <c r="P789" s="6">
        <v>788</v>
      </c>
    </row>
    <row r="790" spans="1:16">
      <c r="A790" s="7" t="s">
        <v>171</v>
      </c>
      <c r="B790" s="7" t="str">
        <f>TEXT(Table1[[#This Row],[Date]],"MMM")</f>
        <v>Mar</v>
      </c>
      <c r="C790" t="s">
        <v>27</v>
      </c>
      <c r="D790" t="s">
        <v>45</v>
      </c>
      <c r="E790" t="s">
        <v>41</v>
      </c>
      <c r="F790" t="s">
        <v>37</v>
      </c>
      <c r="G790" t="s">
        <v>73</v>
      </c>
      <c r="H790" t="s">
        <v>39</v>
      </c>
      <c r="I790" s="9">
        <v>220000</v>
      </c>
      <c r="J790">
        <v>2</v>
      </c>
      <c r="K790" t="s">
        <v>47</v>
      </c>
      <c r="L790" s="9">
        <f t="shared" si="12"/>
        <v>176000</v>
      </c>
      <c r="M790" s="9">
        <f>Table1[[#This Row],[Unit Price]]*Table1[[#This Row],[Quantity]]</f>
        <v>440000</v>
      </c>
      <c r="N790" s="9">
        <f>Table1[[#This Row],[Cost Price]]*Table1[[#This Row],[Quantity]]</f>
        <v>352000</v>
      </c>
      <c r="O790" s="9">
        <f>Table1[[#This Row],[Revenue]]-Table1[[#This Row],[COGS]]</f>
        <v>88000</v>
      </c>
      <c r="P790" s="6">
        <v>789</v>
      </c>
    </row>
    <row r="791" spans="1:16">
      <c r="A791" s="7" t="s">
        <v>148</v>
      </c>
      <c r="B791" s="7" t="str">
        <f>TEXT(Table1[[#This Row],[Date]],"MMM")</f>
        <v>Feb</v>
      </c>
      <c r="C791" t="s">
        <v>27</v>
      </c>
      <c r="D791" t="s">
        <v>53</v>
      </c>
      <c r="E791" t="s">
        <v>29</v>
      </c>
      <c r="F791" t="s">
        <v>30</v>
      </c>
      <c r="G791" t="s">
        <v>62</v>
      </c>
      <c r="H791" t="s">
        <v>51</v>
      </c>
      <c r="I791" s="9">
        <v>150000</v>
      </c>
      <c r="J791">
        <v>4</v>
      </c>
      <c r="K791" t="s">
        <v>33</v>
      </c>
      <c r="L791" s="9">
        <f t="shared" si="12"/>
        <v>120000</v>
      </c>
      <c r="M791" s="9">
        <f>Table1[[#This Row],[Unit Price]]*Table1[[#This Row],[Quantity]]</f>
        <v>600000</v>
      </c>
      <c r="N791" s="9">
        <f>Table1[[#This Row],[Cost Price]]*Table1[[#This Row],[Quantity]]</f>
        <v>480000</v>
      </c>
      <c r="O791" s="9">
        <f>Table1[[#This Row],[Revenue]]-Table1[[#This Row],[COGS]]</f>
        <v>120000</v>
      </c>
      <c r="P791" s="6">
        <v>790</v>
      </c>
    </row>
    <row r="792" spans="1:16">
      <c r="A792" s="7" t="s">
        <v>133</v>
      </c>
      <c r="B792" s="7" t="str">
        <f>TEXT(Table1[[#This Row],[Date]],"MMM")</f>
        <v>Jan</v>
      </c>
      <c r="C792" t="s">
        <v>27</v>
      </c>
      <c r="D792" t="s">
        <v>36</v>
      </c>
      <c r="E792" t="s">
        <v>29</v>
      </c>
      <c r="F792" t="s">
        <v>30</v>
      </c>
      <c r="G792" t="s">
        <v>38</v>
      </c>
      <c r="H792" t="s">
        <v>39</v>
      </c>
      <c r="I792" s="9">
        <v>30000</v>
      </c>
      <c r="J792">
        <v>8</v>
      </c>
      <c r="K792" t="s">
        <v>58</v>
      </c>
      <c r="L792" s="9">
        <f t="shared" si="12"/>
        <v>24000</v>
      </c>
      <c r="M792" s="9">
        <f>Table1[[#This Row],[Unit Price]]*Table1[[#This Row],[Quantity]]</f>
        <v>240000</v>
      </c>
      <c r="N792" s="9">
        <f>Table1[[#This Row],[Cost Price]]*Table1[[#This Row],[Quantity]]</f>
        <v>192000</v>
      </c>
      <c r="O792" s="9">
        <f>Table1[[#This Row],[Revenue]]-Table1[[#This Row],[COGS]]</f>
        <v>48000</v>
      </c>
      <c r="P792" s="6">
        <v>791</v>
      </c>
    </row>
    <row r="793" spans="1:16">
      <c r="A793" s="7" t="s">
        <v>95</v>
      </c>
      <c r="B793" s="7" t="str">
        <f>TEXT(Table1[[#This Row],[Date]],"MMM")</f>
        <v>Feb</v>
      </c>
      <c r="C793" t="s">
        <v>27</v>
      </c>
      <c r="D793" t="s">
        <v>45</v>
      </c>
      <c r="E793" t="s">
        <v>41</v>
      </c>
      <c r="F793" t="s">
        <v>37</v>
      </c>
      <c r="G793" t="s">
        <v>67</v>
      </c>
      <c r="H793" t="s">
        <v>51</v>
      </c>
      <c r="I793" s="9">
        <v>420000</v>
      </c>
      <c r="J793">
        <v>3</v>
      </c>
      <c r="K793" t="s">
        <v>65</v>
      </c>
      <c r="L793" s="9">
        <f t="shared" si="12"/>
        <v>336000</v>
      </c>
      <c r="M793" s="9">
        <f>Table1[[#This Row],[Unit Price]]*Table1[[#This Row],[Quantity]]</f>
        <v>1260000</v>
      </c>
      <c r="N793" s="9">
        <f>Table1[[#This Row],[Cost Price]]*Table1[[#This Row],[Quantity]]</f>
        <v>1008000</v>
      </c>
      <c r="O793" s="9">
        <f>Table1[[#This Row],[Revenue]]-Table1[[#This Row],[COGS]]</f>
        <v>252000</v>
      </c>
      <c r="P793" s="6">
        <v>792</v>
      </c>
    </row>
    <row r="794" spans="1:16">
      <c r="A794" s="7" t="s">
        <v>127</v>
      </c>
      <c r="B794" s="7" t="str">
        <f>TEXT(Table1[[#This Row],[Date]],"MMM")</f>
        <v>Jan</v>
      </c>
      <c r="C794" t="s">
        <v>27</v>
      </c>
      <c r="D794" t="s">
        <v>28</v>
      </c>
      <c r="E794" t="s">
        <v>41</v>
      </c>
      <c r="F794" t="s">
        <v>37</v>
      </c>
      <c r="G794" t="s">
        <v>50</v>
      </c>
      <c r="H794" t="s">
        <v>51</v>
      </c>
      <c r="I794" s="9">
        <v>300000</v>
      </c>
      <c r="J794">
        <v>4</v>
      </c>
      <c r="K794" t="s">
        <v>69</v>
      </c>
      <c r="L794" s="9">
        <f t="shared" si="12"/>
        <v>240000</v>
      </c>
      <c r="M794" s="9">
        <f>Table1[[#This Row],[Unit Price]]*Table1[[#This Row],[Quantity]]</f>
        <v>1200000</v>
      </c>
      <c r="N794" s="9">
        <f>Table1[[#This Row],[Cost Price]]*Table1[[#This Row],[Quantity]]</f>
        <v>960000</v>
      </c>
      <c r="O794" s="9">
        <f>Table1[[#This Row],[Revenue]]-Table1[[#This Row],[COGS]]</f>
        <v>240000</v>
      </c>
      <c r="P794" s="6">
        <v>793</v>
      </c>
    </row>
    <row r="795" spans="1:16">
      <c r="A795" s="7" t="s">
        <v>122</v>
      </c>
      <c r="B795" s="7" t="str">
        <f>TEXT(Table1[[#This Row],[Date]],"MMM")</f>
        <v>Mar</v>
      </c>
      <c r="C795" t="s">
        <v>27</v>
      </c>
      <c r="D795" t="s">
        <v>36</v>
      </c>
      <c r="E795" t="s">
        <v>29</v>
      </c>
      <c r="F795" t="s">
        <v>30</v>
      </c>
      <c r="G795" t="s">
        <v>71</v>
      </c>
      <c r="H795" t="s">
        <v>51</v>
      </c>
      <c r="I795" s="9">
        <v>250000</v>
      </c>
      <c r="J795">
        <v>6</v>
      </c>
      <c r="K795" t="s">
        <v>42</v>
      </c>
      <c r="L795" s="9">
        <f t="shared" si="12"/>
        <v>200000</v>
      </c>
      <c r="M795" s="9">
        <f>Table1[[#This Row],[Unit Price]]*Table1[[#This Row],[Quantity]]</f>
        <v>1500000</v>
      </c>
      <c r="N795" s="9">
        <f>Table1[[#This Row],[Cost Price]]*Table1[[#This Row],[Quantity]]</f>
        <v>1200000</v>
      </c>
      <c r="O795" s="9">
        <f>Table1[[#This Row],[Revenue]]-Table1[[#This Row],[COGS]]</f>
        <v>300000</v>
      </c>
      <c r="P795" s="6">
        <v>794</v>
      </c>
    </row>
    <row r="796" spans="1:16">
      <c r="A796" s="7" t="s">
        <v>155</v>
      </c>
      <c r="B796" s="7" t="str">
        <f>TEXT(Table1[[#This Row],[Date]],"MMM")</f>
        <v>Apr</v>
      </c>
      <c r="C796" t="s">
        <v>27</v>
      </c>
      <c r="D796" t="s">
        <v>45</v>
      </c>
      <c r="E796" t="s">
        <v>41</v>
      </c>
      <c r="F796" t="s">
        <v>37</v>
      </c>
      <c r="G796" t="s">
        <v>56</v>
      </c>
      <c r="H796" t="s">
        <v>32</v>
      </c>
      <c r="I796" s="9">
        <v>320000</v>
      </c>
      <c r="J796">
        <v>6</v>
      </c>
      <c r="K796" t="s">
        <v>58</v>
      </c>
      <c r="L796" s="9">
        <f t="shared" si="12"/>
        <v>256000</v>
      </c>
      <c r="M796" s="9">
        <f>Table1[[#This Row],[Unit Price]]*Table1[[#This Row],[Quantity]]</f>
        <v>1920000</v>
      </c>
      <c r="N796" s="9">
        <f>Table1[[#This Row],[Cost Price]]*Table1[[#This Row],[Quantity]]</f>
        <v>1536000</v>
      </c>
      <c r="O796" s="9">
        <f>Table1[[#This Row],[Revenue]]-Table1[[#This Row],[COGS]]</f>
        <v>384000</v>
      </c>
      <c r="P796" s="6">
        <v>795</v>
      </c>
    </row>
    <row r="797" spans="1:16">
      <c r="A797" s="7" t="s">
        <v>158</v>
      </c>
      <c r="B797" s="7" t="str">
        <f>TEXT(Table1[[#This Row],[Date]],"MMM")</f>
        <v>Jan</v>
      </c>
      <c r="C797" t="s">
        <v>27</v>
      </c>
      <c r="D797" t="s">
        <v>45</v>
      </c>
      <c r="E797" t="s">
        <v>29</v>
      </c>
      <c r="F797" t="s">
        <v>30</v>
      </c>
      <c r="G797" t="s">
        <v>54</v>
      </c>
      <c r="H797" t="s">
        <v>39</v>
      </c>
      <c r="I797" s="9">
        <v>180000</v>
      </c>
      <c r="J797">
        <v>5</v>
      </c>
      <c r="K797" t="s">
        <v>58</v>
      </c>
      <c r="L797" s="9">
        <f t="shared" si="12"/>
        <v>144000</v>
      </c>
      <c r="M797" s="9">
        <f>Table1[[#This Row],[Unit Price]]*Table1[[#This Row],[Quantity]]</f>
        <v>900000</v>
      </c>
      <c r="N797" s="9">
        <f>Table1[[#This Row],[Cost Price]]*Table1[[#This Row],[Quantity]]</f>
        <v>720000</v>
      </c>
      <c r="O797" s="9">
        <f>Table1[[#This Row],[Revenue]]-Table1[[#This Row],[COGS]]</f>
        <v>180000</v>
      </c>
      <c r="P797" s="6">
        <v>796</v>
      </c>
    </row>
    <row r="798" spans="1:16">
      <c r="A798" s="7" t="s">
        <v>174</v>
      </c>
      <c r="B798" s="7" t="str">
        <f>TEXT(Table1[[#This Row],[Date]],"MMM")</f>
        <v>Feb</v>
      </c>
      <c r="C798" t="s">
        <v>27</v>
      </c>
      <c r="D798" t="s">
        <v>28</v>
      </c>
      <c r="E798" t="s">
        <v>29</v>
      </c>
      <c r="F798" t="s">
        <v>30</v>
      </c>
      <c r="G798" t="s">
        <v>62</v>
      </c>
      <c r="H798" t="s">
        <v>51</v>
      </c>
      <c r="I798" s="9">
        <v>150000</v>
      </c>
      <c r="J798">
        <v>1</v>
      </c>
      <c r="K798" t="s">
        <v>47</v>
      </c>
      <c r="L798" s="9">
        <f t="shared" si="12"/>
        <v>120000</v>
      </c>
      <c r="M798" s="9">
        <f>Table1[[#This Row],[Unit Price]]*Table1[[#This Row],[Quantity]]</f>
        <v>150000</v>
      </c>
      <c r="N798" s="9">
        <f>Table1[[#This Row],[Cost Price]]*Table1[[#This Row],[Quantity]]</f>
        <v>120000</v>
      </c>
      <c r="O798" s="9">
        <f>Table1[[#This Row],[Revenue]]-Table1[[#This Row],[COGS]]</f>
        <v>30000</v>
      </c>
      <c r="P798" s="6">
        <v>797</v>
      </c>
    </row>
    <row r="799" spans="1:16">
      <c r="A799" s="7" t="s">
        <v>101</v>
      </c>
      <c r="B799" s="7" t="str">
        <f>TEXT(Table1[[#This Row],[Date]],"MMM")</f>
        <v>Jan</v>
      </c>
      <c r="C799" t="s">
        <v>27</v>
      </c>
      <c r="D799" t="s">
        <v>28</v>
      </c>
      <c r="E799" t="s">
        <v>29</v>
      </c>
      <c r="F799" t="s">
        <v>37</v>
      </c>
      <c r="G799" t="s">
        <v>46</v>
      </c>
      <c r="H799" t="s">
        <v>39</v>
      </c>
      <c r="I799" s="9">
        <v>60000</v>
      </c>
      <c r="J799">
        <v>3</v>
      </c>
      <c r="K799" t="s">
        <v>69</v>
      </c>
      <c r="L799" s="9">
        <f t="shared" si="12"/>
        <v>48000</v>
      </c>
      <c r="M799" s="9">
        <f>Table1[[#This Row],[Unit Price]]*Table1[[#This Row],[Quantity]]</f>
        <v>180000</v>
      </c>
      <c r="N799" s="9">
        <f>Table1[[#This Row],[Cost Price]]*Table1[[#This Row],[Quantity]]</f>
        <v>144000</v>
      </c>
      <c r="O799" s="9">
        <f>Table1[[#This Row],[Revenue]]-Table1[[#This Row],[COGS]]</f>
        <v>36000</v>
      </c>
      <c r="P799" s="6">
        <v>798</v>
      </c>
    </row>
    <row r="800" spans="1:16">
      <c r="A800" s="7" t="s">
        <v>103</v>
      </c>
      <c r="B800" s="7" t="str">
        <f>TEXT(Table1[[#This Row],[Date]],"MMM")</f>
        <v>Mar</v>
      </c>
      <c r="C800" t="s">
        <v>35</v>
      </c>
      <c r="D800" t="s">
        <v>53</v>
      </c>
      <c r="E800" t="s">
        <v>41</v>
      </c>
      <c r="F800" t="s">
        <v>30</v>
      </c>
      <c r="G800" t="s">
        <v>31</v>
      </c>
      <c r="H800" t="s">
        <v>32</v>
      </c>
      <c r="I800" s="9">
        <v>85000</v>
      </c>
      <c r="J800">
        <v>10</v>
      </c>
      <c r="K800" t="s">
        <v>42</v>
      </c>
      <c r="L800" s="9">
        <f t="shared" si="12"/>
        <v>68000</v>
      </c>
      <c r="M800" s="9">
        <f>Table1[[#This Row],[Unit Price]]*Table1[[#This Row],[Quantity]]</f>
        <v>850000</v>
      </c>
      <c r="N800" s="9">
        <f>Table1[[#This Row],[Cost Price]]*Table1[[#This Row],[Quantity]]</f>
        <v>680000</v>
      </c>
      <c r="O800" s="9">
        <f>Table1[[#This Row],[Revenue]]-Table1[[#This Row],[COGS]]</f>
        <v>170000</v>
      </c>
      <c r="P800" s="6">
        <v>799</v>
      </c>
    </row>
    <row r="801" spans="1:16">
      <c r="A801" s="7" t="s">
        <v>137</v>
      </c>
      <c r="B801" s="7" t="str">
        <f>TEXT(Table1[[#This Row],[Date]],"MMM")</f>
        <v>Apr</v>
      </c>
      <c r="C801" t="s">
        <v>27</v>
      </c>
      <c r="D801" t="s">
        <v>53</v>
      </c>
      <c r="E801" t="s">
        <v>41</v>
      </c>
      <c r="F801" t="s">
        <v>37</v>
      </c>
      <c r="G801" t="s">
        <v>62</v>
      </c>
      <c r="H801" t="s">
        <v>51</v>
      </c>
      <c r="I801" s="9">
        <v>150000</v>
      </c>
      <c r="J801">
        <v>3</v>
      </c>
      <c r="K801" t="s">
        <v>65</v>
      </c>
      <c r="L801" s="9">
        <f t="shared" si="12"/>
        <v>120000</v>
      </c>
      <c r="M801" s="9">
        <f>Table1[[#This Row],[Unit Price]]*Table1[[#This Row],[Quantity]]</f>
        <v>450000</v>
      </c>
      <c r="N801" s="9">
        <f>Table1[[#This Row],[Cost Price]]*Table1[[#This Row],[Quantity]]</f>
        <v>360000</v>
      </c>
      <c r="O801" s="9">
        <f>Table1[[#This Row],[Revenue]]-Table1[[#This Row],[COGS]]</f>
        <v>90000</v>
      </c>
      <c r="P801" s="6">
        <v>800</v>
      </c>
    </row>
    <row r="802" spans="1:16">
      <c r="A802" s="7" t="s">
        <v>57</v>
      </c>
      <c r="B802" s="7" t="str">
        <f>TEXT(Table1[[#This Row],[Date]],"MMM")</f>
        <v>Feb</v>
      </c>
      <c r="C802" t="s">
        <v>44</v>
      </c>
      <c r="D802" t="s">
        <v>28</v>
      </c>
      <c r="E802" t="s">
        <v>41</v>
      </c>
      <c r="F802" t="s">
        <v>37</v>
      </c>
      <c r="G802" t="s">
        <v>67</v>
      </c>
      <c r="H802" t="s">
        <v>51</v>
      </c>
      <c r="I802" s="9">
        <v>420000</v>
      </c>
      <c r="J802">
        <v>9</v>
      </c>
      <c r="K802" t="s">
        <v>65</v>
      </c>
      <c r="L802" s="9">
        <f t="shared" si="12"/>
        <v>336000</v>
      </c>
      <c r="M802" s="9">
        <f>Table1[[#This Row],[Unit Price]]*Table1[[#This Row],[Quantity]]</f>
        <v>3780000</v>
      </c>
      <c r="N802" s="9">
        <f>Table1[[#This Row],[Cost Price]]*Table1[[#This Row],[Quantity]]</f>
        <v>3024000</v>
      </c>
      <c r="O802" s="9">
        <f>Table1[[#This Row],[Revenue]]-Table1[[#This Row],[COGS]]</f>
        <v>756000</v>
      </c>
      <c r="P802" s="6">
        <v>801</v>
      </c>
    </row>
    <row r="803" spans="1:16">
      <c r="A803" s="7" t="s">
        <v>70</v>
      </c>
      <c r="B803" s="7" t="str">
        <f>TEXT(Table1[[#This Row],[Date]],"MMM")</f>
        <v>Apr</v>
      </c>
      <c r="C803" t="s">
        <v>44</v>
      </c>
      <c r="D803" t="s">
        <v>53</v>
      </c>
      <c r="E803" t="s">
        <v>29</v>
      </c>
      <c r="F803" t="s">
        <v>37</v>
      </c>
      <c r="G803" t="s">
        <v>73</v>
      </c>
      <c r="H803" t="s">
        <v>39</v>
      </c>
      <c r="I803" s="9">
        <v>220000</v>
      </c>
      <c r="J803">
        <v>1</v>
      </c>
      <c r="K803" t="s">
        <v>58</v>
      </c>
      <c r="L803" s="9">
        <f t="shared" si="12"/>
        <v>176000</v>
      </c>
      <c r="M803" s="9">
        <f>Table1[[#This Row],[Unit Price]]*Table1[[#This Row],[Quantity]]</f>
        <v>220000</v>
      </c>
      <c r="N803" s="9">
        <f>Table1[[#This Row],[Cost Price]]*Table1[[#This Row],[Quantity]]</f>
        <v>176000</v>
      </c>
      <c r="O803" s="9">
        <f>Table1[[#This Row],[Revenue]]-Table1[[#This Row],[COGS]]</f>
        <v>44000</v>
      </c>
      <c r="P803" s="6">
        <v>802</v>
      </c>
    </row>
    <row r="804" spans="1:16">
      <c r="A804" s="7" t="s">
        <v>144</v>
      </c>
      <c r="B804" s="7" t="str">
        <f>TEXT(Table1[[#This Row],[Date]],"MMM")</f>
        <v>Feb</v>
      </c>
      <c r="C804" t="s">
        <v>35</v>
      </c>
      <c r="D804" t="s">
        <v>53</v>
      </c>
      <c r="E804" t="s">
        <v>41</v>
      </c>
      <c r="F804" t="s">
        <v>30</v>
      </c>
      <c r="G804" t="s">
        <v>31</v>
      </c>
      <c r="H804" t="s">
        <v>32</v>
      </c>
      <c r="I804" s="9">
        <v>85000</v>
      </c>
      <c r="J804">
        <v>4</v>
      </c>
      <c r="K804" t="s">
        <v>42</v>
      </c>
      <c r="L804" s="9">
        <f t="shared" si="12"/>
        <v>68000</v>
      </c>
      <c r="M804" s="9">
        <f>Table1[[#This Row],[Unit Price]]*Table1[[#This Row],[Quantity]]</f>
        <v>340000</v>
      </c>
      <c r="N804" s="9">
        <f>Table1[[#This Row],[Cost Price]]*Table1[[#This Row],[Quantity]]</f>
        <v>272000</v>
      </c>
      <c r="O804" s="9">
        <f>Table1[[#This Row],[Revenue]]-Table1[[#This Row],[COGS]]</f>
        <v>68000</v>
      </c>
      <c r="P804" s="6">
        <v>803</v>
      </c>
    </row>
    <row r="805" spans="1:16">
      <c r="A805" s="7" t="s">
        <v>143</v>
      </c>
      <c r="B805" s="7" t="str">
        <f>TEXT(Table1[[#This Row],[Date]],"MMM")</f>
        <v>Apr</v>
      </c>
      <c r="C805" t="s">
        <v>27</v>
      </c>
      <c r="D805" t="s">
        <v>28</v>
      </c>
      <c r="E805" t="s">
        <v>29</v>
      </c>
      <c r="F805" t="s">
        <v>30</v>
      </c>
      <c r="G805" t="s">
        <v>67</v>
      </c>
      <c r="H805" t="s">
        <v>51</v>
      </c>
      <c r="I805" s="9">
        <v>420000</v>
      </c>
      <c r="J805">
        <v>6</v>
      </c>
      <c r="K805" t="s">
        <v>65</v>
      </c>
      <c r="L805" s="9">
        <f t="shared" si="12"/>
        <v>336000</v>
      </c>
      <c r="M805" s="9">
        <f>Table1[[#This Row],[Unit Price]]*Table1[[#This Row],[Quantity]]</f>
        <v>2520000</v>
      </c>
      <c r="N805" s="9">
        <f>Table1[[#This Row],[Cost Price]]*Table1[[#This Row],[Quantity]]</f>
        <v>2016000</v>
      </c>
      <c r="O805" s="9">
        <f>Table1[[#This Row],[Revenue]]-Table1[[#This Row],[COGS]]</f>
        <v>504000</v>
      </c>
      <c r="P805" s="6">
        <v>804</v>
      </c>
    </row>
    <row r="806" spans="1:16">
      <c r="A806" s="7" t="s">
        <v>132</v>
      </c>
      <c r="B806" s="7" t="str">
        <f>TEXT(Table1[[#This Row],[Date]],"MMM")</f>
        <v>Apr</v>
      </c>
      <c r="C806" t="s">
        <v>49</v>
      </c>
      <c r="D806" t="s">
        <v>53</v>
      </c>
      <c r="E806" t="s">
        <v>41</v>
      </c>
      <c r="F806" t="s">
        <v>30</v>
      </c>
      <c r="G806" t="s">
        <v>67</v>
      </c>
      <c r="H806" t="s">
        <v>51</v>
      </c>
      <c r="I806" s="9">
        <v>420000</v>
      </c>
      <c r="J806">
        <v>6</v>
      </c>
      <c r="K806" t="s">
        <v>47</v>
      </c>
      <c r="L806" s="9">
        <f t="shared" si="12"/>
        <v>336000</v>
      </c>
      <c r="M806" s="9">
        <f>Table1[[#This Row],[Unit Price]]*Table1[[#This Row],[Quantity]]</f>
        <v>2520000</v>
      </c>
      <c r="N806" s="9">
        <f>Table1[[#This Row],[Cost Price]]*Table1[[#This Row],[Quantity]]</f>
        <v>2016000</v>
      </c>
      <c r="O806" s="9">
        <f>Table1[[#This Row],[Revenue]]-Table1[[#This Row],[COGS]]</f>
        <v>504000</v>
      </c>
      <c r="P806" s="6">
        <v>805</v>
      </c>
    </row>
    <row r="807" spans="1:16">
      <c r="A807" s="7" t="s">
        <v>101</v>
      </c>
      <c r="B807" s="7" t="str">
        <f>TEXT(Table1[[#This Row],[Date]],"MMM")</f>
        <v>Jan</v>
      </c>
      <c r="C807" t="s">
        <v>35</v>
      </c>
      <c r="D807" t="s">
        <v>28</v>
      </c>
      <c r="E807" t="s">
        <v>29</v>
      </c>
      <c r="F807" t="s">
        <v>30</v>
      </c>
      <c r="G807" t="s">
        <v>50</v>
      </c>
      <c r="H807" t="s">
        <v>51</v>
      </c>
      <c r="I807" s="9">
        <v>300000</v>
      </c>
      <c r="J807">
        <v>10</v>
      </c>
      <c r="K807" t="s">
        <v>58</v>
      </c>
      <c r="L807" s="9">
        <f t="shared" si="12"/>
        <v>240000</v>
      </c>
      <c r="M807" s="9">
        <f>Table1[[#This Row],[Unit Price]]*Table1[[#This Row],[Quantity]]</f>
        <v>3000000</v>
      </c>
      <c r="N807" s="9">
        <f>Table1[[#This Row],[Cost Price]]*Table1[[#This Row],[Quantity]]</f>
        <v>2400000</v>
      </c>
      <c r="O807" s="9">
        <f>Table1[[#This Row],[Revenue]]-Table1[[#This Row],[COGS]]</f>
        <v>600000</v>
      </c>
      <c r="P807" s="6">
        <v>806</v>
      </c>
    </row>
    <row r="808" spans="1:16">
      <c r="A808" s="7" t="s">
        <v>146</v>
      </c>
      <c r="B808" s="7" t="str">
        <f>TEXT(Table1[[#This Row],[Date]],"MMM")</f>
        <v>Jan</v>
      </c>
      <c r="C808" t="s">
        <v>44</v>
      </c>
      <c r="D808" t="s">
        <v>36</v>
      </c>
      <c r="E808" t="s">
        <v>29</v>
      </c>
      <c r="F808" t="s">
        <v>37</v>
      </c>
      <c r="G808" t="s">
        <v>73</v>
      </c>
      <c r="H808" t="s">
        <v>39</v>
      </c>
      <c r="I808" s="9">
        <v>220000</v>
      </c>
      <c r="J808">
        <v>4</v>
      </c>
      <c r="K808" t="s">
        <v>47</v>
      </c>
      <c r="L808" s="9">
        <f t="shared" si="12"/>
        <v>176000</v>
      </c>
      <c r="M808" s="9">
        <f>Table1[[#This Row],[Unit Price]]*Table1[[#This Row],[Quantity]]</f>
        <v>880000</v>
      </c>
      <c r="N808" s="9">
        <f>Table1[[#This Row],[Cost Price]]*Table1[[#This Row],[Quantity]]</f>
        <v>704000</v>
      </c>
      <c r="O808" s="9">
        <f>Table1[[#This Row],[Revenue]]-Table1[[#This Row],[COGS]]</f>
        <v>176000</v>
      </c>
      <c r="P808" s="6">
        <v>807</v>
      </c>
    </row>
    <row r="809" spans="1:16">
      <c r="A809" s="7" t="s">
        <v>102</v>
      </c>
      <c r="B809" s="7" t="str">
        <f>TEXT(Table1[[#This Row],[Date]],"MMM")</f>
        <v>Mar</v>
      </c>
      <c r="C809" t="s">
        <v>27</v>
      </c>
      <c r="D809" t="s">
        <v>53</v>
      </c>
      <c r="E809" t="s">
        <v>29</v>
      </c>
      <c r="F809" t="s">
        <v>37</v>
      </c>
      <c r="G809" t="s">
        <v>54</v>
      </c>
      <c r="H809" t="s">
        <v>39</v>
      </c>
      <c r="I809" s="9">
        <v>180000</v>
      </c>
      <c r="J809">
        <v>8</v>
      </c>
      <c r="K809" t="s">
        <v>65</v>
      </c>
      <c r="L809" s="9">
        <f t="shared" si="12"/>
        <v>144000</v>
      </c>
      <c r="M809" s="9">
        <f>Table1[[#This Row],[Unit Price]]*Table1[[#This Row],[Quantity]]</f>
        <v>1440000</v>
      </c>
      <c r="N809" s="9">
        <f>Table1[[#This Row],[Cost Price]]*Table1[[#This Row],[Quantity]]</f>
        <v>1152000</v>
      </c>
      <c r="O809" s="9">
        <f>Table1[[#This Row],[Revenue]]-Table1[[#This Row],[COGS]]</f>
        <v>288000</v>
      </c>
      <c r="P809" s="6">
        <v>808</v>
      </c>
    </row>
    <row r="810" spans="1:16">
      <c r="A810" s="7" t="s">
        <v>108</v>
      </c>
      <c r="B810" s="7" t="str">
        <f>TEXT(Table1[[#This Row],[Date]],"MMM")</f>
        <v>Apr</v>
      </c>
      <c r="C810" t="s">
        <v>27</v>
      </c>
      <c r="D810" t="s">
        <v>53</v>
      </c>
      <c r="E810" t="s">
        <v>29</v>
      </c>
      <c r="F810" t="s">
        <v>30</v>
      </c>
      <c r="G810" t="s">
        <v>71</v>
      </c>
      <c r="H810" t="s">
        <v>51</v>
      </c>
      <c r="I810" s="9">
        <v>250000</v>
      </c>
      <c r="J810">
        <v>3</v>
      </c>
      <c r="K810" t="s">
        <v>33</v>
      </c>
      <c r="L810" s="9">
        <f t="shared" si="12"/>
        <v>200000</v>
      </c>
      <c r="M810" s="9">
        <f>Table1[[#This Row],[Unit Price]]*Table1[[#This Row],[Quantity]]</f>
        <v>750000</v>
      </c>
      <c r="N810" s="9">
        <f>Table1[[#This Row],[Cost Price]]*Table1[[#This Row],[Quantity]]</f>
        <v>600000</v>
      </c>
      <c r="O810" s="9">
        <f>Table1[[#This Row],[Revenue]]-Table1[[#This Row],[COGS]]</f>
        <v>150000</v>
      </c>
      <c r="P810" s="6">
        <v>809</v>
      </c>
    </row>
    <row r="811" spans="1:16">
      <c r="A811" s="7" t="s">
        <v>170</v>
      </c>
      <c r="B811" s="7" t="str">
        <f>TEXT(Table1[[#This Row],[Date]],"MMM")</f>
        <v>Jan</v>
      </c>
      <c r="C811" t="s">
        <v>49</v>
      </c>
      <c r="D811" t="s">
        <v>45</v>
      </c>
      <c r="E811" t="s">
        <v>41</v>
      </c>
      <c r="F811" t="s">
        <v>30</v>
      </c>
      <c r="G811" t="s">
        <v>50</v>
      </c>
      <c r="H811" t="s">
        <v>51</v>
      </c>
      <c r="I811" s="9">
        <v>300000</v>
      </c>
      <c r="J811">
        <v>7</v>
      </c>
      <c r="K811" t="s">
        <v>33</v>
      </c>
      <c r="L811" s="9">
        <f t="shared" si="12"/>
        <v>240000</v>
      </c>
      <c r="M811" s="9">
        <f>Table1[[#This Row],[Unit Price]]*Table1[[#This Row],[Quantity]]</f>
        <v>2100000</v>
      </c>
      <c r="N811" s="9">
        <f>Table1[[#This Row],[Cost Price]]*Table1[[#This Row],[Quantity]]</f>
        <v>1680000</v>
      </c>
      <c r="O811" s="9">
        <f>Table1[[#This Row],[Revenue]]-Table1[[#This Row],[COGS]]</f>
        <v>420000</v>
      </c>
      <c r="P811" s="6">
        <v>810</v>
      </c>
    </row>
    <row r="812" spans="1:16">
      <c r="A812" s="7" t="s">
        <v>170</v>
      </c>
      <c r="B812" s="7" t="str">
        <f>TEXT(Table1[[#This Row],[Date]],"MMM")</f>
        <v>Jan</v>
      </c>
      <c r="C812" t="s">
        <v>49</v>
      </c>
      <c r="D812" t="s">
        <v>53</v>
      </c>
      <c r="E812" t="s">
        <v>29</v>
      </c>
      <c r="F812" t="s">
        <v>37</v>
      </c>
      <c r="G812" t="s">
        <v>50</v>
      </c>
      <c r="H812" t="s">
        <v>51</v>
      </c>
      <c r="I812" s="9">
        <v>300000</v>
      </c>
      <c r="J812">
        <v>7</v>
      </c>
      <c r="K812" t="s">
        <v>69</v>
      </c>
      <c r="L812" s="9">
        <f t="shared" si="12"/>
        <v>240000</v>
      </c>
      <c r="M812" s="9">
        <f>Table1[[#This Row],[Unit Price]]*Table1[[#This Row],[Quantity]]</f>
        <v>2100000</v>
      </c>
      <c r="N812" s="9">
        <f>Table1[[#This Row],[Cost Price]]*Table1[[#This Row],[Quantity]]</f>
        <v>1680000</v>
      </c>
      <c r="O812" s="9">
        <f>Table1[[#This Row],[Revenue]]-Table1[[#This Row],[COGS]]</f>
        <v>420000</v>
      </c>
      <c r="P812" s="6">
        <v>811</v>
      </c>
    </row>
    <row r="813" spans="1:16">
      <c r="A813" s="7" t="s">
        <v>149</v>
      </c>
      <c r="B813" s="7" t="str">
        <f>TEXT(Table1[[#This Row],[Date]],"MMM")</f>
        <v>Apr</v>
      </c>
      <c r="C813" t="s">
        <v>49</v>
      </c>
      <c r="D813" t="s">
        <v>53</v>
      </c>
      <c r="E813" t="s">
        <v>41</v>
      </c>
      <c r="F813" t="s">
        <v>37</v>
      </c>
      <c r="G813" t="s">
        <v>71</v>
      </c>
      <c r="H813" t="s">
        <v>51</v>
      </c>
      <c r="I813" s="9">
        <v>250000</v>
      </c>
      <c r="J813">
        <v>1</v>
      </c>
      <c r="K813" t="s">
        <v>65</v>
      </c>
      <c r="L813" s="9">
        <f t="shared" si="12"/>
        <v>200000</v>
      </c>
      <c r="M813" s="9">
        <f>Table1[[#This Row],[Unit Price]]*Table1[[#This Row],[Quantity]]</f>
        <v>250000</v>
      </c>
      <c r="N813" s="9">
        <f>Table1[[#This Row],[Cost Price]]*Table1[[#This Row],[Quantity]]</f>
        <v>200000</v>
      </c>
      <c r="O813" s="9">
        <f>Table1[[#This Row],[Revenue]]-Table1[[#This Row],[COGS]]</f>
        <v>50000</v>
      </c>
      <c r="P813" s="6">
        <v>812</v>
      </c>
    </row>
    <row r="814" spans="1:16">
      <c r="A814" s="7" t="s">
        <v>148</v>
      </c>
      <c r="B814" s="7" t="str">
        <f>TEXT(Table1[[#This Row],[Date]],"MMM")</f>
        <v>Feb</v>
      </c>
      <c r="C814" t="s">
        <v>27</v>
      </c>
      <c r="D814" t="s">
        <v>36</v>
      </c>
      <c r="E814" t="s">
        <v>41</v>
      </c>
      <c r="F814" t="s">
        <v>30</v>
      </c>
      <c r="G814" t="s">
        <v>50</v>
      </c>
      <c r="H814" t="s">
        <v>51</v>
      </c>
      <c r="I814" s="9">
        <v>300000</v>
      </c>
      <c r="J814">
        <v>3</v>
      </c>
      <c r="K814" t="s">
        <v>58</v>
      </c>
      <c r="L814" s="9">
        <f t="shared" si="12"/>
        <v>240000</v>
      </c>
      <c r="M814" s="9">
        <f>Table1[[#This Row],[Unit Price]]*Table1[[#This Row],[Quantity]]</f>
        <v>900000</v>
      </c>
      <c r="N814" s="9">
        <f>Table1[[#This Row],[Cost Price]]*Table1[[#This Row],[Quantity]]</f>
        <v>720000</v>
      </c>
      <c r="O814" s="9">
        <f>Table1[[#This Row],[Revenue]]-Table1[[#This Row],[COGS]]</f>
        <v>180000</v>
      </c>
      <c r="P814" s="6">
        <v>813</v>
      </c>
    </row>
    <row r="815" spans="1:16">
      <c r="A815" s="7" t="s">
        <v>157</v>
      </c>
      <c r="B815" s="7" t="str">
        <f>TEXT(Table1[[#This Row],[Date]],"MMM")</f>
        <v>Apr</v>
      </c>
      <c r="C815" t="s">
        <v>44</v>
      </c>
      <c r="D815" t="s">
        <v>28</v>
      </c>
      <c r="E815" t="s">
        <v>29</v>
      </c>
      <c r="F815" t="s">
        <v>30</v>
      </c>
      <c r="G815" t="s">
        <v>67</v>
      </c>
      <c r="H815" t="s">
        <v>51</v>
      </c>
      <c r="I815" s="9">
        <v>420000</v>
      </c>
      <c r="J815">
        <v>10</v>
      </c>
      <c r="K815" t="s">
        <v>47</v>
      </c>
      <c r="L815" s="9">
        <f t="shared" si="12"/>
        <v>336000</v>
      </c>
      <c r="M815" s="9">
        <f>Table1[[#This Row],[Unit Price]]*Table1[[#This Row],[Quantity]]</f>
        <v>4200000</v>
      </c>
      <c r="N815" s="9">
        <f>Table1[[#This Row],[Cost Price]]*Table1[[#This Row],[Quantity]]</f>
        <v>3360000</v>
      </c>
      <c r="O815" s="9">
        <f>Table1[[#This Row],[Revenue]]-Table1[[#This Row],[COGS]]</f>
        <v>840000</v>
      </c>
      <c r="P815" s="6">
        <v>814</v>
      </c>
    </row>
    <row r="816" spans="1:16">
      <c r="A816" s="7" t="s">
        <v>113</v>
      </c>
      <c r="B816" s="7" t="str">
        <f>TEXT(Table1[[#This Row],[Date]],"MMM")</f>
        <v>Apr</v>
      </c>
      <c r="C816" t="s">
        <v>49</v>
      </c>
      <c r="D816" t="s">
        <v>45</v>
      </c>
      <c r="E816" t="s">
        <v>41</v>
      </c>
      <c r="F816" t="s">
        <v>30</v>
      </c>
      <c r="G816" t="s">
        <v>46</v>
      </c>
      <c r="H816" t="s">
        <v>39</v>
      </c>
      <c r="I816" s="9">
        <v>60000</v>
      </c>
      <c r="J816">
        <v>9</v>
      </c>
      <c r="K816" t="s">
        <v>58</v>
      </c>
      <c r="L816" s="9">
        <f t="shared" si="12"/>
        <v>48000</v>
      </c>
      <c r="M816" s="9">
        <f>Table1[[#This Row],[Unit Price]]*Table1[[#This Row],[Quantity]]</f>
        <v>540000</v>
      </c>
      <c r="N816" s="9">
        <f>Table1[[#This Row],[Cost Price]]*Table1[[#This Row],[Quantity]]</f>
        <v>432000</v>
      </c>
      <c r="O816" s="9">
        <f>Table1[[#This Row],[Revenue]]-Table1[[#This Row],[COGS]]</f>
        <v>108000</v>
      </c>
      <c r="P816" s="6">
        <v>815</v>
      </c>
    </row>
    <row r="817" spans="1:16">
      <c r="A817" s="7" t="s">
        <v>121</v>
      </c>
      <c r="B817" s="7" t="str">
        <f>TEXT(Table1[[#This Row],[Date]],"MMM")</f>
        <v>Apr</v>
      </c>
      <c r="C817" t="s">
        <v>27</v>
      </c>
      <c r="D817" t="s">
        <v>28</v>
      </c>
      <c r="E817" t="s">
        <v>29</v>
      </c>
      <c r="F817" t="s">
        <v>30</v>
      </c>
      <c r="G817" t="s">
        <v>71</v>
      </c>
      <c r="H817" t="s">
        <v>51</v>
      </c>
      <c r="I817" s="9">
        <v>250000</v>
      </c>
      <c r="J817">
        <v>4</v>
      </c>
      <c r="K817" t="s">
        <v>47</v>
      </c>
      <c r="L817" s="9">
        <f t="shared" si="12"/>
        <v>200000</v>
      </c>
      <c r="M817" s="9">
        <f>Table1[[#This Row],[Unit Price]]*Table1[[#This Row],[Quantity]]</f>
        <v>1000000</v>
      </c>
      <c r="N817" s="9">
        <f>Table1[[#This Row],[Cost Price]]*Table1[[#This Row],[Quantity]]</f>
        <v>800000</v>
      </c>
      <c r="O817" s="9">
        <f>Table1[[#This Row],[Revenue]]-Table1[[#This Row],[COGS]]</f>
        <v>200000</v>
      </c>
      <c r="P817" s="6">
        <v>816</v>
      </c>
    </row>
    <row r="818" spans="1:16">
      <c r="A818" s="7" t="s">
        <v>34</v>
      </c>
      <c r="B818" s="7" t="str">
        <f>TEXT(Table1[[#This Row],[Date]],"MMM")</f>
        <v>Apr</v>
      </c>
      <c r="C818" t="s">
        <v>35</v>
      </c>
      <c r="D818" t="s">
        <v>45</v>
      </c>
      <c r="E818" t="s">
        <v>29</v>
      </c>
      <c r="F818" t="s">
        <v>30</v>
      </c>
      <c r="G818" t="s">
        <v>71</v>
      </c>
      <c r="H818" t="s">
        <v>51</v>
      </c>
      <c r="I818" s="9">
        <v>250000</v>
      </c>
      <c r="J818">
        <v>3</v>
      </c>
      <c r="K818" t="s">
        <v>65</v>
      </c>
      <c r="L818" s="9">
        <f t="shared" si="12"/>
        <v>200000</v>
      </c>
      <c r="M818" s="9">
        <f>Table1[[#This Row],[Unit Price]]*Table1[[#This Row],[Quantity]]</f>
        <v>750000</v>
      </c>
      <c r="N818" s="9">
        <f>Table1[[#This Row],[Cost Price]]*Table1[[#This Row],[Quantity]]</f>
        <v>600000</v>
      </c>
      <c r="O818" s="9">
        <f>Table1[[#This Row],[Revenue]]-Table1[[#This Row],[COGS]]</f>
        <v>150000</v>
      </c>
      <c r="P818" s="6">
        <v>817</v>
      </c>
    </row>
    <row r="819" spans="1:16">
      <c r="A819" s="7" t="s">
        <v>119</v>
      </c>
      <c r="B819" s="7" t="str">
        <f>TEXT(Table1[[#This Row],[Date]],"MMM")</f>
        <v>Feb</v>
      </c>
      <c r="C819" t="s">
        <v>27</v>
      </c>
      <c r="D819" t="s">
        <v>53</v>
      </c>
      <c r="E819" t="s">
        <v>29</v>
      </c>
      <c r="F819" t="s">
        <v>37</v>
      </c>
      <c r="G819" t="s">
        <v>46</v>
      </c>
      <c r="H819" t="s">
        <v>39</v>
      </c>
      <c r="I819" s="9">
        <v>60000</v>
      </c>
      <c r="J819">
        <v>3</v>
      </c>
      <c r="K819" t="s">
        <v>33</v>
      </c>
      <c r="L819" s="9">
        <f t="shared" si="12"/>
        <v>48000</v>
      </c>
      <c r="M819" s="9">
        <f>Table1[[#This Row],[Unit Price]]*Table1[[#This Row],[Quantity]]</f>
        <v>180000</v>
      </c>
      <c r="N819" s="9">
        <f>Table1[[#This Row],[Cost Price]]*Table1[[#This Row],[Quantity]]</f>
        <v>144000</v>
      </c>
      <c r="O819" s="9">
        <f>Table1[[#This Row],[Revenue]]-Table1[[#This Row],[COGS]]</f>
        <v>36000</v>
      </c>
      <c r="P819" s="6">
        <v>818</v>
      </c>
    </row>
    <row r="820" spans="1:16">
      <c r="A820" s="7" t="s">
        <v>88</v>
      </c>
      <c r="B820" s="7" t="str">
        <f>TEXT(Table1[[#This Row],[Date]],"MMM")</f>
        <v>Feb</v>
      </c>
      <c r="C820" t="s">
        <v>27</v>
      </c>
      <c r="D820" t="s">
        <v>36</v>
      </c>
      <c r="E820" t="s">
        <v>41</v>
      </c>
      <c r="F820" t="s">
        <v>30</v>
      </c>
      <c r="G820" t="s">
        <v>56</v>
      </c>
      <c r="H820" t="s">
        <v>32</v>
      </c>
      <c r="I820" s="9">
        <v>320000</v>
      </c>
      <c r="J820">
        <v>1</v>
      </c>
      <c r="K820" t="s">
        <v>42</v>
      </c>
      <c r="L820" s="9">
        <f t="shared" si="12"/>
        <v>256000</v>
      </c>
      <c r="M820" s="9">
        <f>Table1[[#This Row],[Unit Price]]*Table1[[#This Row],[Quantity]]</f>
        <v>320000</v>
      </c>
      <c r="N820" s="9">
        <f>Table1[[#This Row],[Cost Price]]*Table1[[#This Row],[Quantity]]</f>
        <v>256000</v>
      </c>
      <c r="O820" s="9">
        <f>Table1[[#This Row],[Revenue]]-Table1[[#This Row],[COGS]]</f>
        <v>64000</v>
      </c>
      <c r="P820" s="6">
        <v>819</v>
      </c>
    </row>
    <row r="821" spans="1:16">
      <c r="A821" s="7" t="s">
        <v>136</v>
      </c>
      <c r="B821" s="7" t="str">
        <f>TEXT(Table1[[#This Row],[Date]],"MMM")</f>
        <v>Feb</v>
      </c>
      <c r="C821" t="s">
        <v>49</v>
      </c>
      <c r="D821" t="s">
        <v>53</v>
      </c>
      <c r="E821" t="s">
        <v>41</v>
      </c>
      <c r="F821" t="s">
        <v>37</v>
      </c>
      <c r="G821" t="s">
        <v>46</v>
      </c>
      <c r="H821" t="s">
        <v>39</v>
      </c>
      <c r="I821" s="9">
        <v>60000</v>
      </c>
      <c r="J821">
        <v>8</v>
      </c>
      <c r="K821" t="s">
        <v>42</v>
      </c>
      <c r="L821" s="9">
        <f t="shared" si="12"/>
        <v>48000</v>
      </c>
      <c r="M821" s="9">
        <f>Table1[[#This Row],[Unit Price]]*Table1[[#This Row],[Quantity]]</f>
        <v>480000</v>
      </c>
      <c r="N821" s="9">
        <f>Table1[[#This Row],[Cost Price]]*Table1[[#This Row],[Quantity]]</f>
        <v>384000</v>
      </c>
      <c r="O821" s="9">
        <f>Table1[[#This Row],[Revenue]]-Table1[[#This Row],[COGS]]</f>
        <v>96000</v>
      </c>
      <c r="P821" s="6">
        <v>820</v>
      </c>
    </row>
    <row r="822" spans="1:16">
      <c r="A822" s="7" t="s">
        <v>156</v>
      </c>
      <c r="B822" s="7" t="str">
        <f>TEXT(Table1[[#This Row],[Date]],"MMM")</f>
        <v>Feb</v>
      </c>
      <c r="C822" t="s">
        <v>35</v>
      </c>
      <c r="D822" t="s">
        <v>45</v>
      </c>
      <c r="E822" t="s">
        <v>41</v>
      </c>
      <c r="F822" t="s">
        <v>37</v>
      </c>
      <c r="G822" t="s">
        <v>71</v>
      </c>
      <c r="H822" t="s">
        <v>51</v>
      </c>
      <c r="I822" s="9">
        <v>250000</v>
      </c>
      <c r="J822">
        <v>5</v>
      </c>
      <c r="K822" t="s">
        <v>58</v>
      </c>
      <c r="L822" s="9">
        <f t="shared" si="12"/>
        <v>200000</v>
      </c>
      <c r="M822" s="9">
        <f>Table1[[#This Row],[Unit Price]]*Table1[[#This Row],[Quantity]]</f>
        <v>1250000</v>
      </c>
      <c r="N822" s="9">
        <f>Table1[[#This Row],[Cost Price]]*Table1[[#This Row],[Quantity]]</f>
        <v>1000000</v>
      </c>
      <c r="O822" s="9">
        <f>Table1[[#This Row],[Revenue]]-Table1[[#This Row],[COGS]]</f>
        <v>250000</v>
      </c>
      <c r="P822" s="6">
        <v>821</v>
      </c>
    </row>
    <row r="823" spans="1:16">
      <c r="A823" s="7" t="s">
        <v>118</v>
      </c>
      <c r="B823" s="7" t="str">
        <f>TEXT(Table1[[#This Row],[Date]],"MMM")</f>
        <v>Mar</v>
      </c>
      <c r="C823" t="s">
        <v>27</v>
      </c>
      <c r="D823" t="s">
        <v>28</v>
      </c>
      <c r="E823" t="s">
        <v>41</v>
      </c>
      <c r="F823" t="s">
        <v>37</v>
      </c>
      <c r="G823" t="s">
        <v>56</v>
      </c>
      <c r="H823" t="s">
        <v>32</v>
      </c>
      <c r="I823" s="9">
        <v>320000</v>
      </c>
      <c r="J823">
        <v>2</v>
      </c>
      <c r="K823" t="s">
        <v>69</v>
      </c>
      <c r="L823" s="9">
        <f t="shared" si="12"/>
        <v>256000</v>
      </c>
      <c r="M823" s="9">
        <f>Table1[[#This Row],[Unit Price]]*Table1[[#This Row],[Quantity]]</f>
        <v>640000</v>
      </c>
      <c r="N823" s="9">
        <f>Table1[[#This Row],[Cost Price]]*Table1[[#This Row],[Quantity]]</f>
        <v>512000</v>
      </c>
      <c r="O823" s="9">
        <f>Table1[[#This Row],[Revenue]]-Table1[[#This Row],[COGS]]</f>
        <v>128000</v>
      </c>
      <c r="P823" s="6">
        <v>822</v>
      </c>
    </row>
    <row r="824" spans="1:16">
      <c r="A824" s="7" t="s">
        <v>124</v>
      </c>
      <c r="B824" s="7" t="str">
        <f>TEXT(Table1[[#This Row],[Date]],"MMM")</f>
        <v>Feb</v>
      </c>
      <c r="C824" t="s">
        <v>44</v>
      </c>
      <c r="D824" t="s">
        <v>45</v>
      </c>
      <c r="E824" t="s">
        <v>41</v>
      </c>
      <c r="F824" t="s">
        <v>30</v>
      </c>
      <c r="G824" t="s">
        <v>73</v>
      </c>
      <c r="H824" t="s">
        <v>39</v>
      </c>
      <c r="I824" s="9">
        <v>220000</v>
      </c>
      <c r="J824">
        <v>5</v>
      </c>
      <c r="K824" t="s">
        <v>42</v>
      </c>
      <c r="L824" s="9">
        <f t="shared" si="12"/>
        <v>176000</v>
      </c>
      <c r="M824" s="9">
        <f>Table1[[#This Row],[Unit Price]]*Table1[[#This Row],[Quantity]]</f>
        <v>1100000</v>
      </c>
      <c r="N824" s="9">
        <f>Table1[[#This Row],[Cost Price]]*Table1[[#This Row],[Quantity]]</f>
        <v>880000</v>
      </c>
      <c r="O824" s="9">
        <f>Table1[[#This Row],[Revenue]]-Table1[[#This Row],[COGS]]</f>
        <v>220000</v>
      </c>
      <c r="P824" s="6">
        <v>823</v>
      </c>
    </row>
    <row r="825" spans="1:16">
      <c r="A825" s="7" t="s">
        <v>96</v>
      </c>
      <c r="B825" s="7" t="str">
        <f>TEXT(Table1[[#This Row],[Date]],"MMM")</f>
        <v>Mar</v>
      </c>
      <c r="C825" t="s">
        <v>27</v>
      </c>
      <c r="D825" t="s">
        <v>36</v>
      </c>
      <c r="E825" t="s">
        <v>41</v>
      </c>
      <c r="F825" t="s">
        <v>37</v>
      </c>
      <c r="G825" t="s">
        <v>71</v>
      </c>
      <c r="H825" t="s">
        <v>51</v>
      </c>
      <c r="I825" s="9">
        <v>250000</v>
      </c>
      <c r="J825">
        <v>3</v>
      </c>
      <c r="K825" t="s">
        <v>33</v>
      </c>
      <c r="L825" s="9">
        <f t="shared" si="12"/>
        <v>200000</v>
      </c>
      <c r="M825" s="9">
        <f>Table1[[#This Row],[Unit Price]]*Table1[[#This Row],[Quantity]]</f>
        <v>750000</v>
      </c>
      <c r="N825" s="9">
        <f>Table1[[#This Row],[Cost Price]]*Table1[[#This Row],[Quantity]]</f>
        <v>600000</v>
      </c>
      <c r="O825" s="9">
        <f>Table1[[#This Row],[Revenue]]-Table1[[#This Row],[COGS]]</f>
        <v>150000</v>
      </c>
      <c r="P825" s="6">
        <v>824</v>
      </c>
    </row>
    <row r="826" spans="1:16">
      <c r="A826" s="7" t="s">
        <v>135</v>
      </c>
      <c r="B826" s="7" t="str">
        <f>TEXT(Table1[[#This Row],[Date]],"MMM")</f>
        <v>Mar</v>
      </c>
      <c r="C826" t="s">
        <v>27</v>
      </c>
      <c r="D826" t="s">
        <v>45</v>
      </c>
      <c r="E826" t="s">
        <v>29</v>
      </c>
      <c r="F826" t="s">
        <v>37</v>
      </c>
      <c r="G826" t="s">
        <v>31</v>
      </c>
      <c r="H826" t="s">
        <v>32</v>
      </c>
      <c r="I826" s="9">
        <v>85000</v>
      </c>
      <c r="J826">
        <v>10</v>
      </c>
      <c r="K826" t="s">
        <v>47</v>
      </c>
      <c r="L826" s="9">
        <f t="shared" si="12"/>
        <v>68000</v>
      </c>
      <c r="M826" s="9">
        <f>Table1[[#This Row],[Unit Price]]*Table1[[#This Row],[Quantity]]</f>
        <v>850000</v>
      </c>
      <c r="N826" s="9">
        <f>Table1[[#This Row],[Cost Price]]*Table1[[#This Row],[Quantity]]</f>
        <v>680000</v>
      </c>
      <c r="O826" s="9">
        <f>Table1[[#This Row],[Revenue]]-Table1[[#This Row],[COGS]]</f>
        <v>170000</v>
      </c>
      <c r="P826" s="6">
        <v>825</v>
      </c>
    </row>
    <row r="827" spans="1:16">
      <c r="A827" s="7" t="s">
        <v>144</v>
      </c>
      <c r="B827" s="7" t="str">
        <f>TEXT(Table1[[#This Row],[Date]],"MMM")</f>
        <v>Feb</v>
      </c>
      <c r="C827" t="s">
        <v>44</v>
      </c>
      <c r="D827" t="s">
        <v>28</v>
      </c>
      <c r="E827" t="s">
        <v>29</v>
      </c>
      <c r="F827" t="s">
        <v>37</v>
      </c>
      <c r="G827" t="s">
        <v>67</v>
      </c>
      <c r="H827" t="s">
        <v>51</v>
      </c>
      <c r="I827" s="9">
        <v>420000</v>
      </c>
      <c r="J827">
        <v>6</v>
      </c>
      <c r="K827" t="s">
        <v>58</v>
      </c>
      <c r="L827" s="9">
        <f t="shared" si="12"/>
        <v>336000</v>
      </c>
      <c r="M827" s="9">
        <f>Table1[[#This Row],[Unit Price]]*Table1[[#This Row],[Quantity]]</f>
        <v>2520000</v>
      </c>
      <c r="N827" s="9">
        <f>Table1[[#This Row],[Cost Price]]*Table1[[#This Row],[Quantity]]</f>
        <v>2016000</v>
      </c>
      <c r="O827" s="9">
        <f>Table1[[#This Row],[Revenue]]-Table1[[#This Row],[COGS]]</f>
        <v>504000</v>
      </c>
      <c r="P827" s="6">
        <v>826</v>
      </c>
    </row>
    <row r="828" spans="1:16">
      <c r="A828" s="7" t="s">
        <v>108</v>
      </c>
      <c r="B828" s="7" t="str">
        <f>TEXT(Table1[[#This Row],[Date]],"MMM")</f>
        <v>Apr</v>
      </c>
      <c r="C828" t="s">
        <v>49</v>
      </c>
      <c r="D828" t="s">
        <v>36</v>
      </c>
      <c r="E828" t="s">
        <v>29</v>
      </c>
      <c r="F828" t="s">
        <v>37</v>
      </c>
      <c r="G828" t="s">
        <v>62</v>
      </c>
      <c r="H828" t="s">
        <v>51</v>
      </c>
      <c r="I828" s="9">
        <v>150000</v>
      </c>
      <c r="J828">
        <v>5</v>
      </c>
      <c r="K828" t="s">
        <v>42</v>
      </c>
      <c r="L828" s="9">
        <f t="shared" si="12"/>
        <v>120000</v>
      </c>
      <c r="M828" s="9">
        <f>Table1[[#This Row],[Unit Price]]*Table1[[#This Row],[Quantity]]</f>
        <v>750000</v>
      </c>
      <c r="N828" s="9">
        <f>Table1[[#This Row],[Cost Price]]*Table1[[#This Row],[Quantity]]</f>
        <v>600000</v>
      </c>
      <c r="O828" s="9">
        <f>Table1[[#This Row],[Revenue]]-Table1[[#This Row],[COGS]]</f>
        <v>150000</v>
      </c>
      <c r="P828" s="6">
        <v>827</v>
      </c>
    </row>
    <row r="829" spans="1:16">
      <c r="A829" s="7" t="s">
        <v>149</v>
      </c>
      <c r="B829" s="7" t="str">
        <f>TEXT(Table1[[#This Row],[Date]],"MMM")</f>
        <v>Apr</v>
      </c>
      <c r="C829" t="s">
        <v>49</v>
      </c>
      <c r="D829" t="s">
        <v>28</v>
      </c>
      <c r="E829" t="s">
        <v>29</v>
      </c>
      <c r="F829" t="s">
        <v>37</v>
      </c>
      <c r="G829" t="s">
        <v>56</v>
      </c>
      <c r="H829" t="s">
        <v>32</v>
      </c>
      <c r="I829" s="9">
        <v>320000</v>
      </c>
      <c r="J829">
        <v>3</v>
      </c>
      <c r="K829" t="s">
        <v>65</v>
      </c>
      <c r="L829" s="9">
        <f t="shared" si="12"/>
        <v>256000</v>
      </c>
      <c r="M829" s="9">
        <f>Table1[[#This Row],[Unit Price]]*Table1[[#This Row],[Quantity]]</f>
        <v>960000</v>
      </c>
      <c r="N829" s="9">
        <f>Table1[[#This Row],[Cost Price]]*Table1[[#This Row],[Quantity]]</f>
        <v>768000</v>
      </c>
      <c r="O829" s="9">
        <f>Table1[[#This Row],[Revenue]]-Table1[[#This Row],[COGS]]</f>
        <v>192000</v>
      </c>
      <c r="P829" s="6">
        <v>828</v>
      </c>
    </row>
    <row r="830" spans="1:16">
      <c r="A830" s="7" t="s">
        <v>149</v>
      </c>
      <c r="B830" s="7" t="str">
        <f>TEXT(Table1[[#This Row],[Date]],"MMM")</f>
        <v>Apr</v>
      </c>
      <c r="C830" t="s">
        <v>49</v>
      </c>
      <c r="D830" t="s">
        <v>53</v>
      </c>
      <c r="E830" t="s">
        <v>41</v>
      </c>
      <c r="F830" t="s">
        <v>30</v>
      </c>
      <c r="G830" t="s">
        <v>38</v>
      </c>
      <c r="H830" t="s">
        <v>39</v>
      </c>
      <c r="I830" s="9">
        <v>30000</v>
      </c>
      <c r="J830">
        <v>1</v>
      </c>
      <c r="K830" t="s">
        <v>58</v>
      </c>
      <c r="L830" s="9">
        <f t="shared" si="12"/>
        <v>24000</v>
      </c>
      <c r="M830" s="9">
        <f>Table1[[#This Row],[Unit Price]]*Table1[[#This Row],[Quantity]]</f>
        <v>30000</v>
      </c>
      <c r="N830" s="9">
        <f>Table1[[#This Row],[Cost Price]]*Table1[[#This Row],[Quantity]]</f>
        <v>24000</v>
      </c>
      <c r="O830" s="9">
        <f>Table1[[#This Row],[Revenue]]-Table1[[#This Row],[COGS]]</f>
        <v>6000</v>
      </c>
      <c r="P830" s="6">
        <v>829</v>
      </c>
    </row>
    <row r="831" spans="1:16">
      <c r="A831" s="7" t="s">
        <v>88</v>
      </c>
      <c r="B831" s="7" t="str">
        <f>TEXT(Table1[[#This Row],[Date]],"MMM")</f>
        <v>Feb</v>
      </c>
      <c r="C831" t="s">
        <v>27</v>
      </c>
      <c r="D831" t="s">
        <v>45</v>
      </c>
      <c r="E831" t="s">
        <v>29</v>
      </c>
      <c r="F831" t="s">
        <v>30</v>
      </c>
      <c r="G831" t="s">
        <v>54</v>
      </c>
      <c r="H831" t="s">
        <v>39</v>
      </c>
      <c r="I831" s="9">
        <v>180000</v>
      </c>
      <c r="J831">
        <v>10</v>
      </c>
      <c r="K831" t="s">
        <v>58</v>
      </c>
      <c r="L831" s="9">
        <f t="shared" si="12"/>
        <v>144000</v>
      </c>
      <c r="M831" s="9">
        <f>Table1[[#This Row],[Unit Price]]*Table1[[#This Row],[Quantity]]</f>
        <v>1800000</v>
      </c>
      <c r="N831" s="9">
        <f>Table1[[#This Row],[Cost Price]]*Table1[[#This Row],[Quantity]]</f>
        <v>1440000</v>
      </c>
      <c r="O831" s="9">
        <f>Table1[[#This Row],[Revenue]]-Table1[[#This Row],[COGS]]</f>
        <v>360000</v>
      </c>
      <c r="P831" s="6">
        <v>830</v>
      </c>
    </row>
    <row r="832" spans="1:16">
      <c r="A832" s="7" t="s">
        <v>158</v>
      </c>
      <c r="B832" s="7" t="str">
        <f>TEXT(Table1[[#This Row],[Date]],"MMM")</f>
        <v>Jan</v>
      </c>
      <c r="C832" t="s">
        <v>44</v>
      </c>
      <c r="D832" t="s">
        <v>28</v>
      </c>
      <c r="E832" t="s">
        <v>41</v>
      </c>
      <c r="F832" t="s">
        <v>37</v>
      </c>
      <c r="G832" t="s">
        <v>54</v>
      </c>
      <c r="H832" t="s">
        <v>39</v>
      </c>
      <c r="I832" s="9">
        <v>180000</v>
      </c>
      <c r="J832">
        <v>3</v>
      </c>
      <c r="K832" t="s">
        <v>33</v>
      </c>
      <c r="L832" s="9">
        <f t="shared" si="12"/>
        <v>144000</v>
      </c>
      <c r="M832" s="9">
        <f>Table1[[#This Row],[Unit Price]]*Table1[[#This Row],[Quantity]]</f>
        <v>540000</v>
      </c>
      <c r="N832" s="9">
        <f>Table1[[#This Row],[Cost Price]]*Table1[[#This Row],[Quantity]]</f>
        <v>432000</v>
      </c>
      <c r="O832" s="9">
        <f>Table1[[#This Row],[Revenue]]-Table1[[#This Row],[COGS]]</f>
        <v>108000</v>
      </c>
      <c r="P832" s="6">
        <v>831</v>
      </c>
    </row>
    <row r="833" spans="1:16">
      <c r="A833" s="7" t="s">
        <v>148</v>
      </c>
      <c r="B833" s="7" t="str">
        <f>TEXT(Table1[[#This Row],[Date]],"MMM")</f>
        <v>Feb</v>
      </c>
      <c r="C833" t="s">
        <v>35</v>
      </c>
      <c r="D833" t="s">
        <v>28</v>
      </c>
      <c r="E833" t="s">
        <v>41</v>
      </c>
      <c r="F833" t="s">
        <v>30</v>
      </c>
      <c r="G833" t="s">
        <v>67</v>
      </c>
      <c r="H833" t="s">
        <v>51</v>
      </c>
      <c r="I833" s="9">
        <v>420000</v>
      </c>
      <c r="J833">
        <v>3</v>
      </c>
      <c r="K833" t="s">
        <v>42</v>
      </c>
      <c r="L833" s="9">
        <f t="shared" si="12"/>
        <v>336000</v>
      </c>
      <c r="M833" s="9">
        <f>Table1[[#This Row],[Unit Price]]*Table1[[#This Row],[Quantity]]</f>
        <v>1260000</v>
      </c>
      <c r="N833" s="9">
        <f>Table1[[#This Row],[Cost Price]]*Table1[[#This Row],[Quantity]]</f>
        <v>1008000</v>
      </c>
      <c r="O833" s="9">
        <f>Table1[[#This Row],[Revenue]]-Table1[[#This Row],[COGS]]</f>
        <v>252000</v>
      </c>
      <c r="P833" s="6">
        <v>832</v>
      </c>
    </row>
    <row r="834" spans="1:16">
      <c r="A834" s="7" t="s">
        <v>168</v>
      </c>
      <c r="B834" s="7" t="str">
        <f>TEXT(Table1[[#This Row],[Date]],"MMM")</f>
        <v>Apr</v>
      </c>
      <c r="C834" t="s">
        <v>35</v>
      </c>
      <c r="D834" t="s">
        <v>36</v>
      </c>
      <c r="E834" t="s">
        <v>29</v>
      </c>
      <c r="F834" t="s">
        <v>30</v>
      </c>
      <c r="G834" t="s">
        <v>73</v>
      </c>
      <c r="H834" t="s">
        <v>39</v>
      </c>
      <c r="I834" s="9">
        <v>220000</v>
      </c>
      <c r="J834">
        <v>6</v>
      </c>
      <c r="K834" t="s">
        <v>65</v>
      </c>
      <c r="L834" s="9">
        <f t="shared" ref="L834:L897" si="13">I834-I834*0.2</f>
        <v>176000</v>
      </c>
      <c r="M834" s="9">
        <f>Table1[[#This Row],[Unit Price]]*Table1[[#This Row],[Quantity]]</f>
        <v>1320000</v>
      </c>
      <c r="N834" s="9">
        <f>Table1[[#This Row],[Cost Price]]*Table1[[#This Row],[Quantity]]</f>
        <v>1056000</v>
      </c>
      <c r="O834" s="9">
        <f>Table1[[#This Row],[Revenue]]-Table1[[#This Row],[COGS]]</f>
        <v>264000</v>
      </c>
      <c r="P834" s="6">
        <v>833</v>
      </c>
    </row>
    <row r="835" spans="1:16">
      <c r="A835" s="7" t="s">
        <v>97</v>
      </c>
      <c r="B835" s="7" t="str">
        <f>TEXT(Table1[[#This Row],[Date]],"MMM")</f>
        <v>Jan</v>
      </c>
      <c r="C835" t="s">
        <v>44</v>
      </c>
      <c r="D835" t="s">
        <v>45</v>
      </c>
      <c r="E835" t="s">
        <v>29</v>
      </c>
      <c r="F835" t="s">
        <v>30</v>
      </c>
      <c r="G835" t="s">
        <v>46</v>
      </c>
      <c r="H835" t="s">
        <v>39</v>
      </c>
      <c r="I835" s="9">
        <v>60000</v>
      </c>
      <c r="J835">
        <v>10</v>
      </c>
      <c r="K835" t="s">
        <v>58</v>
      </c>
      <c r="L835" s="9">
        <f t="shared" si="13"/>
        <v>48000</v>
      </c>
      <c r="M835" s="9">
        <f>Table1[[#This Row],[Unit Price]]*Table1[[#This Row],[Quantity]]</f>
        <v>600000</v>
      </c>
      <c r="N835" s="9">
        <f>Table1[[#This Row],[Cost Price]]*Table1[[#This Row],[Quantity]]</f>
        <v>480000</v>
      </c>
      <c r="O835" s="9">
        <f>Table1[[#This Row],[Revenue]]-Table1[[#This Row],[COGS]]</f>
        <v>120000</v>
      </c>
      <c r="P835" s="6">
        <v>834</v>
      </c>
    </row>
    <row r="836" spans="1:16">
      <c r="A836" s="7" t="s">
        <v>82</v>
      </c>
      <c r="B836" s="7" t="str">
        <f>TEXT(Table1[[#This Row],[Date]],"MMM")</f>
        <v>Mar</v>
      </c>
      <c r="C836" t="s">
        <v>44</v>
      </c>
      <c r="D836" t="s">
        <v>36</v>
      </c>
      <c r="E836" t="s">
        <v>29</v>
      </c>
      <c r="F836" t="s">
        <v>37</v>
      </c>
      <c r="G836" t="s">
        <v>54</v>
      </c>
      <c r="H836" t="s">
        <v>39</v>
      </c>
      <c r="I836" s="9">
        <v>180000</v>
      </c>
      <c r="J836">
        <v>10</v>
      </c>
      <c r="K836" t="s">
        <v>47</v>
      </c>
      <c r="L836" s="9">
        <f t="shared" si="13"/>
        <v>144000</v>
      </c>
      <c r="M836" s="9">
        <f>Table1[[#This Row],[Unit Price]]*Table1[[#This Row],[Quantity]]</f>
        <v>1800000</v>
      </c>
      <c r="N836" s="9">
        <f>Table1[[#This Row],[Cost Price]]*Table1[[#This Row],[Quantity]]</f>
        <v>1440000</v>
      </c>
      <c r="O836" s="9">
        <f>Table1[[#This Row],[Revenue]]-Table1[[#This Row],[COGS]]</f>
        <v>360000</v>
      </c>
      <c r="P836" s="6">
        <v>835</v>
      </c>
    </row>
    <row r="837" spans="1:16">
      <c r="A837" s="7" t="s">
        <v>121</v>
      </c>
      <c r="B837" s="7" t="str">
        <f>TEXT(Table1[[#This Row],[Date]],"MMM")</f>
        <v>Apr</v>
      </c>
      <c r="C837" t="s">
        <v>35</v>
      </c>
      <c r="D837" t="s">
        <v>28</v>
      </c>
      <c r="E837" t="s">
        <v>41</v>
      </c>
      <c r="F837" t="s">
        <v>37</v>
      </c>
      <c r="G837" t="s">
        <v>73</v>
      </c>
      <c r="H837" t="s">
        <v>39</v>
      </c>
      <c r="I837" s="9">
        <v>220000</v>
      </c>
      <c r="J837">
        <v>4</v>
      </c>
      <c r="K837" t="s">
        <v>42</v>
      </c>
      <c r="L837" s="9">
        <f t="shared" si="13"/>
        <v>176000</v>
      </c>
      <c r="M837" s="9">
        <f>Table1[[#This Row],[Unit Price]]*Table1[[#This Row],[Quantity]]</f>
        <v>880000</v>
      </c>
      <c r="N837" s="9">
        <f>Table1[[#This Row],[Cost Price]]*Table1[[#This Row],[Quantity]]</f>
        <v>704000</v>
      </c>
      <c r="O837" s="9">
        <f>Table1[[#This Row],[Revenue]]-Table1[[#This Row],[COGS]]</f>
        <v>176000</v>
      </c>
      <c r="P837" s="6">
        <v>836</v>
      </c>
    </row>
    <row r="838" spans="1:16">
      <c r="A838" s="7" t="s">
        <v>87</v>
      </c>
      <c r="B838" s="7" t="str">
        <f>TEXT(Table1[[#This Row],[Date]],"MMM")</f>
        <v>Mar</v>
      </c>
      <c r="C838" t="s">
        <v>44</v>
      </c>
      <c r="D838" t="s">
        <v>53</v>
      </c>
      <c r="E838" t="s">
        <v>41</v>
      </c>
      <c r="F838" t="s">
        <v>37</v>
      </c>
      <c r="G838" t="s">
        <v>71</v>
      </c>
      <c r="H838" t="s">
        <v>51</v>
      </c>
      <c r="I838" s="9">
        <v>250000</v>
      </c>
      <c r="J838">
        <v>4</v>
      </c>
      <c r="K838" t="s">
        <v>58</v>
      </c>
      <c r="L838" s="9">
        <f t="shared" si="13"/>
        <v>200000</v>
      </c>
      <c r="M838" s="9">
        <f>Table1[[#This Row],[Unit Price]]*Table1[[#This Row],[Quantity]]</f>
        <v>1000000</v>
      </c>
      <c r="N838" s="9">
        <f>Table1[[#This Row],[Cost Price]]*Table1[[#This Row],[Quantity]]</f>
        <v>800000</v>
      </c>
      <c r="O838" s="9">
        <f>Table1[[#This Row],[Revenue]]-Table1[[#This Row],[COGS]]</f>
        <v>200000</v>
      </c>
      <c r="P838" s="6">
        <v>837</v>
      </c>
    </row>
    <row r="839" spans="1:16">
      <c r="A839" s="7" t="s">
        <v>105</v>
      </c>
      <c r="B839" s="7" t="str">
        <f>TEXT(Table1[[#This Row],[Date]],"MMM")</f>
        <v>Mar</v>
      </c>
      <c r="C839" t="s">
        <v>44</v>
      </c>
      <c r="D839" t="s">
        <v>36</v>
      </c>
      <c r="E839" t="s">
        <v>41</v>
      </c>
      <c r="F839" t="s">
        <v>37</v>
      </c>
      <c r="G839" t="s">
        <v>38</v>
      </c>
      <c r="H839" t="s">
        <v>39</v>
      </c>
      <c r="I839" s="9">
        <v>30000</v>
      </c>
      <c r="J839">
        <v>2</v>
      </c>
      <c r="K839" t="s">
        <v>69</v>
      </c>
      <c r="L839" s="9">
        <f t="shared" si="13"/>
        <v>24000</v>
      </c>
      <c r="M839" s="9">
        <f>Table1[[#This Row],[Unit Price]]*Table1[[#This Row],[Quantity]]</f>
        <v>60000</v>
      </c>
      <c r="N839" s="9">
        <f>Table1[[#This Row],[Cost Price]]*Table1[[#This Row],[Quantity]]</f>
        <v>48000</v>
      </c>
      <c r="O839" s="9">
        <f>Table1[[#This Row],[Revenue]]-Table1[[#This Row],[COGS]]</f>
        <v>12000</v>
      </c>
      <c r="P839" s="6">
        <v>838</v>
      </c>
    </row>
    <row r="840" spans="1:16">
      <c r="A840" s="7" t="s">
        <v>48</v>
      </c>
      <c r="B840" s="7" t="str">
        <f>TEXT(Table1[[#This Row],[Date]],"MMM")</f>
        <v>Apr</v>
      </c>
      <c r="C840" t="s">
        <v>27</v>
      </c>
      <c r="D840" t="s">
        <v>45</v>
      </c>
      <c r="E840" t="s">
        <v>29</v>
      </c>
      <c r="F840" t="s">
        <v>37</v>
      </c>
      <c r="G840" t="s">
        <v>54</v>
      </c>
      <c r="H840" t="s">
        <v>39</v>
      </c>
      <c r="I840" s="9">
        <v>180000</v>
      </c>
      <c r="J840">
        <v>6</v>
      </c>
      <c r="K840" t="s">
        <v>47</v>
      </c>
      <c r="L840" s="9">
        <f t="shared" si="13"/>
        <v>144000</v>
      </c>
      <c r="M840" s="9">
        <f>Table1[[#This Row],[Unit Price]]*Table1[[#This Row],[Quantity]]</f>
        <v>1080000</v>
      </c>
      <c r="N840" s="9">
        <f>Table1[[#This Row],[Cost Price]]*Table1[[#This Row],[Quantity]]</f>
        <v>864000</v>
      </c>
      <c r="O840" s="9">
        <f>Table1[[#This Row],[Revenue]]-Table1[[#This Row],[COGS]]</f>
        <v>216000</v>
      </c>
      <c r="P840" s="6">
        <v>839</v>
      </c>
    </row>
    <row r="841" spans="1:16">
      <c r="A841" s="7" t="s">
        <v>146</v>
      </c>
      <c r="B841" s="7" t="str">
        <f>TEXT(Table1[[#This Row],[Date]],"MMM")</f>
        <v>Jan</v>
      </c>
      <c r="C841" t="s">
        <v>44</v>
      </c>
      <c r="D841" t="s">
        <v>53</v>
      </c>
      <c r="E841" t="s">
        <v>41</v>
      </c>
      <c r="F841" t="s">
        <v>37</v>
      </c>
      <c r="G841" t="s">
        <v>54</v>
      </c>
      <c r="H841" t="s">
        <v>39</v>
      </c>
      <c r="I841" s="9">
        <v>180000</v>
      </c>
      <c r="J841">
        <v>8</v>
      </c>
      <c r="K841" t="s">
        <v>69</v>
      </c>
      <c r="L841" s="9">
        <f t="shared" si="13"/>
        <v>144000</v>
      </c>
      <c r="M841" s="9">
        <f>Table1[[#This Row],[Unit Price]]*Table1[[#This Row],[Quantity]]</f>
        <v>1440000</v>
      </c>
      <c r="N841" s="9">
        <f>Table1[[#This Row],[Cost Price]]*Table1[[#This Row],[Quantity]]</f>
        <v>1152000</v>
      </c>
      <c r="O841" s="9">
        <f>Table1[[#This Row],[Revenue]]-Table1[[#This Row],[COGS]]</f>
        <v>288000</v>
      </c>
      <c r="P841" s="6">
        <v>840</v>
      </c>
    </row>
    <row r="842" spans="1:16">
      <c r="A842" s="7" t="s">
        <v>82</v>
      </c>
      <c r="B842" s="7" t="str">
        <f>TEXT(Table1[[#This Row],[Date]],"MMM")</f>
        <v>Mar</v>
      </c>
      <c r="C842" t="s">
        <v>27</v>
      </c>
      <c r="D842" t="s">
        <v>36</v>
      </c>
      <c r="E842" t="s">
        <v>41</v>
      </c>
      <c r="F842" t="s">
        <v>37</v>
      </c>
      <c r="G842" t="s">
        <v>67</v>
      </c>
      <c r="H842" t="s">
        <v>51</v>
      </c>
      <c r="I842" s="9">
        <v>420000</v>
      </c>
      <c r="J842">
        <v>3</v>
      </c>
      <c r="K842" t="s">
        <v>33</v>
      </c>
      <c r="L842" s="9">
        <f t="shared" si="13"/>
        <v>336000</v>
      </c>
      <c r="M842" s="9">
        <f>Table1[[#This Row],[Unit Price]]*Table1[[#This Row],[Quantity]]</f>
        <v>1260000</v>
      </c>
      <c r="N842" s="9">
        <f>Table1[[#This Row],[Cost Price]]*Table1[[#This Row],[Quantity]]</f>
        <v>1008000</v>
      </c>
      <c r="O842" s="9">
        <f>Table1[[#This Row],[Revenue]]-Table1[[#This Row],[COGS]]</f>
        <v>252000</v>
      </c>
      <c r="P842" s="6">
        <v>841</v>
      </c>
    </row>
    <row r="843" spans="1:16">
      <c r="A843" s="7" t="s">
        <v>108</v>
      </c>
      <c r="B843" s="7" t="str">
        <f>TEXT(Table1[[#This Row],[Date]],"MMM")</f>
        <v>Apr</v>
      </c>
      <c r="C843" t="s">
        <v>49</v>
      </c>
      <c r="D843" t="s">
        <v>45</v>
      </c>
      <c r="E843" t="s">
        <v>41</v>
      </c>
      <c r="F843" t="s">
        <v>30</v>
      </c>
      <c r="G843" t="s">
        <v>38</v>
      </c>
      <c r="H843" t="s">
        <v>39</v>
      </c>
      <c r="I843" s="9">
        <v>30000</v>
      </c>
      <c r="J843">
        <v>10</v>
      </c>
      <c r="K843" t="s">
        <v>47</v>
      </c>
      <c r="L843" s="9">
        <f t="shared" si="13"/>
        <v>24000</v>
      </c>
      <c r="M843" s="9">
        <f>Table1[[#This Row],[Unit Price]]*Table1[[#This Row],[Quantity]]</f>
        <v>300000</v>
      </c>
      <c r="N843" s="9">
        <f>Table1[[#This Row],[Cost Price]]*Table1[[#This Row],[Quantity]]</f>
        <v>240000</v>
      </c>
      <c r="O843" s="9">
        <f>Table1[[#This Row],[Revenue]]-Table1[[#This Row],[COGS]]</f>
        <v>60000</v>
      </c>
      <c r="P843" s="6">
        <v>842</v>
      </c>
    </row>
    <row r="844" spans="1:16">
      <c r="A844" s="7" t="s">
        <v>159</v>
      </c>
      <c r="B844" s="7" t="str">
        <f>TEXT(Table1[[#This Row],[Date]],"MMM")</f>
        <v>Feb</v>
      </c>
      <c r="C844" t="s">
        <v>35</v>
      </c>
      <c r="D844" t="s">
        <v>45</v>
      </c>
      <c r="E844" t="s">
        <v>41</v>
      </c>
      <c r="F844" t="s">
        <v>30</v>
      </c>
      <c r="G844" t="s">
        <v>31</v>
      </c>
      <c r="H844" t="s">
        <v>32</v>
      </c>
      <c r="I844" s="9">
        <v>85000</v>
      </c>
      <c r="J844">
        <v>7</v>
      </c>
      <c r="K844" t="s">
        <v>69</v>
      </c>
      <c r="L844" s="9">
        <f t="shared" si="13"/>
        <v>68000</v>
      </c>
      <c r="M844" s="9">
        <f>Table1[[#This Row],[Unit Price]]*Table1[[#This Row],[Quantity]]</f>
        <v>595000</v>
      </c>
      <c r="N844" s="9">
        <f>Table1[[#This Row],[Cost Price]]*Table1[[#This Row],[Quantity]]</f>
        <v>476000</v>
      </c>
      <c r="O844" s="9">
        <f>Table1[[#This Row],[Revenue]]-Table1[[#This Row],[COGS]]</f>
        <v>119000</v>
      </c>
      <c r="P844" s="6">
        <v>843</v>
      </c>
    </row>
    <row r="845" spans="1:16">
      <c r="A845" s="7" t="s">
        <v>140</v>
      </c>
      <c r="B845" s="7" t="str">
        <f>TEXT(Table1[[#This Row],[Date]],"MMM")</f>
        <v>Apr</v>
      </c>
      <c r="C845" t="s">
        <v>27</v>
      </c>
      <c r="D845" t="s">
        <v>28</v>
      </c>
      <c r="E845" t="s">
        <v>29</v>
      </c>
      <c r="F845" t="s">
        <v>37</v>
      </c>
      <c r="G845" t="s">
        <v>38</v>
      </c>
      <c r="H845" t="s">
        <v>39</v>
      </c>
      <c r="I845" s="9">
        <v>30000</v>
      </c>
      <c r="J845">
        <v>5</v>
      </c>
      <c r="K845" t="s">
        <v>33</v>
      </c>
      <c r="L845" s="9">
        <f t="shared" si="13"/>
        <v>24000</v>
      </c>
      <c r="M845" s="9">
        <f>Table1[[#This Row],[Unit Price]]*Table1[[#This Row],[Quantity]]</f>
        <v>150000</v>
      </c>
      <c r="N845" s="9">
        <f>Table1[[#This Row],[Cost Price]]*Table1[[#This Row],[Quantity]]</f>
        <v>120000</v>
      </c>
      <c r="O845" s="9">
        <f>Table1[[#This Row],[Revenue]]-Table1[[#This Row],[COGS]]</f>
        <v>30000</v>
      </c>
      <c r="P845" s="6">
        <v>844</v>
      </c>
    </row>
    <row r="846" spans="1:16">
      <c r="A846" s="7" t="s">
        <v>82</v>
      </c>
      <c r="B846" s="7" t="str">
        <f>TEXT(Table1[[#This Row],[Date]],"MMM")</f>
        <v>Mar</v>
      </c>
      <c r="C846" t="s">
        <v>49</v>
      </c>
      <c r="D846" t="s">
        <v>28</v>
      </c>
      <c r="E846" t="s">
        <v>29</v>
      </c>
      <c r="F846" t="s">
        <v>37</v>
      </c>
      <c r="G846" t="s">
        <v>50</v>
      </c>
      <c r="H846" t="s">
        <v>51</v>
      </c>
      <c r="I846" s="9">
        <v>300000</v>
      </c>
      <c r="J846">
        <v>5</v>
      </c>
      <c r="K846" t="s">
        <v>69</v>
      </c>
      <c r="L846" s="9">
        <f t="shared" si="13"/>
        <v>240000</v>
      </c>
      <c r="M846" s="9">
        <f>Table1[[#This Row],[Unit Price]]*Table1[[#This Row],[Quantity]]</f>
        <v>1500000</v>
      </c>
      <c r="N846" s="9">
        <f>Table1[[#This Row],[Cost Price]]*Table1[[#This Row],[Quantity]]</f>
        <v>1200000</v>
      </c>
      <c r="O846" s="9">
        <f>Table1[[#This Row],[Revenue]]-Table1[[#This Row],[COGS]]</f>
        <v>300000</v>
      </c>
      <c r="P846" s="6">
        <v>845</v>
      </c>
    </row>
    <row r="847" spans="1:16">
      <c r="A847" s="7" t="s">
        <v>139</v>
      </c>
      <c r="B847" s="7" t="str">
        <f>TEXT(Table1[[#This Row],[Date]],"MMM")</f>
        <v>Jan</v>
      </c>
      <c r="C847" t="s">
        <v>27</v>
      </c>
      <c r="D847" t="s">
        <v>45</v>
      </c>
      <c r="E847" t="s">
        <v>41</v>
      </c>
      <c r="F847" t="s">
        <v>37</v>
      </c>
      <c r="G847" t="s">
        <v>31</v>
      </c>
      <c r="H847" t="s">
        <v>32</v>
      </c>
      <c r="I847" s="9">
        <v>85000</v>
      </c>
      <c r="J847">
        <v>8</v>
      </c>
      <c r="K847" t="s">
        <v>47</v>
      </c>
      <c r="L847" s="9">
        <f t="shared" si="13"/>
        <v>68000</v>
      </c>
      <c r="M847" s="9">
        <f>Table1[[#This Row],[Unit Price]]*Table1[[#This Row],[Quantity]]</f>
        <v>680000</v>
      </c>
      <c r="N847" s="9">
        <f>Table1[[#This Row],[Cost Price]]*Table1[[#This Row],[Quantity]]</f>
        <v>544000</v>
      </c>
      <c r="O847" s="9">
        <f>Table1[[#This Row],[Revenue]]-Table1[[#This Row],[COGS]]</f>
        <v>136000</v>
      </c>
      <c r="P847" s="6">
        <v>846</v>
      </c>
    </row>
    <row r="848" spans="1:16">
      <c r="A848" s="7" t="s">
        <v>70</v>
      </c>
      <c r="B848" s="7" t="str">
        <f>TEXT(Table1[[#This Row],[Date]],"MMM")</f>
        <v>Apr</v>
      </c>
      <c r="C848" t="s">
        <v>44</v>
      </c>
      <c r="D848" t="s">
        <v>53</v>
      </c>
      <c r="E848" t="s">
        <v>41</v>
      </c>
      <c r="F848" t="s">
        <v>37</v>
      </c>
      <c r="G848" t="s">
        <v>73</v>
      </c>
      <c r="H848" t="s">
        <v>39</v>
      </c>
      <c r="I848" s="9">
        <v>220000</v>
      </c>
      <c r="J848">
        <v>7</v>
      </c>
      <c r="K848" t="s">
        <v>42</v>
      </c>
      <c r="L848" s="9">
        <f t="shared" si="13"/>
        <v>176000</v>
      </c>
      <c r="M848" s="9">
        <f>Table1[[#This Row],[Unit Price]]*Table1[[#This Row],[Quantity]]</f>
        <v>1540000</v>
      </c>
      <c r="N848" s="9">
        <f>Table1[[#This Row],[Cost Price]]*Table1[[#This Row],[Quantity]]</f>
        <v>1232000</v>
      </c>
      <c r="O848" s="9">
        <f>Table1[[#This Row],[Revenue]]-Table1[[#This Row],[COGS]]</f>
        <v>308000</v>
      </c>
      <c r="P848" s="6">
        <v>847</v>
      </c>
    </row>
    <row r="849" spans="1:16">
      <c r="A849" s="7" t="s">
        <v>95</v>
      </c>
      <c r="B849" s="7" t="str">
        <f>TEXT(Table1[[#This Row],[Date]],"MMM")</f>
        <v>Feb</v>
      </c>
      <c r="C849" t="s">
        <v>49</v>
      </c>
      <c r="D849" t="s">
        <v>36</v>
      </c>
      <c r="E849" t="s">
        <v>29</v>
      </c>
      <c r="F849" t="s">
        <v>30</v>
      </c>
      <c r="G849" t="s">
        <v>31</v>
      </c>
      <c r="H849" t="s">
        <v>32</v>
      </c>
      <c r="I849" s="9">
        <v>85000</v>
      </c>
      <c r="J849">
        <v>8</v>
      </c>
      <c r="K849" t="s">
        <v>42</v>
      </c>
      <c r="L849" s="9">
        <f t="shared" si="13"/>
        <v>68000</v>
      </c>
      <c r="M849" s="9">
        <f>Table1[[#This Row],[Unit Price]]*Table1[[#This Row],[Quantity]]</f>
        <v>680000</v>
      </c>
      <c r="N849" s="9">
        <f>Table1[[#This Row],[Cost Price]]*Table1[[#This Row],[Quantity]]</f>
        <v>544000</v>
      </c>
      <c r="O849" s="9">
        <f>Table1[[#This Row],[Revenue]]-Table1[[#This Row],[COGS]]</f>
        <v>136000</v>
      </c>
      <c r="P849" s="6">
        <v>848</v>
      </c>
    </row>
    <row r="850" spans="1:16">
      <c r="A850" s="7" t="s">
        <v>169</v>
      </c>
      <c r="B850" s="7" t="str">
        <f>TEXT(Table1[[#This Row],[Date]],"MMM")</f>
        <v>Feb</v>
      </c>
      <c r="C850" t="s">
        <v>35</v>
      </c>
      <c r="D850" t="s">
        <v>53</v>
      </c>
      <c r="E850" t="s">
        <v>41</v>
      </c>
      <c r="F850" t="s">
        <v>30</v>
      </c>
      <c r="G850" t="s">
        <v>62</v>
      </c>
      <c r="H850" t="s">
        <v>51</v>
      </c>
      <c r="I850" s="9">
        <v>150000</v>
      </c>
      <c r="J850">
        <v>5</v>
      </c>
      <c r="K850" t="s">
        <v>58</v>
      </c>
      <c r="L850" s="9">
        <f t="shared" si="13"/>
        <v>120000</v>
      </c>
      <c r="M850" s="9">
        <f>Table1[[#This Row],[Unit Price]]*Table1[[#This Row],[Quantity]]</f>
        <v>750000</v>
      </c>
      <c r="N850" s="9">
        <f>Table1[[#This Row],[Cost Price]]*Table1[[#This Row],[Quantity]]</f>
        <v>600000</v>
      </c>
      <c r="O850" s="9">
        <f>Table1[[#This Row],[Revenue]]-Table1[[#This Row],[COGS]]</f>
        <v>150000</v>
      </c>
      <c r="P850" s="6">
        <v>849</v>
      </c>
    </row>
    <row r="851" spans="1:16">
      <c r="A851" s="7" t="s">
        <v>106</v>
      </c>
      <c r="B851" s="7" t="str">
        <f>TEXT(Table1[[#This Row],[Date]],"MMM")</f>
        <v>Apr</v>
      </c>
      <c r="C851" t="s">
        <v>35</v>
      </c>
      <c r="D851" t="s">
        <v>28</v>
      </c>
      <c r="E851" t="s">
        <v>29</v>
      </c>
      <c r="F851" t="s">
        <v>37</v>
      </c>
      <c r="G851" t="s">
        <v>46</v>
      </c>
      <c r="H851" t="s">
        <v>39</v>
      </c>
      <c r="I851" s="9">
        <v>60000</v>
      </c>
      <c r="J851">
        <v>10</v>
      </c>
      <c r="K851" t="s">
        <v>42</v>
      </c>
      <c r="L851" s="9">
        <f t="shared" si="13"/>
        <v>48000</v>
      </c>
      <c r="M851" s="9">
        <f>Table1[[#This Row],[Unit Price]]*Table1[[#This Row],[Quantity]]</f>
        <v>600000</v>
      </c>
      <c r="N851" s="9">
        <f>Table1[[#This Row],[Cost Price]]*Table1[[#This Row],[Quantity]]</f>
        <v>480000</v>
      </c>
      <c r="O851" s="9">
        <f>Table1[[#This Row],[Revenue]]-Table1[[#This Row],[COGS]]</f>
        <v>120000</v>
      </c>
      <c r="P851" s="6">
        <v>850</v>
      </c>
    </row>
    <row r="852" spans="1:16">
      <c r="A852" s="7" t="s">
        <v>167</v>
      </c>
      <c r="B852" s="7" t="str">
        <f>TEXT(Table1[[#This Row],[Date]],"MMM")</f>
        <v>Apr</v>
      </c>
      <c r="C852" t="s">
        <v>27</v>
      </c>
      <c r="D852" t="s">
        <v>45</v>
      </c>
      <c r="E852" t="s">
        <v>41</v>
      </c>
      <c r="F852" t="s">
        <v>30</v>
      </c>
      <c r="G852" t="s">
        <v>73</v>
      </c>
      <c r="H852" t="s">
        <v>39</v>
      </c>
      <c r="I852" s="9">
        <v>220000</v>
      </c>
      <c r="J852">
        <v>1</v>
      </c>
      <c r="K852" t="s">
        <v>33</v>
      </c>
      <c r="L852" s="9">
        <f t="shared" si="13"/>
        <v>176000</v>
      </c>
      <c r="M852" s="9">
        <f>Table1[[#This Row],[Unit Price]]*Table1[[#This Row],[Quantity]]</f>
        <v>220000</v>
      </c>
      <c r="N852" s="9">
        <f>Table1[[#This Row],[Cost Price]]*Table1[[#This Row],[Quantity]]</f>
        <v>176000</v>
      </c>
      <c r="O852" s="9">
        <f>Table1[[#This Row],[Revenue]]-Table1[[#This Row],[COGS]]</f>
        <v>44000</v>
      </c>
      <c r="P852" s="6">
        <v>851</v>
      </c>
    </row>
    <row r="853" spans="1:16">
      <c r="A853" s="7" t="s">
        <v>95</v>
      </c>
      <c r="B853" s="7" t="str">
        <f>TEXT(Table1[[#This Row],[Date]],"MMM")</f>
        <v>Feb</v>
      </c>
      <c r="C853" t="s">
        <v>49</v>
      </c>
      <c r="D853" t="s">
        <v>36</v>
      </c>
      <c r="E853" t="s">
        <v>41</v>
      </c>
      <c r="F853" t="s">
        <v>30</v>
      </c>
      <c r="G853" t="s">
        <v>38</v>
      </c>
      <c r="H853" t="s">
        <v>39</v>
      </c>
      <c r="I853" s="9">
        <v>30000</v>
      </c>
      <c r="J853">
        <v>3</v>
      </c>
      <c r="K853" t="s">
        <v>47</v>
      </c>
      <c r="L853" s="9">
        <f t="shared" si="13"/>
        <v>24000</v>
      </c>
      <c r="M853" s="9">
        <f>Table1[[#This Row],[Unit Price]]*Table1[[#This Row],[Quantity]]</f>
        <v>90000</v>
      </c>
      <c r="N853" s="9">
        <f>Table1[[#This Row],[Cost Price]]*Table1[[#This Row],[Quantity]]</f>
        <v>72000</v>
      </c>
      <c r="O853" s="9">
        <f>Table1[[#This Row],[Revenue]]-Table1[[#This Row],[COGS]]</f>
        <v>18000</v>
      </c>
      <c r="P853" s="6">
        <v>852</v>
      </c>
    </row>
    <row r="854" spans="1:16">
      <c r="A854" s="7" t="s">
        <v>68</v>
      </c>
      <c r="B854" s="7" t="str">
        <f>TEXT(Table1[[#This Row],[Date]],"MMM")</f>
        <v>Mar</v>
      </c>
      <c r="C854" t="s">
        <v>44</v>
      </c>
      <c r="D854" t="s">
        <v>36</v>
      </c>
      <c r="E854" t="s">
        <v>41</v>
      </c>
      <c r="F854" t="s">
        <v>30</v>
      </c>
      <c r="G854" t="s">
        <v>67</v>
      </c>
      <c r="H854" t="s">
        <v>51</v>
      </c>
      <c r="I854" s="9">
        <v>420000</v>
      </c>
      <c r="J854">
        <v>1</v>
      </c>
      <c r="K854" t="s">
        <v>58</v>
      </c>
      <c r="L854" s="9">
        <f t="shared" si="13"/>
        <v>336000</v>
      </c>
      <c r="M854" s="9">
        <f>Table1[[#This Row],[Unit Price]]*Table1[[#This Row],[Quantity]]</f>
        <v>420000</v>
      </c>
      <c r="N854" s="9">
        <f>Table1[[#This Row],[Cost Price]]*Table1[[#This Row],[Quantity]]</f>
        <v>336000</v>
      </c>
      <c r="O854" s="9">
        <f>Table1[[#This Row],[Revenue]]-Table1[[#This Row],[COGS]]</f>
        <v>84000</v>
      </c>
      <c r="P854" s="6">
        <v>853</v>
      </c>
    </row>
    <row r="855" spans="1:16">
      <c r="A855" s="7" t="s">
        <v>105</v>
      </c>
      <c r="B855" s="7" t="str">
        <f>TEXT(Table1[[#This Row],[Date]],"MMM")</f>
        <v>Mar</v>
      </c>
      <c r="C855" t="s">
        <v>35</v>
      </c>
      <c r="D855" t="s">
        <v>28</v>
      </c>
      <c r="E855" t="s">
        <v>29</v>
      </c>
      <c r="F855" t="s">
        <v>37</v>
      </c>
      <c r="G855" t="s">
        <v>38</v>
      </c>
      <c r="H855" t="s">
        <v>39</v>
      </c>
      <c r="I855" s="9">
        <v>30000</v>
      </c>
      <c r="J855">
        <v>5</v>
      </c>
      <c r="K855" t="s">
        <v>69</v>
      </c>
      <c r="L855" s="9">
        <f t="shared" si="13"/>
        <v>24000</v>
      </c>
      <c r="M855" s="9">
        <f>Table1[[#This Row],[Unit Price]]*Table1[[#This Row],[Quantity]]</f>
        <v>150000</v>
      </c>
      <c r="N855" s="9">
        <f>Table1[[#This Row],[Cost Price]]*Table1[[#This Row],[Quantity]]</f>
        <v>120000</v>
      </c>
      <c r="O855" s="9">
        <f>Table1[[#This Row],[Revenue]]-Table1[[#This Row],[COGS]]</f>
        <v>30000</v>
      </c>
      <c r="P855" s="6">
        <v>854</v>
      </c>
    </row>
    <row r="856" spans="1:16">
      <c r="A856" s="7" t="s">
        <v>104</v>
      </c>
      <c r="B856" s="7" t="str">
        <f>TEXT(Table1[[#This Row],[Date]],"MMM")</f>
        <v>Mar</v>
      </c>
      <c r="C856" t="s">
        <v>35</v>
      </c>
      <c r="D856" t="s">
        <v>53</v>
      </c>
      <c r="E856" t="s">
        <v>41</v>
      </c>
      <c r="F856" t="s">
        <v>30</v>
      </c>
      <c r="G856" t="s">
        <v>67</v>
      </c>
      <c r="H856" t="s">
        <v>51</v>
      </c>
      <c r="I856" s="9">
        <v>420000</v>
      </c>
      <c r="J856">
        <v>7</v>
      </c>
      <c r="K856" t="s">
        <v>33</v>
      </c>
      <c r="L856" s="9">
        <f t="shared" si="13"/>
        <v>336000</v>
      </c>
      <c r="M856" s="9">
        <f>Table1[[#This Row],[Unit Price]]*Table1[[#This Row],[Quantity]]</f>
        <v>2940000</v>
      </c>
      <c r="N856" s="9">
        <f>Table1[[#This Row],[Cost Price]]*Table1[[#This Row],[Quantity]]</f>
        <v>2352000</v>
      </c>
      <c r="O856" s="9">
        <f>Table1[[#This Row],[Revenue]]-Table1[[#This Row],[COGS]]</f>
        <v>588000</v>
      </c>
      <c r="P856" s="6">
        <v>855</v>
      </c>
    </row>
    <row r="857" spans="1:16">
      <c r="A857" s="7" t="s">
        <v>102</v>
      </c>
      <c r="B857" s="7" t="str">
        <f>TEXT(Table1[[#This Row],[Date]],"MMM")</f>
        <v>Mar</v>
      </c>
      <c r="C857" t="s">
        <v>44</v>
      </c>
      <c r="D857" t="s">
        <v>36</v>
      </c>
      <c r="E857" t="s">
        <v>29</v>
      </c>
      <c r="F857" t="s">
        <v>37</v>
      </c>
      <c r="G857" t="s">
        <v>54</v>
      </c>
      <c r="H857" t="s">
        <v>39</v>
      </c>
      <c r="I857" s="9">
        <v>180000</v>
      </c>
      <c r="J857">
        <v>8</v>
      </c>
      <c r="K857" t="s">
        <v>65</v>
      </c>
      <c r="L857" s="9">
        <f t="shared" si="13"/>
        <v>144000</v>
      </c>
      <c r="M857" s="9">
        <f>Table1[[#This Row],[Unit Price]]*Table1[[#This Row],[Quantity]]</f>
        <v>1440000</v>
      </c>
      <c r="N857" s="9">
        <f>Table1[[#This Row],[Cost Price]]*Table1[[#This Row],[Quantity]]</f>
        <v>1152000</v>
      </c>
      <c r="O857" s="9">
        <f>Table1[[#This Row],[Revenue]]-Table1[[#This Row],[COGS]]</f>
        <v>288000</v>
      </c>
      <c r="P857" s="6">
        <v>856</v>
      </c>
    </row>
    <row r="858" spans="1:16">
      <c r="A858" s="7" t="s">
        <v>138</v>
      </c>
      <c r="B858" s="7" t="str">
        <f>TEXT(Table1[[#This Row],[Date]],"MMM")</f>
        <v>Apr</v>
      </c>
      <c r="C858" t="s">
        <v>27</v>
      </c>
      <c r="D858" t="s">
        <v>53</v>
      </c>
      <c r="E858" t="s">
        <v>41</v>
      </c>
      <c r="F858" t="s">
        <v>37</v>
      </c>
      <c r="G858" t="s">
        <v>73</v>
      </c>
      <c r="H858" t="s">
        <v>39</v>
      </c>
      <c r="I858" s="9">
        <v>220000</v>
      </c>
      <c r="J858">
        <v>3</v>
      </c>
      <c r="K858" t="s">
        <v>47</v>
      </c>
      <c r="L858" s="9">
        <f t="shared" si="13"/>
        <v>176000</v>
      </c>
      <c r="M858" s="9">
        <f>Table1[[#This Row],[Unit Price]]*Table1[[#This Row],[Quantity]]</f>
        <v>660000</v>
      </c>
      <c r="N858" s="9">
        <f>Table1[[#This Row],[Cost Price]]*Table1[[#This Row],[Quantity]]</f>
        <v>528000</v>
      </c>
      <c r="O858" s="9">
        <f>Table1[[#This Row],[Revenue]]-Table1[[#This Row],[COGS]]</f>
        <v>132000</v>
      </c>
      <c r="P858" s="6">
        <v>857</v>
      </c>
    </row>
    <row r="859" spans="1:16">
      <c r="A859" s="7" t="s">
        <v>84</v>
      </c>
      <c r="B859" s="7" t="str">
        <f>TEXT(Table1[[#This Row],[Date]],"MMM")</f>
        <v>Jan</v>
      </c>
      <c r="C859" t="s">
        <v>35</v>
      </c>
      <c r="D859" t="s">
        <v>53</v>
      </c>
      <c r="E859" t="s">
        <v>29</v>
      </c>
      <c r="F859" t="s">
        <v>30</v>
      </c>
      <c r="G859" t="s">
        <v>67</v>
      </c>
      <c r="H859" t="s">
        <v>51</v>
      </c>
      <c r="I859" s="9">
        <v>420000</v>
      </c>
      <c r="J859">
        <v>3</v>
      </c>
      <c r="K859" t="s">
        <v>33</v>
      </c>
      <c r="L859" s="9">
        <f t="shared" si="13"/>
        <v>336000</v>
      </c>
      <c r="M859" s="9">
        <f>Table1[[#This Row],[Unit Price]]*Table1[[#This Row],[Quantity]]</f>
        <v>1260000</v>
      </c>
      <c r="N859" s="9">
        <f>Table1[[#This Row],[Cost Price]]*Table1[[#This Row],[Quantity]]</f>
        <v>1008000</v>
      </c>
      <c r="O859" s="9">
        <f>Table1[[#This Row],[Revenue]]-Table1[[#This Row],[COGS]]</f>
        <v>252000</v>
      </c>
      <c r="P859" s="6">
        <v>858</v>
      </c>
    </row>
    <row r="860" spans="1:16">
      <c r="A860" s="7" t="s">
        <v>145</v>
      </c>
      <c r="B860" s="7" t="str">
        <f>TEXT(Table1[[#This Row],[Date]],"MMM")</f>
        <v>Jan</v>
      </c>
      <c r="C860" t="s">
        <v>35</v>
      </c>
      <c r="D860" t="s">
        <v>45</v>
      </c>
      <c r="E860" t="s">
        <v>29</v>
      </c>
      <c r="F860" t="s">
        <v>30</v>
      </c>
      <c r="G860" t="s">
        <v>54</v>
      </c>
      <c r="H860" t="s">
        <v>39</v>
      </c>
      <c r="I860" s="9">
        <v>180000</v>
      </c>
      <c r="J860">
        <v>5</v>
      </c>
      <c r="K860" t="s">
        <v>69</v>
      </c>
      <c r="L860" s="9">
        <f t="shared" si="13"/>
        <v>144000</v>
      </c>
      <c r="M860" s="9">
        <f>Table1[[#This Row],[Unit Price]]*Table1[[#This Row],[Quantity]]</f>
        <v>900000</v>
      </c>
      <c r="N860" s="9">
        <f>Table1[[#This Row],[Cost Price]]*Table1[[#This Row],[Quantity]]</f>
        <v>720000</v>
      </c>
      <c r="O860" s="9">
        <f>Table1[[#This Row],[Revenue]]-Table1[[#This Row],[COGS]]</f>
        <v>180000</v>
      </c>
      <c r="P860" s="6">
        <v>859</v>
      </c>
    </row>
    <row r="861" spans="1:16">
      <c r="A861" s="7" t="s">
        <v>152</v>
      </c>
      <c r="B861" s="7" t="str">
        <f>TEXT(Table1[[#This Row],[Date]],"MMM")</f>
        <v>Jan</v>
      </c>
      <c r="C861" t="s">
        <v>27</v>
      </c>
      <c r="D861" t="s">
        <v>45</v>
      </c>
      <c r="E861" t="s">
        <v>41</v>
      </c>
      <c r="F861" t="s">
        <v>30</v>
      </c>
      <c r="G861" t="s">
        <v>73</v>
      </c>
      <c r="H861" t="s">
        <v>39</v>
      </c>
      <c r="I861" s="9">
        <v>220000</v>
      </c>
      <c r="J861">
        <v>5</v>
      </c>
      <c r="K861" t="s">
        <v>47</v>
      </c>
      <c r="L861" s="9">
        <f t="shared" si="13"/>
        <v>176000</v>
      </c>
      <c r="M861" s="9">
        <f>Table1[[#This Row],[Unit Price]]*Table1[[#This Row],[Quantity]]</f>
        <v>1100000</v>
      </c>
      <c r="N861" s="9">
        <f>Table1[[#This Row],[Cost Price]]*Table1[[#This Row],[Quantity]]</f>
        <v>880000</v>
      </c>
      <c r="O861" s="9">
        <f>Table1[[#This Row],[Revenue]]-Table1[[#This Row],[COGS]]</f>
        <v>220000</v>
      </c>
      <c r="P861" s="6">
        <v>860</v>
      </c>
    </row>
    <row r="862" spans="1:16">
      <c r="A862" s="7" t="s">
        <v>88</v>
      </c>
      <c r="B862" s="7" t="str">
        <f>TEXT(Table1[[#This Row],[Date]],"MMM")</f>
        <v>Feb</v>
      </c>
      <c r="C862" t="s">
        <v>49</v>
      </c>
      <c r="D862" t="s">
        <v>53</v>
      </c>
      <c r="E862" t="s">
        <v>41</v>
      </c>
      <c r="F862" t="s">
        <v>30</v>
      </c>
      <c r="G862" t="s">
        <v>71</v>
      </c>
      <c r="H862" t="s">
        <v>51</v>
      </c>
      <c r="I862" s="9">
        <v>250000</v>
      </c>
      <c r="J862">
        <v>2</v>
      </c>
      <c r="K862" t="s">
        <v>58</v>
      </c>
      <c r="L862" s="9">
        <f t="shared" si="13"/>
        <v>200000</v>
      </c>
      <c r="M862" s="9">
        <f>Table1[[#This Row],[Unit Price]]*Table1[[#This Row],[Quantity]]</f>
        <v>500000</v>
      </c>
      <c r="N862" s="9">
        <f>Table1[[#This Row],[Cost Price]]*Table1[[#This Row],[Quantity]]</f>
        <v>400000</v>
      </c>
      <c r="O862" s="9">
        <f>Table1[[#This Row],[Revenue]]-Table1[[#This Row],[COGS]]</f>
        <v>100000</v>
      </c>
      <c r="P862" s="6">
        <v>861</v>
      </c>
    </row>
    <row r="863" spans="1:16">
      <c r="A863" s="7" t="s">
        <v>143</v>
      </c>
      <c r="B863" s="7" t="str">
        <f>TEXT(Table1[[#This Row],[Date]],"MMM")</f>
        <v>Apr</v>
      </c>
      <c r="C863" t="s">
        <v>35</v>
      </c>
      <c r="D863" t="s">
        <v>45</v>
      </c>
      <c r="E863" t="s">
        <v>41</v>
      </c>
      <c r="F863" t="s">
        <v>30</v>
      </c>
      <c r="G863" t="s">
        <v>67</v>
      </c>
      <c r="H863" t="s">
        <v>51</v>
      </c>
      <c r="I863" s="9">
        <v>420000</v>
      </c>
      <c r="J863">
        <v>3</v>
      </c>
      <c r="K863" t="s">
        <v>58</v>
      </c>
      <c r="L863" s="9">
        <f t="shared" si="13"/>
        <v>336000</v>
      </c>
      <c r="M863" s="9">
        <f>Table1[[#This Row],[Unit Price]]*Table1[[#This Row],[Quantity]]</f>
        <v>1260000</v>
      </c>
      <c r="N863" s="9">
        <f>Table1[[#This Row],[Cost Price]]*Table1[[#This Row],[Quantity]]</f>
        <v>1008000</v>
      </c>
      <c r="O863" s="9">
        <f>Table1[[#This Row],[Revenue]]-Table1[[#This Row],[COGS]]</f>
        <v>252000</v>
      </c>
      <c r="P863" s="6">
        <v>862</v>
      </c>
    </row>
    <row r="864" spans="1:16">
      <c r="A864" s="7" t="s">
        <v>146</v>
      </c>
      <c r="B864" s="7" t="str">
        <f>TEXT(Table1[[#This Row],[Date]],"MMM")</f>
        <v>Jan</v>
      </c>
      <c r="C864" t="s">
        <v>35</v>
      </c>
      <c r="D864" t="s">
        <v>36</v>
      </c>
      <c r="E864" t="s">
        <v>41</v>
      </c>
      <c r="F864" t="s">
        <v>30</v>
      </c>
      <c r="G864" t="s">
        <v>67</v>
      </c>
      <c r="H864" t="s">
        <v>51</v>
      </c>
      <c r="I864" s="9">
        <v>420000</v>
      </c>
      <c r="J864">
        <v>8</v>
      </c>
      <c r="K864" t="s">
        <v>47</v>
      </c>
      <c r="L864" s="9">
        <f t="shared" si="13"/>
        <v>336000</v>
      </c>
      <c r="M864" s="9">
        <f>Table1[[#This Row],[Unit Price]]*Table1[[#This Row],[Quantity]]</f>
        <v>3360000</v>
      </c>
      <c r="N864" s="9">
        <f>Table1[[#This Row],[Cost Price]]*Table1[[#This Row],[Quantity]]</f>
        <v>2688000</v>
      </c>
      <c r="O864" s="9">
        <f>Table1[[#This Row],[Revenue]]-Table1[[#This Row],[COGS]]</f>
        <v>672000</v>
      </c>
      <c r="P864" s="6">
        <v>863</v>
      </c>
    </row>
    <row r="865" spans="1:16">
      <c r="A865" s="7" t="s">
        <v>106</v>
      </c>
      <c r="B865" s="7" t="str">
        <f>TEXT(Table1[[#This Row],[Date]],"MMM")</f>
        <v>Apr</v>
      </c>
      <c r="C865" t="s">
        <v>35</v>
      </c>
      <c r="D865" t="s">
        <v>28</v>
      </c>
      <c r="E865" t="s">
        <v>41</v>
      </c>
      <c r="F865" t="s">
        <v>30</v>
      </c>
      <c r="G865" t="s">
        <v>67</v>
      </c>
      <c r="H865" t="s">
        <v>51</v>
      </c>
      <c r="I865" s="9">
        <v>420000</v>
      </c>
      <c r="J865">
        <v>7</v>
      </c>
      <c r="K865" t="s">
        <v>33</v>
      </c>
      <c r="L865" s="9">
        <f t="shared" si="13"/>
        <v>336000</v>
      </c>
      <c r="M865" s="9">
        <f>Table1[[#This Row],[Unit Price]]*Table1[[#This Row],[Quantity]]</f>
        <v>2940000</v>
      </c>
      <c r="N865" s="9">
        <f>Table1[[#This Row],[Cost Price]]*Table1[[#This Row],[Quantity]]</f>
        <v>2352000</v>
      </c>
      <c r="O865" s="9">
        <f>Table1[[#This Row],[Revenue]]-Table1[[#This Row],[COGS]]</f>
        <v>588000</v>
      </c>
      <c r="P865" s="6">
        <v>864</v>
      </c>
    </row>
    <row r="866" spans="1:16">
      <c r="A866" s="7" t="s">
        <v>43</v>
      </c>
      <c r="B866" s="7" t="str">
        <f>TEXT(Table1[[#This Row],[Date]],"MMM")</f>
        <v>Apr</v>
      </c>
      <c r="C866" t="s">
        <v>27</v>
      </c>
      <c r="D866" t="s">
        <v>45</v>
      </c>
      <c r="E866" t="s">
        <v>41</v>
      </c>
      <c r="F866" t="s">
        <v>30</v>
      </c>
      <c r="G866" t="s">
        <v>56</v>
      </c>
      <c r="H866" t="s">
        <v>32</v>
      </c>
      <c r="I866" s="9">
        <v>320000</v>
      </c>
      <c r="J866">
        <v>6</v>
      </c>
      <c r="K866" t="s">
        <v>47</v>
      </c>
      <c r="L866" s="9">
        <f t="shared" si="13"/>
        <v>256000</v>
      </c>
      <c r="M866" s="9">
        <f>Table1[[#This Row],[Unit Price]]*Table1[[#This Row],[Quantity]]</f>
        <v>1920000</v>
      </c>
      <c r="N866" s="9">
        <f>Table1[[#This Row],[Cost Price]]*Table1[[#This Row],[Quantity]]</f>
        <v>1536000</v>
      </c>
      <c r="O866" s="9">
        <f>Table1[[#This Row],[Revenue]]-Table1[[#This Row],[COGS]]</f>
        <v>384000</v>
      </c>
      <c r="P866" s="6">
        <v>865</v>
      </c>
    </row>
    <row r="867" spans="1:16">
      <c r="A867" s="7" t="s">
        <v>79</v>
      </c>
      <c r="B867" s="7" t="str">
        <f>TEXT(Table1[[#This Row],[Date]],"MMM")</f>
        <v>Feb</v>
      </c>
      <c r="C867" t="s">
        <v>49</v>
      </c>
      <c r="D867" t="s">
        <v>45</v>
      </c>
      <c r="E867" t="s">
        <v>41</v>
      </c>
      <c r="F867" t="s">
        <v>30</v>
      </c>
      <c r="G867" t="s">
        <v>46</v>
      </c>
      <c r="H867" t="s">
        <v>39</v>
      </c>
      <c r="I867" s="9">
        <v>60000</v>
      </c>
      <c r="J867">
        <v>3</v>
      </c>
      <c r="K867" t="s">
        <v>47</v>
      </c>
      <c r="L867" s="9">
        <f t="shared" si="13"/>
        <v>48000</v>
      </c>
      <c r="M867" s="9">
        <f>Table1[[#This Row],[Unit Price]]*Table1[[#This Row],[Quantity]]</f>
        <v>180000</v>
      </c>
      <c r="N867" s="9">
        <f>Table1[[#This Row],[Cost Price]]*Table1[[#This Row],[Quantity]]</f>
        <v>144000</v>
      </c>
      <c r="O867" s="9">
        <f>Table1[[#This Row],[Revenue]]-Table1[[#This Row],[COGS]]</f>
        <v>36000</v>
      </c>
      <c r="P867" s="6">
        <v>866</v>
      </c>
    </row>
    <row r="868" spans="1:16">
      <c r="A868" s="7" t="s">
        <v>136</v>
      </c>
      <c r="B868" s="7" t="str">
        <f>TEXT(Table1[[#This Row],[Date]],"MMM")</f>
        <v>Feb</v>
      </c>
      <c r="C868" t="s">
        <v>27</v>
      </c>
      <c r="D868" t="s">
        <v>28</v>
      </c>
      <c r="E868" t="s">
        <v>41</v>
      </c>
      <c r="F868" t="s">
        <v>37</v>
      </c>
      <c r="G868" t="s">
        <v>31</v>
      </c>
      <c r="H868" t="s">
        <v>32</v>
      </c>
      <c r="I868" s="9">
        <v>85000</v>
      </c>
      <c r="J868">
        <v>8</v>
      </c>
      <c r="K868" t="s">
        <v>33</v>
      </c>
      <c r="L868" s="9">
        <f t="shared" si="13"/>
        <v>68000</v>
      </c>
      <c r="M868" s="9">
        <f>Table1[[#This Row],[Unit Price]]*Table1[[#This Row],[Quantity]]</f>
        <v>680000</v>
      </c>
      <c r="N868" s="9">
        <f>Table1[[#This Row],[Cost Price]]*Table1[[#This Row],[Quantity]]</f>
        <v>544000</v>
      </c>
      <c r="O868" s="9">
        <f>Table1[[#This Row],[Revenue]]-Table1[[#This Row],[COGS]]</f>
        <v>136000</v>
      </c>
      <c r="P868" s="6">
        <v>867</v>
      </c>
    </row>
    <row r="869" spans="1:16">
      <c r="A869" s="7" t="s">
        <v>63</v>
      </c>
      <c r="B869" s="7" t="str">
        <f>TEXT(Table1[[#This Row],[Date]],"MMM")</f>
        <v>Jan</v>
      </c>
      <c r="C869" t="s">
        <v>27</v>
      </c>
      <c r="D869" t="s">
        <v>28</v>
      </c>
      <c r="E869" t="s">
        <v>41</v>
      </c>
      <c r="F869" t="s">
        <v>37</v>
      </c>
      <c r="G869" t="s">
        <v>54</v>
      </c>
      <c r="H869" t="s">
        <v>39</v>
      </c>
      <c r="I869" s="9">
        <v>180000</v>
      </c>
      <c r="J869">
        <v>9</v>
      </c>
      <c r="K869" t="s">
        <v>58</v>
      </c>
      <c r="L869" s="9">
        <f t="shared" si="13"/>
        <v>144000</v>
      </c>
      <c r="M869" s="9">
        <f>Table1[[#This Row],[Unit Price]]*Table1[[#This Row],[Quantity]]</f>
        <v>1620000</v>
      </c>
      <c r="N869" s="9">
        <f>Table1[[#This Row],[Cost Price]]*Table1[[#This Row],[Quantity]]</f>
        <v>1296000</v>
      </c>
      <c r="O869" s="9">
        <f>Table1[[#This Row],[Revenue]]-Table1[[#This Row],[COGS]]</f>
        <v>324000</v>
      </c>
      <c r="P869" s="6">
        <v>868</v>
      </c>
    </row>
    <row r="870" spans="1:16">
      <c r="A870" s="7" t="s">
        <v>124</v>
      </c>
      <c r="B870" s="7" t="str">
        <f>TEXT(Table1[[#This Row],[Date]],"MMM")</f>
        <v>Feb</v>
      </c>
      <c r="C870" t="s">
        <v>27</v>
      </c>
      <c r="D870" t="s">
        <v>45</v>
      </c>
      <c r="E870" t="s">
        <v>41</v>
      </c>
      <c r="F870" t="s">
        <v>37</v>
      </c>
      <c r="G870" t="s">
        <v>73</v>
      </c>
      <c r="H870" t="s">
        <v>39</v>
      </c>
      <c r="I870" s="9">
        <v>220000</v>
      </c>
      <c r="J870">
        <v>5</v>
      </c>
      <c r="K870" t="s">
        <v>58</v>
      </c>
      <c r="L870" s="9">
        <f t="shared" si="13"/>
        <v>176000</v>
      </c>
      <c r="M870" s="9">
        <f>Table1[[#This Row],[Unit Price]]*Table1[[#This Row],[Quantity]]</f>
        <v>1100000</v>
      </c>
      <c r="N870" s="9">
        <f>Table1[[#This Row],[Cost Price]]*Table1[[#This Row],[Quantity]]</f>
        <v>880000</v>
      </c>
      <c r="O870" s="9">
        <f>Table1[[#This Row],[Revenue]]-Table1[[#This Row],[COGS]]</f>
        <v>220000</v>
      </c>
      <c r="P870" s="6">
        <v>869</v>
      </c>
    </row>
    <row r="871" spans="1:16">
      <c r="A871" s="7" t="s">
        <v>145</v>
      </c>
      <c r="B871" s="7" t="str">
        <f>TEXT(Table1[[#This Row],[Date]],"MMM")</f>
        <v>Jan</v>
      </c>
      <c r="C871" t="s">
        <v>44</v>
      </c>
      <c r="D871" t="s">
        <v>45</v>
      </c>
      <c r="E871" t="s">
        <v>41</v>
      </c>
      <c r="F871" t="s">
        <v>37</v>
      </c>
      <c r="G871" t="s">
        <v>54</v>
      </c>
      <c r="H871" t="s">
        <v>39</v>
      </c>
      <c r="I871" s="9">
        <v>180000</v>
      </c>
      <c r="J871">
        <v>5</v>
      </c>
      <c r="K871" t="s">
        <v>58</v>
      </c>
      <c r="L871" s="9">
        <f t="shared" si="13"/>
        <v>144000</v>
      </c>
      <c r="M871" s="9">
        <f>Table1[[#This Row],[Unit Price]]*Table1[[#This Row],[Quantity]]</f>
        <v>900000</v>
      </c>
      <c r="N871" s="9">
        <f>Table1[[#This Row],[Cost Price]]*Table1[[#This Row],[Quantity]]</f>
        <v>720000</v>
      </c>
      <c r="O871" s="9">
        <f>Table1[[#This Row],[Revenue]]-Table1[[#This Row],[COGS]]</f>
        <v>180000</v>
      </c>
      <c r="P871" s="6">
        <v>870</v>
      </c>
    </row>
    <row r="872" spans="1:16">
      <c r="A872" s="7" t="s">
        <v>118</v>
      </c>
      <c r="B872" s="7" t="str">
        <f>TEXT(Table1[[#This Row],[Date]],"MMM")</f>
        <v>Mar</v>
      </c>
      <c r="C872" t="s">
        <v>27</v>
      </c>
      <c r="D872" t="s">
        <v>36</v>
      </c>
      <c r="E872" t="s">
        <v>41</v>
      </c>
      <c r="F872" t="s">
        <v>30</v>
      </c>
      <c r="G872" t="s">
        <v>46</v>
      </c>
      <c r="H872" t="s">
        <v>39</v>
      </c>
      <c r="I872" s="9">
        <v>60000</v>
      </c>
      <c r="J872">
        <v>7</v>
      </c>
      <c r="K872" t="s">
        <v>33</v>
      </c>
      <c r="L872" s="9">
        <f t="shared" si="13"/>
        <v>48000</v>
      </c>
      <c r="M872" s="9">
        <f>Table1[[#This Row],[Unit Price]]*Table1[[#This Row],[Quantity]]</f>
        <v>420000</v>
      </c>
      <c r="N872" s="9">
        <f>Table1[[#This Row],[Cost Price]]*Table1[[#This Row],[Quantity]]</f>
        <v>336000</v>
      </c>
      <c r="O872" s="9">
        <f>Table1[[#This Row],[Revenue]]-Table1[[#This Row],[COGS]]</f>
        <v>84000</v>
      </c>
      <c r="P872" s="6">
        <v>871</v>
      </c>
    </row>
    <row r="873" spans="1:16">
      <c r="A873" s="7" t="s">
        <v>106</v>
      </c>
      <c r="B873" s="7" t="str">
        <f>TEXT(Table1[[#This Row],[Date]],"MMM")</f>
        <v>Apr</v>
      </c>
      <c r="C873" t="s">
        <v>44</v>
      </c>
      <c r="D873" t="s">
        <v>45</v>
      </c>
      <c r="E873" t="s">
        <v>41</v>
      </c>
      <c r="F873" t="s">
        <v>37</v>
      </c>
      <c r="G873" t="s">
        <v>62</v>
      </c>
      <c r="H873" t="s">
        <v>51</v>
      </c>
      <c r="I873" s="9">
        <v>150000</v>
      </c>
      <c r="J873">
        <v>7</v>
      </c>
      <c r="K873" t="s">
        <v>58</v>
      </c>
      <c r="L873" s="9">
        <f t="shared" si="13"/>
        <v>120000</v>
      </c>
      <c r="M873" s="9">
        <f>Table1[[#This Row],[Unit Price]]*Table1[[#This Row],[Quantity]]</f>
        <v>1050000</v>
      </c>
      <c r="N873" s="9">
        <f>Table1[[#This Row],[Cost Price]]*Table1[[#This Row],[Quantity]]</f>
        <v>840000</v>
      </c>
      <c r="O873" s="9">
        <f>Table1[[#This Row],[Revenue]]-Table1[[#This Row],[COGS]]</f>
        <v>210000</v>
      </c>
      <c r="P873" s="6">
        <v>872</v>
      </c>
    </row>
    <row r="874" spans="1:16">
      <c r="A874" s="7" t="s">
        <v>114</v>
      </c>
      <c r="B874" s="7" t="str">
        <f>TEXT(Table1[[#This Row],[Date]],"MMM")</f>
        <v>Apr</v>
      </c>
      <c r="C874" t="s">
        <v>35</v>
      </c>
      <c r="D874" t="s">
        <v>28</v>
      </c>
      <c r="E874" t="s">
        <v>41</v>
      </c>
      <c r="F874" t="s">
        <v>37</v>
      </c>
      <c r="G874" t="s">
        <v>38</v>
      </c>
      <c r="H874" t="s">
        <v>39</v>
      </c>
      <c r="I874" s="9">
        <v>30000</v>
      </c>
      <c r="J874">
        <v>4</v>
      </c>
      <c r="K874" t="s">
        <v>65</v>
      </c>
      <c r="L874" s="9">
        <f t="shared" si="13"/>
        <v>24000</v>
      </c>
      <c r="M874" s="9">
        <f>Table1[[#This Row],[Unit Price]]*Table1[[#This Row],[Quantity]]</f>
        <v>120000</v>
      </c>
      <c r="N874" s="9">
        <f>Table1[[#This Row],[Cost Price]]*Table1[[#This Row],[Quantity]]</f>
        <v>96000</v>
      </c>
      <c r="O874" s="9">
        <f>Table1[[#This Row],[Revenue]]-Table1[[#This Row],[COGS]]</f>
        <v>24000</v>
      </c>
      <c r="P874" s="6">
        <v>873</v>
      </c>
    </row>
    <row r="875" spans="1:16">
      <c r="A875" s="7" t="s">
        <v>158</v>
      </c>
      <c r="B875" s="7" t="str">
        <f>TEXT(Table1[[#This Row],[Date]],"MMM")</f>
        <v>Jan</v>
      </c>
      <c r="C875" t="s">
        <v>27</v>
      </c>
      <c r="D875" t="s">
        <v>53</v>
      </c>
      <c r="E875" t="s">
        <v>41</v>
      </c>
      <c r="F875" t="s">
        <v>37</v>
      </c>
      <c r="G875" t="s">
        <v>67</v>
      </c>
      <c r="H875" t="s">
        <v>51</v>
      </c>
      <c r="I875" s="9">
        <v>420000</v>
      </c>
      <c r="J875">
        <v>1</v>
      </c>
      <c r="K875" t="s">
        <v>65</v>
      </c>
      <c r="L875" s="9">
        <f t="shared" si="13"/>
        <v>336000</v>
      </c>
      <c r="M875" s="9">
        <f>Table1[[#This Row],[Unit Price]]*Table1[[#This Row],[Quantity]]</f>
        <v>420000</v>
      </c>
      <c r="N875" s="9">
        <f>Table1[[#This Row],[Cost Price]]*Table1[[#This Row],[Quantity]]</f>
        <v>336000</v>
      </c>
      <c r="O875" s="9">
        <f>Table1[[#This Row],[Revenue]]-Table1[[#This Row],[COGS]]</f>
        <v>84000</v>
      </c>
      <c r="P875" s="6">
        <v>874</v>
      </c>
    </row>
    <row r="876" spans="1:16">
      <c r="A876" s="7" t="s">
        <v>125</v>
      </c>
      <c r="B876" s="7" t="str">
        <f>TEXT(Table1[[#This Row],[Date]],"MMM")</f>
        <v>Feb</v>
      </c>
      <c r="C876" t="s">
        <v>27</v>
      </c>
      <c r="D876" t="s">
        <v>45</v>
      </c>
      <c r="E876" t="s">
        <v>41</v>
      </c>
      <c r="F876" t="s">
        <v>37</v>
      </c>
      <c r="G876" t="s">
        <v>67</v>
      </c>
      <c r="H876" t="s">
        <v>51</v>
      </c>
      <c r="I876" s="9">
        <v>420000</v>
      </c>
      <c r="J876">
        <v>4</v>
      </c>
      <c r="K876" t="s">
        <v>58</v>
      </c>
      <c r="L876" s="9">
        <f t="shared" si="13"/>
        <v>336000</v>
      </c>
      <c r="M876" s="9">
        <f>Table1[[#This Row],[Unit Price]]*Table1[[#This Row],[Quantity]]</f>
        <v>1680000</v>
      </c>
      <c r="N876" s="9">
        <f>Table1[[#This Row],[Cost Price]]*Table1[[#This Row],[Quantity]]</f>
        <v>1344000</v>
      </c>
      <c r="O876" s="9">
        <f>Table1[[#This Row],[Revenue]]-Table1[[#This Row],[COGS]]</f>
        <v>336000</v>
      </c>
      <c r="P876" s="6">
        <v>875</v>
      </c>
    </row>
    <row r="877" spans="1:16">
      <c r="A877" s="7" t="s">
        <v>136</v>
      </c>
      <c r="B877" s="7" t="str">
        <f>TEXT(Table1[[#This Row],[Date]],"MMM")</f>
        <v>Feb</v>
      </c>
      <c r="C877" t="s">
        <v>49</v>
      </c>
      <c r="D877" t="s">
        <v>45</v>
      </c>
      <c r="E877" t="s">
        <v>41</v>
      </c>
      <c r="F877" t="s">
        <v>30</v>
      </c>
      <c r="G877" t="s">
        <v>31</v>
      </c>
      <c r="H877" t="s">
        <v>32</v>
      </c>
      <c r="I877" s="9">
        <v>85000</v>
      </c>
      <c r="J877">
        <v>4</v>
      </c>
      <c r="K877" t="s">
        <v>58</v>
      </c>
      <c r="L877" s="9">
        <f t="shared" si="13"/>
        <v>68000</v>
      </c>
      <c r="M877" s="9">
        <f>Table1[[#This Row],[Unit Price]]*Table1[[#This Row],[Quantity]]</f>
        <v>340000</v>
      </c>
      <c r="N877" s="9">
        <f>Table1[[#This Row],[Cost Price]]*Table1[[#This Row],[Quantity]]</f>
        <v>272000</v>
      </c>
      <c r="O877" s="9">
        <f>Table1[[#This Row],[Revenue]]-Table1[[#This Row],[COGS]]</f>
        <v>68000</v>
      </c>
      <c r="P877" s="6">
        <v>876</v>
      </c>
    </row>
    <row r="878" spans="1:16">
      <c r="A878" s="7" t="s">
        <v>163</v>
      </c>
      <c r="B878" s="7" t="str">
        <f>TEXT(Table1[[#This Row],[Date]],"MMM")</f>
        <v>Apr</v>
      </c>
      <c r="C878" t="s">
        <v>27</v>
      </c>
      <c r="D878" t="s">
        <v>36</v>
      </c>
      <c r="E878" t="s">
        <v>41</v>
      </c>
      <c r="F878" t="s">
        <v>37</v>
      </c>
      <c r="G878" t="s">
        <v>56</v>
      </c>
      <c r="H878" t="s">
        <v>32</v>
      </c>
      <c r="I878" s="9">
        <v>320000</v>
      </c>
      <c r="J878">
        <v>5</v>
      </c>
      <c r="K878" t="s">
        <v>47</v>
      </c>
      <c r="L878" s="9">
        <f t="shared" si="13"/>
        <v>256000</v>
      </c>
      <c r="M878" s="9">
        <f>Table1[[#This Row],[Unit Price]]*Table1[[#This Row],[Quantity]]</f>
        <v>1600000</v>
      </c>
      <c r="N878" s="9">
        <f>Table1[[#This Row],[Cost Price]]*Table1[[#This Row],[Quantity]]</f>
        <v>1280000</v>
      </c>
      <c r="O878" s="9">
        <f>Table1[[#This Row],[Revenue]]-Table1[[#This Row],[COGS]]</f>
        <v>320000</v>
      </c>
      <c r="P878" s="6">
        <v>877</v>
      </c>
    </row>
    <row r="879" spans="1:16">
      <c r="A879" s="7" t="s">
        <v>85</v>
      </c>
      <c r="B879" s="7" t="str">
        <f>TEXT(Table1[[#This Row],[Date]],"MMM")</f>
        <v>Feb</v>
      </c>
      <c r="C879" t="s">
        <v>35</v>
      </c>
      <c r="D879" t="s">
        <v>28</v>
      </c>
      <c r="E879" t="s">
        <v>41</v>
      </c>
      <c r="F879" t="s">
        <v>37</v>
      </c>
      <c r="G879" t="s">
        <v>31</v>
      </c>
      <c r="H879" t="s">
        <v>32</v>
      </c>
      <c r="I879" s="9">
        <v>85000</v>
      </c>
      <c r="J879">
        <v>4</v>
      </c>
      <c r="K879" t="s">
        <v>47</v>
      </c>
      <c r="L879" s="9">
        <f t="shared" si="13"/>
        <v>68000</v>
      </c>
      <c r="M879" s="9">
        <f>Table1[[#This Row],[Unit Price]]*Table1[[#This Row],[Quantity]]</f>
        <v>340000</v>
      </c>
      <c r="N879" s="9">
        <f>Table1[[#This Row],[Cost Price]]*Table1[[#This Row],[Quantity]]</f>
        <v>272000</v>
      </c>
      <c r="O879" s="9">
        <f>Table1[[#This Row],[Revenue]]-Table1[[#This Row],[COGS]]</f>
        <v>68000</v>
      </c>
      <c r="P879" s="6">
        <v>878</v>
      </c>
    </row>
    <row r="880" spans="1:16">
      <c r="A880" s="7" t="s">
        <v>174</v>
      </c>
      <c r="B880" s="7" t="str">
        <f>TEXT(Table1[[#This Row],[Date]],"MMM")</f>
        <v>Feb</v>
      </c>
      <c r="C880" t="s">
        <v>27</v>
      </c>
      <c r="D880" t="s">
        <v>28</v>
      </c>
      <c r="E880" t="s">
        <v>41</v>
      </c>
      <c r="F880" t="s">
        <v>37</v>
      </c>
      <c r="G880" t="s">
        <v>67</v>
      </c>
      <c r="H880" t="s">
        <v>51</v>
      </c>
      <c r="I880" s="9">
        <v>420000</v>
      </c>
      <c r="J880">
        <v>7</v>
      </c>
      <c r="K880" t="s">
        <v>69</v>
      </c>
      <c r="L880" s="9">
        <f t="shared" si="13"/>
        <v>336000</v>
      </c>
      <c r="M880" s="9">
        <f>Table1[[#This Row],[Unit Price]]*Table1[[#This Row],[Quantity]]</f>
        <v>2940000</v>
      </c>
      <c r="N880" s="9">
        <f>Table1[[#This Row],[Cost Price]]*Table1[[#This Row],[Quantity]]</f>
        <v>2352000</v>
      </c>
      <c r="O880" s="9">
        <f>Table1[[#This Row],[Revenue]]-Table1[[#This Row],[COGS]]</f>
        <v>588000</v>
      </c>
      <c r="P880" s="6">
        <v>879</v>
      </c>
    </row>
    <row r="881" spans="1:16">
      <c r="A881" s="7" t="s">
        <v>130</v>
      </c>
      <c r="B881" s="7" t="str">
        <f>TEXT(Table1[[#This Row],[Date]],"MMM")</f>
        <v>Jan</v>
      </c>
      <c r="C881" t="s">
        <v>27</v>
      </c>
      <c r="D881" t="s">
        <v>45</v>
      </c>
      <c r="E881" t="s">
        <v>41</v>
      </c>
      <c r="F881" t="s">
        <v>30</v>
      </c>
      <c r="G881" t="s">
        <v>38</v>
      </c>
      <c r="H881" t="s">
        <v>39</v>
      </c>
      <c r="I881" s="9">
        <v>30000</v>
      </c>
      <c r="J881">
        <v>10</v>
      </c>
      <c r="K881" t="s">
        <v>47</v>
      </c>
      <c r="L881" s="9">
        <f t="shared" si="13"/>
        <v>24000</v>
      </c>
      <c r="M881" s="9">
        <f>Table1[[#This Row],[Unit Price]]*Table1[[#This Row],[Quantity]]</f>
        <v>300000</v>
      </c>
      <c r="N881" s="9">
        <f>Table1[[#This Row],[Cost Price]]*Table1[[#This Row],[Quantity]]</f>
        <v>240000</v>
      </c>
      <c r="O881" s="9">
        <f>Table1[[#This Row],[Revenue]]-Table1[[#This Row],[COGS]]</f>
        <v>60000</v>
      </c>
      <c r="P881" s="6">
        <v>880</v>
      </c>
    </row>
    <row r="882" spans="1:16">
      <c r="A882" s="7" t="s">
        <v>59</v>
      </c>
      <c r="B882" s="7" t="str">
        <f>TEXT(Table1[[#This Row],[Date]],"MMM")</f>
        <v>Mar</v>
      </c>
      <c r="C882" t="s">
        <v>27</v>
      </c>
      <c r="D882" t="s">
        <v>45</v>
      </c>
      <c r="E882" t="s">
        <v>41</v>
      </c>
      <c r="F882" t="s">
        <v>30</v>
      </c>
      <c r="G882" t="s">
        <v>62</v>
      </c>
      <c r="H882" t="s">
        <v>51</v>
      </c>
      <c r="I882" s="9">
        <v>150000</v>
      </c>
      <c r="J882">
        <v>10</v>
      </c>
      <c r="K882" t="s">
        <v>47</v>
      </c>
      <c r="L882" s="9">
        <f t="shared" si="13"/>
        <v>120000</v>
      </c>
      <c r="M882" s="9">
        <f>Table1[[#This Row],[Unit Price]]*Table1[[#This Row],[Quantity]]</f>
        <v>1500000</v>
      </c>
      <c r="N882" s="9">
        <f>Table1[[#This Row],[Cost Price]]*Table1[[#This Row],[Quantity]]</f>
        <v>1200000</v>
      </c>
      <c r="O882" s="9">
        <f>Table1[[#This Row],[Revenue]]-Table1[[#This Row],[COGS]]</f>
        <v>300000</v>
      </c>
      <c r="P882" s="6">
        <v>881</v>
      </c>
    </row>
    <row r="883" spans="1:16">
      <c r="A883" s="7" t="s">
        <v>152</v>
      </c>
      <c r="B883" s="7" t="str">
        <f>TEXT(Table1[[#This Row],[Date]],"MMM")</f>
        <v>Jan</v>
      </c>
      <c r="C883" t="s">
        <v>44</v>
      </c>
      <c r="D883" t="s">
        <v>28</v>
      </c>
      <c r="E883" t="s">
        <v>41</v>
      </c>
      <c r="F883" t="s">
        <v>37</v>
      </c>
      <c r="G883" t="s">
        <v>71</v>
      </c>
      <c r="H883" t="s">
        <v>51</v>
      </c>
      <c r="I883" s="9">
        <v>250000</v>
      </c>
      <c r="J883">
        <v>4</v>
      </c>
      <c r="K883" t="s">
        <v>65</v>
      </c>
      <c r="L883" s="9">
        <f t="shared" si="13"/>
        <v>200000</v>
      </c>
      <c r="M883" s="9">
        <f>Table1[[#This Row],[Unit Price]]*Table1[[#This Row],[Quantity]]</f>
        <v>1000000</v>
      </c>
      <c r="N883" s="9">
        <f>Table1[[#This Row],[Cost Price]]*Table1[[#This Row],[Quantity]]</f>
        <v>800000</v>
      </c>
      <c r="O883" s="9">
        <f>Table1[[#This Row],[Revenue]]-Table1[[#This Row],[COGS]]</f>
        <v>200000</v>
      </c>
      <c r="P883" s="6">
        <v>882</v>
      </c>
    </row>
    <row r="884" spans="1:16">
      <c r="A884" s="7" t="s">
        <v>132</v>
      </c>
      <c r="B884" s="7" t="str">
        <f>TEXT(Table1[[#This Row],[Date]],"MMM")</f>
        <v>Apr</v>
      </c>
      <c r="C884" t="s">
        <v>35</v>
      </c>
      <c r="D884" t="s">
        <v>53</v>
      </c>
      <c r="E884" t="s">
        <v>29</v>
      </c>
      <c r="F884" t="s">
        <v>30</v>
      </c>
      <c r="G884" t="s">
        <v>73</v>
      </c>
      <c r="H884" t="s">
        <v>39</v>
      </c>
      <c r="I884" s="9">
        <v>220000</v>
      </c>
      <c r="J884">
        <v>6</v>
      </c>
      <c r="K884" t="s">
        <v>65</v>
      </c>
      <c r="L884" s="9">
        <f t="shared" si="13"/>
        <v>176000</v>
      </c>
      <c r="M884" s="9">
        <f>Table1[[#This Row],[Unit Price]]*Table1[[#This Row],[Quantity]]</f>
        <v>1320000</v>
      </c>
      <c r="N884" s="9">
        <f>Table1[[#This Row],[Cost Price]]*Table1[[#This Row],[Quantity]]</f>
        <v>1056000</v>
      </c>
      <c r="O884" s="9">
        <f>Table1[[#This Row],[Revenue]]-Table1[[#This Row],[COGS]]</f>
        <v>264000</v>
      </c>
      <c r="P884" s="6">
        <v>883</v>
      </c>
    </row>
    <row r="885" spans="1:16">
      <c r="A885" s="7" t="s">
        <v>126</v>
      </c>
      <c r="B885" s="7" t="str">
        <f>TEXT(Table1[[#This Row],[Date]],"MMM")</f>
        <v>Jan</v>
      </c>
      <c r="C885" t="s">
        <v>49</v>
      </c>
      <c r="D885" t="s">
        <v>28</v>
      </c>
      <c r="E885" t="s">
        <v>29</v>
      </c>
      <c r="F885" t="s">
        <v>37</v>
      </c>
      <c r="G885" t="s">
        <v>62</v>
      </c>
      <c r="H885" t="s">
        <v>51</v>
      </c>
      <c r="I885" s="9">
        <v>150000</v>
      </c>
      <c r="J885">
        <v>10</v>
      </c>
      <c r="K885" t="s">
        <v>42</v>
      </c>
      <c r="L885" s="9">
        <f t="shared" si="13"/>
        <v>120000</v>
      </c>
      <c r="M885" s="9">
        <f>Table1[[#This Row],[Unit Price]]*Table1[[#This Row],[Quantity]]</f>
        <v>1500000</v>
      </c>
      <c r="N885" s="9">
        <f>Table1[[#This Row],[Cost Price]]*Table1[[#This Row],[Quantity]]</f>
        <v>1200000</v>
      </c>
      <c r="O885" s="9">
        <f>Table1[[#This Row],[Revenue]]-Table1[[#This Row],[COGS]]</f>
        <v>300000</v>
      </c>
      <c r="P885" s="6">
        <v>884</v>
      </c>
    </row>
    <row r="886" spans="1:16">
      <c r="A886" s="7" t="s">
        <v>72</v>
      </c>
      <c r="B886" s="7" t="str">
        <f>TEXT(Table1[[#This Row],[Date]],"MMM")</f>
        <v>Feb</v>
      </c>
      <c r="C886" t="s">
        <v>35</v>
      </c>
      <c r="D886" t="s">
        <v>45</v>
      </c>
      <c r="E886" t="s">
        <v>29</v>
      </c>
      <c r="F886" t="s">
        <v>30</v>
      </c>
      <c r="G886" t="s">
        <v>62</v>
      </c>
      <c r="H886" t="s">
        <v>51</v>
      </c>
      <c r="I886" s="9">
        <v>150000</v>
      </c>
      <c r="J886">
        <v>2</v>
      </c>
      <c r="K886" t="s">
        <v>47</v>
      </c>
      <c r="L886" s="9">
        <f t="shared" si="13"/>
        <v>120000</v>
      </c>
      <c r="M886" s="9">
        <f>Table1[[#This Row],[Unit Price]]*Table1[[#This Row],[Quantity]]</f>
        <v>300000</v>
      </c>
      <c r="N886" s="9">
        <f>Table1[[#This Row],[Cost Price]]*Table1[[#This Row],[Quantity]]</f>
        <v>240000</v>
      </c>
      <c r="O886" s="9">
        <f>Table1[[#This Row],[Revenue]]-Table1[[#This Row],[COGS]]</f>
        <v>60000</v>
      </c>
      <c r="P886" s="6">
        <v>885</v>
      </c>
    </row>
    <row r="887" spans="1:16">
      <c r="A887" s="7" t="s">
        <v>94</v>
      </c>
      <c r="B887" s="7" t="str">
        <f>TEXT(Table1[[#This Row],[Date]],"MMM")</f>
        <v>Jan</v>
      </c>
      <c r="C887" t="s">
        <v>27</v>
      </c>
      <c r="D887" t="s">
        <v>28</v>
      </c>
      <c r="E887" t="s">
        <v>29</v>
      </c>
      <c r="F887" t="s">
        <v>30</v>
      </c>
      <c r="G887" t="s">
        <v>71</v>
      </c>
      <c r="H887" t="s">
        <v>51</v>
      </c>
      <c r="I887" s="9">
        <v>250000</v>
      </c>
      <c r="J887">
        <v>4</v>
      </c>
      <c r="K887" t="s">
        <v>58</v>
      </c>
      <c r="L887" s="9">
        <f t="shared" si="13"/>
        <v>200000</v>
      </c>
      <c r="M887" s="9">
        <f>Table1[[#This Row],[Unit Price]]*Table1[[#This Row],[Quantity]]</f>
        <v>1000000</v>
      </c>
      <c r="N887" s="9">
        <f>Table1[[#This Row],[Cost Price]]*Table1[[#This Row],[Quantity]]</f>
        <v>800000</v>
      </c>
      <c r="O887" s="9">
        <f>Table1[[#This Row],[Revenue]]-Table1[[#This Row],[COGS]]</f>
        <v>200000</v>
      </c>
      <c r="P887" s="6">
        <v>886</v>
      </c>
    </row>
    <row r="888" spans="1:16">
      <c r="A888" s="7" t="s">
        <v>77</v>
      </c>
      <c r="B888" s="7" t="str">
        <f>TEXT(Table1[[#This Row],[Date]],"MMM")</f>
        <v>Apr</v>
      </c>
      <c r="C888" t="s">
        <v>35</v>
      </c>
      <c r="D888" t="s">
        <v>28</v>
      </c>
      <c r="E888" t="s">
        <v>29</v>
      </c>
      <c r="F888" t="s">
        <v>37</v>
      </c>
      <c r="G888" t="s">
        <v>62</v>
      </c>
      <c r="H888" t="s">
        <v>51</v>
      </c>
      <c r="I888" s="9">
        <v>150000</v>
      </c>
      <c r="J888">
        <v>9</v>
      </c>
      <c r="K888" t="s">
        <v>42</v>
      </c>
      <c r="L888" s="9">
        <f t="shared" si="13"/>
        <v>120000</v>
      </c>
      <c r="M888" s="9">
        <f>Table1[[#This Row],[Unit Price]]*Table1[[#This Row],[Quantity]]</f>
        <v>1350000</v>
      </c>
      <c r="N888" s="9">
        <f>Table1[[#This Row],[Cost Price]]*Table1[[#This Row],[Quantity]]</f>
        <v>1080000</v>
      </c>
      <c r="O888" s="9">
        <f>Table1[[#This Row],[Revenue]]-Table1[[#This Row],[COGS]]</f>
        <v>270000</v>
      </c>
      <c r="P888" s="6">
        <v>887</v>
      </c>
    </row>
    <row r="889" spans="1:16">
      <c r="A889" s="7" t="s">
        <v>165</v>
      </c>
      <c r="B889" s="7" t="str">
        <f>TEXT(Table1[[#This Row],[Date]],"MMM")</f>
        <v>Apr</v>
      </c>
      <c r="C889" t="s">
        <v>49</v>
      </c>
      <c r="D889" t="s">
        <v>45</v>
      </c>
      <c r="E889" t="s">
        <v>29</v>
      </c>
      <c r="F889" t="s">
        <v>37</v>
      </c>
      <c r="G889" t="s">
        <v>67</v>
      </c>
      <c r="H889" t="s">
        <v>51</v>
      </c>
      <c r="I889" s="9">
        <v>420000</v>
      </c>
      <c r="J889">
        <v>7</v>
      </c>
      <c r="K889" t="s">
        <v>58</v>
      </c>
      <c r="L889" s="9">
        <f t="shared" si="13"/>
        <v>336000</v>
      </c>
      <c r="M889" s="9">
        <f>Table1[[#This Row],[Unit Price]]*Table1[[#This Row],[Quantity]]</f>
        <v>2940000</v>
      </c>
      <c r="N889" s="9">
        <f>Table1[[#This Row],[Cost Price]]*Table1[[#This Row],[Quantity]]</f>
        <v>2352000</v>
      </c>
      <c r="O889" s="9">
        <f>Table1[[#This Row],[Revenue]]-Table1[[#This Row],[COGS]]</f>
        <v>588000</v>
      </c>
      <c r="P889" s="6">
        <v>888</v>
      </c>
    </row>
    <row r="890" spans="1:16">
      <c r="A890" s="7" t="s">
        <v>163</v>
      </c>
      <c r="B890" s="7" t="str">
        <f>TEXT(Table1[[#This Row],[Date]],"MMM")</f>
        <v>Apr</v>
      </c>
      <c r="C890" t="s">
        <v>35</v>
      </c>
      <c r="D890" t="s">
        <v>36</v>
      </c>
      <c r="E890" t="s">
        <v>29</v>
      </c>
      <c r="F890" t="s">
        <v>30</v>
      </c>
      <c r="G890" t="s">
        <v>31</v>
      </c>
      <c r="H890" t="s">
        <v>32</v>
      </c>
      <c r="I890" s="9">
        <v>85000</v>
      </c>
      <c r="J890">
        <v>2</v>
      </c>
      <c r="K890" t="s">
        <v>33</v>
      </c>
      <c r="L890" s="9">
        <f t="shared" si="13"/>
        <v>68000</v>
      </c>
      <c r="M890" s="9">
        <f>Table1[[#This Row],[Unit Price]]*Table1[[#This Row],[Quantity]]</f>
        <v>170000</v>
      </c>
      <c r="N890" s="9">
        <f>Table1[[#This Row],[Cost Price]]*Table1[[#This Row],[Quantity]]</f>
        <v>136000</v>
      </c>
      <c r="O890" s="9">
        <f>Table1[[#This Row],[Revenue]]-Table1[[#This Row],[COGS]]</f>
        <v>34000</v>
      </c>
      <c r="P890" s="6">
        <v>889</v>
      </c>
    </row>
    <row r="891" spans="1:16">
      <c r="A891" s="7" t="s">
        <v>172</v>
      </c>
      <c r="B891" s="7" t="str">
        <f>TEXT(Table1[[#This Row],[Date]],"MMM")</f>
        <v>Mar</v>
      </c>
      <c r="C891" t="s">
        <v>44</v>
      </c>
      <c r="D891" t="s">
        <v>36</v>
      </c>
      <c r="E891" t="s">
        <v>41</v>
      </c>
      <c r="F891" t="s">
        <v>37</v>
      </c>
      <c r="G891" t="s">
        <v>31</v>
      </c>
      <c r="H891" t="s">
        <v>32</v>
      </c>
      <c r="I891" s="9">
        <v>85000</v>
      </c>
      <c r="J891">
        <v>1</v>
      </c>
      <c r="K891" t="s">
        <v>58</v>
      </c>
      <c r="L891" s="9">
        <f t="shared" si="13"/>
        <v>68000</v>
      </c>
      <c r="M891" s="9">
        <f>Table1[[#This Row],[Unit Price]]*Table1[[#This Row],[Quantity]]</f>
        <v>85000</v>
      </c>
      <c r="N891" s="9">
        <f>Table1[[#This Row],[Cost Price]]*Table1[[#This Row],[Quantity]]</f>
        <v>68000</v>
      </c>
      <c r="O891" s="9">
        <f>Table1[[#This Row],[Revenue]]-Table1[[#This Row],[COGS]]</f>
        <v>17000</v>
      </c>
      <c r="P891" s="6">
        <v>890</v>
      </c>
    </row>
    <row r="892" spans="1:16">
      <c r="A892" s="7" t="s">
        <v>151</v>
      </c>
      <c r="B892" s="7" t="str">
        <f>TEXT(Table1[[#This Row],[Date]],"MMM")</f>
        <v>Feb</v>
      </c>
      <c r="C892" t="s">
        <v>44</v>
      </c>
      <c r="D892" t="s">
        <v>45</v>
      </c>
      <c r="E892" t="s">
        <v>29</v>
      </c>
      <c r="F892" t="s">
        <v>37</v>
      </c>
      <c r="G892" t="s">
        <v>67</v>
      </c>
      <c r="H892" t="s">
        <v>51</v>
      </c>
      <c r="I892" s="9">
        <v>420000</v>
      </c>
      <c r="J892">
        <v>9</v>
      </c>
      <c r="K892" t="s">
        <v>33</v>
      </c>
      <c r="L892" s="9">
        <f t="shared" si="13"/>
        <v>336000</v>
      </c>
      <c r="M892" s="9">
        <f>Table1[[#This Row],[Unit Price]]*Table1[[#This Row],[Quantity]]</f>
        <v>3780000</v>
      </c>
      <c r="N892" s="9">
        <f>Table1[[#This Row],[Cost Price]]*Table1[[#This Row],[Quantity]]</f>
        <v>3024000</v>
      </c>
      <c r="O892" s="9">
        <f>Table1[[#This Row],[Revenue]]-Table1[[#This Row],[COGS]]</f>
        <v>756000</v>
      </c>
      <c r="P892" s="6">
        <v>891</v>
      </c>
    </row>
    <row r="893" spans="1:16">
      <c r="A893" s="7" t="s">
        <v>128</v>
      </c>
      <c r="B893" s="7" t="str">
        <f>TEXT(Table1[[#This Row],[Date]],"MMM")</f>
        <v>Mar</v>
      </c>
      <c r="C893" t="s">
        <v>49</v>
      </c>
      <c r="D893" t="s">
        <v>36</v>
      </c>
      <c r="E893" t="s">
        <v>29</v>
      </c>
      <c r="F893" t="s">
        <v>37</v>
      </c>
      <c r="G893" t="s">
        <v>73</v>
      </c>
      <c r="H893" t="s">
        <v>39</v>
      </c>
      <c r="I893" s="9">
        <v>220000</v>
      </c>
      <c r="J893">
        <v>2</v>
      </c>
      <c r="K893" t="s">
        <v>69</v>
      </c>
      <c r="L893" s="9">
        <f t="shared" si="13"/>
        <v>176000</v>
      </c>
      <c r="M893" s="9">
        <f>Table1[[#This Row],[Unit Price]]*Table1[[#This Row],[Quantity]]</f>
        <v>440000</v>
      </c>
      <c r="N893" s="9">
        <f>Table1[[#This Row],[Cost Price]]*Table1[[#This Row],[Quantity]]</f>
        <v>352000</v>
      </c>
      <c r="O893" s="9">
        <f>Table1[[#This Row],[Revenue]]-Table1[[#This Row],[COGS]]</f>
        <v>88000</v>
      </c>
      <c r="P893" s="6">
        <v>892</v>
      </c>
    </row>
    <row r="894" spans="1:16">
      <c r="A894" s="7" t="s">
        <v>171</v>
      </c>
      <c r="B894" s="7" t="str">
        <f>TEXT(Table1[[#This Row],[Date]],"MMM")</f>
        <v>Mar</v>
      </c>
      <c r="C894" t="s">
        <v>27</v>
      </c>
      <c r="D894" t="s">
        <v>45</v>
      </c>
      <c r="E894" t="s">
        <v>41</v>
      </c>
      <c r="F894" t="s">
        <v>37</v>
      </c>
      <c r="G894" t="s">
        <v>73</v>
      </c>
      <c r="H894" t="s">
        <v>39</v>
      </c>
      <c r="I894" s="9">
        <v>220000</v>
      </c>
      <c r="J894">
        <v>8</v>
      </c>
      <c r="K894" t="s">
        <v>65</v>
      </c>
      <c r="L894" s="9">
        <f t="shared" si="13"/>
        <v>176000</v>
      </c>
      <c r="M894" s="9">
        <f>Table1[[#This Row],[Unit Price]]*Table1[[#This Row],[Quantity]]</f>
        <v>1760000</v>
      </c>
      <c r="N894" s="9">
        <f>Table1[[#This Row],[Cost Price]]*Table1[[#This Row],[Quantity]]</f>
        <v>1408000</v>
      </c>
      <c r="O894" s="9">
        <f>Table1[[#This Row],[Revenue]]-Table1[[#This Row],[COGS]]</f>
        <v>352000</v>
      </c>
      <c r="P894" s="6">
        <v>893</v>
      </c>
    </row>
    <row r="895" spans="1:16">
      <c r="A895" s="7" t="s">
        <v>88</v>
      </c>
      <c r="B895" s="7" t="str">
        <f>TEXT(Table1[[#This Row],[Date]],"MMM")</f>
        <v>Feb</v>
      </c>
      <c r="C895" t="s">
        <v>49</v>
      </c>
      <c r="D895" t="s">
        <v>28</v>
      </c>
      <c r="E895" t="s">
        <v>41</v>
      </c>
      <c r="F895" t="s">
        <v>30</v>
      </c>
      <c r="G895" t="s">
        <v>38</v>
      </c>
      <c r="H895" t="s">
        <v>39</v>
      </c>
      <c r="I895" s="9">
        <v>30000</v>
      </c>
      <c r="J895">
        <v>9</v>
      </c>
      <c r="K895" t="s">
        <v>33</v>
      </c>
      <c r="L895" s="9">
        <f t="shared" si="13"/>
        <v>24000</v>
      </c>
      <c r="M895" s="9">
        <f>Table1[[#This Row],[Unit Price]]*Table1[[#This Row],[Quantity]]</f>
        <v>270000</v>
      </c>
      <c r="N895" s="9">
        <f>Table1[[#This Row],[Cost Price]]*Table1[[#This Row],[Quantity]]</f>
        <v>216000</v>
      </c>
      <c r="O895" s="9">
        <f>Table1[[#This Row],[Revenue]]-Table1[[#This Row],[COGS]]</f>
        <v>54000</v>
      </c>
      <c r="P895" s="6">
        <v>894</v>
      </c>
    </row>
    <row r="896" spans="1:16">
      <c r="A896" s="7" t="s">
        <v>90</v>
      </c>
      <c r="B896" s="7" t="str">
        <f>TEXT(Table1[[#This Row],[Date]],"MMM")</f>
        <v>Feb</v>
      </c>
      <c r="C896" t="s">
        <v>49</v>
      </c>
      <c r="D896" t="s">
        <v>53</v>
      </c>
      <c r="E896" t="s">
        <v>41</v>
      </c>
      <c r="F896" t="s">
        <v>30</v>
      </c>
      <c r="G896" t="s">
        <v>56</v>
      </c>
      <c r="H896" t="s">
        <v>32</v>
      </c>
      <c r="I896" s="9">
        <v>320000</v>
      </c>
      <c r="J896">
        <v>3</v>
      </c>
      <c r="K896" t="s">
        <v>65</v>
      </c>
      <c r="L896" s="9">
        <f t="shared" si="13"/>
        <v>256000</v>
      </c>
      <c r="M896" s="9">
        <f>Table1[[#This Row],[Unit Price]]*Table1[[#This Row],[Quantity]]</f>
        <v>960000</v>
      </c>
      <c r="N896" s="9">
        <f>Table1[[#This Row],[Cost Price]]*Table1[[#This Row],[Quantity]]</f>
        <v>768000</v>
      </c>
      <c r="O896" s="9">
        <f>Table1[[#This Row],[Revenue]]-Table1[[#This Row],[COGS]]</f>
        <v>192000</v>
      </c>
      <c r="P896" s="6">
        <v>895</v>
      </c>
    </row>
    <row r="897" spans="1:16">
      <c r="A897" s="7" t="s">
        <v>98</v>
      </c>
      <c r="B897" s="7" t="str">
        <f>TEXT(Table1[[#This Row],[Date]],"MMM")</f>
        <v>Jan</v>
      </c>
      <c r="C897" t="s">
        <v>49</v>
      </c>
      <c r="D897" t="s">
        <v>28</v>
      </c>
      <c r="E897" t="s">
        <v>29</v>
      </c>
      <c r="F897" t="s">
        <v>30</v>
      </c>
      <c r="G897" t="s">
        <v>38</v>
      </c>
      <c r="H897" t="s">
        <v>39</v>
      </c>
      <c r="I897" s="9">
        <v>30000</v>
      </c>
      <c r="J897">
        <v>6</v>
      </c>
      <c r="K897" t="s">
        <v>58</v>
      </c>
      <c r="L897" s="9">
        <f t="shared" si="13"/>
        <v>24000</v>
      </c>
      <c r="M897" s="9">
        <f>Table1[[#This Row],[Unit Price]]*Table1[[#This Row],[Quantity]]</f>
        <v>180000</v>
      </c>
      <c r="N897" s="9">
        <f>Table1[[#This Row],[Cost Price]]*Table1[[#This Row],[Quantity]]</f>
        <v>144000</v>
      </c>
      <c r="O897" s="9">
        <f>Table1[[#This Row],[Revenue]]-Table1[[#This Row],[COGS]]</f>
        <v>36000</v>
      </c>
      <c r="P897" s="6">
        <v>896</v>
      </c>
    </row>
    <row r="898" spans="1:16">
      <c r="A898" s="7" t="s">
        <v>72</v>
      </c>
      <c r="B898" s="7" t="str">
        <f>TEXT(Table1[[#This Row],[Date]],"MMM")</f>
        <v>Feb</v>
      </c>
      <c r="C898" t="s">
        <v>49</v>
      </c>
      <c r="D898" t="s">
        <v>45</v>
      </c>
      <c r="E898" t="s">
        <v>41</v>
      </c>
      <c r="F898" t="s">
        <v>30</v>
      </c>
      <c r="G898" t="s">
        <v>46</v>
      </c>
      <c r="H898" t="s">
        <v>39</v>
      </c>
      <c r="I898" s="9">
        <v>60000</v>
      </c>
      <c r="J898">
        <v>7</v>
      </c>
      <c r="K898" t="s">
        <v>47</v>
      </c>
      <c r="L898" s="9">
        <f t="shared" ref="L898:L961" si="14">I898-I898*0.2</f>
        <v>48000</v>
      </c>
      <c r="M898" s="9">
        <f>Table1[[#This Row],[Unit Price]]*Table1[[#This Row],[Quantity]]</f>
        <v>420000</v>
      </c>
      <c r="N898" s="9">
        <f>Table1[[#This Row],[Cost Price]]*Table1[[#This Row],[Quantity]]</f>
        <v>336000</v>
      </c>
      <c r="O898" s="9">
        <f>Table1[[#This Row],[Revenue]]-Table1[[#This Row],[COGS]]</f>
        <v>84000</v>
      </c>
      <c r="P898" s="6">
        <v>897</v>
      </c>
    </row>
    <row r="899" spans="1:16">
      <c r="A899" s="7" t="s">
        <v>97</v>
      </c>
      <c r="B899" s="7" t="str">
        <f>TEXT(Table1[[#This Row],[Date]],"MMM")</f>
        <v>Jan</v>
      </c>
      <c r="C899" t="s">
        <v>44</v>
      </c>
      <c r="D899" t="s">
        <v>45</v>
      </c>
      <c r="E899" t="s">
        <v>29</v>
      </c>
      <c r="F899" t="s">
        <v>30</v>
      </c>
      <c r="G899" t="s">
        <v>54</v>
      </c>
      <c r="H899" t="s">
        <v>39</v>
      </c>
      <c r="I899" s="9">
        <v>180000</v>
      </c>
      <c r="J899">
        <v>2</v>
      </c>
      <c r="K899" t="s">
        <v>58</v>
      </c>
      <c r="L899" s="9">
        <f t="shared" si="14"/>
        <v>144000</v>
      </c>
      <c r="M899" s="9">
        <f>Table1[[#This Row],[Unit Price]]*Table1[[#This Row],[Quantity]]</f>
        <v>360000</v>
      </c>
      <c r="N899" s="9">
        <f>Table1[[#This Row],[Cost Price]]*Table1[[#This Row],[Quantity]]</f>
        <v>288000</v>
      </c>
      <c r="O899" s="9">
        <f>Table1[[#This Row],[Revenue]]-Table1[[#This Row],[COGS]]</f>
        <v>72000</v>
      </c>
      <c r="P899" s="6">
        <v>898</v>
      </c>
    </row>
    <row r="900" spans="1:16">
      <c r="A900" s="7" t="s">
        <v>52</v>
      </c>
      <c r="B900" s="7" t="str">
        <f>TEXT(Table1[[#This Row],[Date]],"MMM")</f>
        <v>Mar</v>
      </c>
      <c r="C900" t="s">
        <v>35</v>
      </c>
      <c r="D900" t="s">
        <v>53</v>
      </c>
      <c r="E900" t="s">
        <v>41</v>
      </c>
      <c r="F900" t="s">
        <v>37</v>
      </c>
      <c r="G900" t="s">
        <v>38</v>
      </c>
      <c r="H900" t="s">
        <v>39</v>
      </c>
      <c r="I900" s="9">
        <v>30000</v>
      </c>
      <c r="J900">
        <v>5</v>
      </c>
      <c r="K900" t="s">
        <v>33</v>
      </c>
      <c r="L900" s="9">
        <f t="shared" si="14"/>
        <v>24000</v>
      </c>
      <c r="M900" s="9">
        <f>Table1[[#This Row],[Unit Price]]*Table1[[#This Row],[Quantity]]</f>
        <v>150000</v>
      </c>
      <c r="N900" s="9">
        <f>Table1[[#This Row],[Cost Price]]*Table1[[#This Row],[Quantity]]</f>
        <v>120000</v>
      </c>
      <c r="O900" s="9">
        <f>Table1[[#This Row],[Revenue]]-Table1[[#This Row],[COGS]]</f>
        <v>30000</v>
      </c>
      <c r="P900" s="6">
        <v>899</v>
      </c>
    </row>
    <row r="901" spans="1:16">
      <c r="A901" s="7" t="s">
        <v>175</v>
      </c>
      <c r="B901" s="7" t="str">
        <f>TEXT(Table1[[#This Row],[Date]],"MMM")</f>
        <v>Jan</v>
      </c>
      <c r="C901" t="s">
        <v>27</v>
      </c>
      <c r="D901" t="s">
        <v>36</v>
      </c>
      <c r="E901" t="s">
        <v>41</v>
      </c>
      <c r="F901" t="s">
        <v>37</v>
      </c>
      <c r="G901" t="s">
        <v>62</v>
      </c>
      <c r="H901" t="s">
        <v>51</v>
      </c>
      <c r="I901" s="9">
        <v>150000</v>
      </c>
      <c r="J901">
        <v>2</v>
      </c>
      <c r="K901" t="s">
        <v>65</v>
      </c>
      <c r="L901" s="9">
        <f t="shared" si="14"/>
        <v>120000</v>
      </c>
      <c r="M901" s="9">
        <f>Table1[[#This Row],[Unit Price]]*Table1[[#This Row],[Quantity]]</f>
        <v>300000</v>
      </c>
      <c r="N901" s="9">
        <f>Table1[[#This Row],[Cost Price]]*Table1[[#This Row],[Quantity]]</f>
        <v>240000</v>
      </c>
      <c r="O901" s="9">
        <f>Table1[[#This Row],[Revenue]]-Table1[[#This Row],[COGS]]</f>
        <v>60000</v>
      </c>
      <c r="P901" s="6">
        <v>900</v>
      </c>
    </row>
    <row r="902" spans="1:16">
      <c r="A902" s="7" t="s">
        <v>123</v>
      </c>
      <c r="B902" s="7" t="str">
        <f>TEXT(Table1[[#This Row],[Date]],"MMM")</f>
        <v>Apr</v>
      </c>
      <c r="C902" t="s">
        <v>44</v>
      </c>
      <c r="D902" t="s">
        <v>28</v>
      </c>
      <c r="E902" t="s">
        <v>29</v>
      </c>
      <c r="F902" t="s">
        <v>30</v>
      </c>
      <c r="G902" t="s">
        <v>38</v>
      </c>
      <c r="H902" t="s">
        <v>39</v>
      </c>
      <c r="I902" s="9">
        <v>30000</v>
      </c>
      <c r="J902">
        <v>9</v>
      </c>
      <c r="K902" t="s">
        <v>69</v>
      </c>
      <c r="L902" s="9">
        <f t="shared" si="14"/>
        <v>24000</v>
      </c>
      <c r="M902" s="9">
        <f>Table1[[#This Row],[Unit Price]]*Table1[[#This Row],[Quantity]]</f>
        <v>270000</v>
      </c>
      <c r="N902" s="9">
        <f>Table1[[#This Row],[Cost Price]]*Table1[[#This Row],[Quantity]]</f>
        <v>216000</v>
      </c>
      <c r="O902" s="9">
        <f>Table1[[#This Row],[Revenue]]-Table1[[#This Row],[COGS]]</f>
        <v>54000</v>
      </c>
      <c r="P902" s="6">
        <v>901</v>
      </c>
    </row>
    <row r="903" spans="1:16">
      <c r="A903" s="7" t="s">
        <v>86</v>
      </c>
      <c r="B903" s="7" t="str">
        <f>TEXT(Table1[[#This Row],[Date]],"MMM")</f>
        <v>Feb</v>
      </c>
      <c r="C903" t="s">
        <v>44</v>
      </c>
      <c r="D903" t="s">
        <v>45</v>
      </c>
      <c r="E903" t="s">
        <v>41</v>
      </c>
      <c r="F903" t="s">
        <v>30</v>
      </c>
      <c r="G903" t="s">
        <v>62</v>
      </c>
      <c r="H903" t="s">
        <v>51</v>
      </c>
      <c r="I903" s="9">
        <v>150000</v>
      </c>
      <c r="J903">
        <v>5</v>
      </c>
      <c r="K903" t="s">
        <v>58</v>
      </c>
      <c r="L903" s="9">
        <f t="shared" si="14"/>
        <v>120000</v>
      </c>
      <c r="M903" s="9">
        <f>Table1[[#This Row],[Unit Price]]*Table1[[#This Row],[Quantity]]</f>
        <v>750000</v>
      </c>
      <c r="N903" s="9">
        <f>Table1[[#This Row],[Cost Price]]*Table1[[#This Row],[Quantity]]</f>
        <v>600000</v>
      </c>
      <c r="O903" s="9">
        <f>Table1[[#This Row],[Revenue]]-Table1[[#This Row],[COGS]]</f>
        <v>150000</v>
      </c>
      <c r="P903" s="6">
        <v>902</v>
      </c>
    </row>
    <row r="904" spans="1:16">
      <c r="A904" s="7" t="s">
        <v>176</v>
      </c>
      <c r="B904" s="7" t="str">
        <f>TEXT(Table1[[#This Row],[Date]],"MMM")</f>
        <v>Jan</v>
      </c>
      <c r="C904" t="s">
        <v>44</v>
      </c>
      <c r="D904" t="s">
        <v>45</v>
      </c>
      <c r="E904" t="s">
        <v>29</v>
      </c>
      <c r="F904" t="s">
        <v>37</v>
      </c>
      <c r="G904" t="s">
        <v>46</v>
      </c>
      <c r="H904" t="s">
        <v>39</v>
      </c>
      <c r="I904" s="9">
        <v>60000</v>
      </c>
      <c r="J904">
        <v>8</v>
      </c>
      <c r="K904" t="s">
        <v>69</v>
      </c>
      <c r="L904" s="9">
        <f t="shared" si="14"/>
        <v>48000</v>
      </c>
      <c r="M904" s="9">
        <f>Table1[[#This Row],[Unit Price]]*Table1[[#This Row],[Quantity]]</f>
        <v>480000</v>
      </c>
      <c r="N904" s="9">
        <f>Table1[[#This Row],[Cost Price]]*Table1[[#This Row],[Quantity]]</f>
        <v>384000</v>
      </c>
      <c r="O904" s="9">
        <f>Table1[[#This Row],[Revenue]]-Table1[[#This Row],[COGS]]</f>
        <v>96000</v>
      </c>
      <c r="P904" s="6">
        <v>903</v>
      </c>
    </row>
    <row r="905" spans="1:16">
      <c r="A905" s="7" t="s">
        <v>114</v>
      </c>
      <c r="B905" s="7" t="str">
        <f>TEXT(Table1[[#This Row],[Date]],"MMM")</f>
        <v>Apr</v>
      </c>
      <c r="C905" t="s">
        <v>35</v>
      </c>
      <c r="D905" t="s">
        <v>36</v>
      </c>
      <c r="E905" t="s">
        <v>29</v>
      </c>
      <c r="F905" t="s">
        <v>30</v>
      </c>
      <c r="G905" t="s">
        <v>62</v>
      </c>
      <c r="H905" t="s">
        <v>51</v>
      </c>
      <c r="I905" s="9">
        <v>150000</v>
      </c>
      <c r="J905">
        <v>8</v>
      </c>
      <c r="K905" t="s">
        <v>65</v>
      </c>
      <c r="L905" s="9">
        <f t="shared" si="14"/>
        <v>120000</v>
      </c>
      <c r="M905" s="9">
        <f>Table1[[#This Row],[Unit Price]]*Table1[[#This Row],[Quantity]]</f>
        <v>1200000</v>
      </c>
      <c r="N905" s="9">
        <f>Table1[[#This Row],[Cost Price]]*Table1[[#This Row],[Quantity]]</f>
        <v>960000</v>
      </c>
      <c r="O905" s="9">
        <f>Table1[[#This Row],[Revenue]]-Table1[[#This Row],[COGS]]</f>
        <v>240000</v>
      </c>
      <c r="P905" s="6">
        <v>904</v>
      </c>
    </row>
    <row r="906" spans="1:16">
      <c r="A906" s="7" t="s">
        <v>87</v>
      </c>
      <c r="B906" s="7" t="str">
        <f>TEXT(Table1[[#This Row],[Date]],"MMM")</f>
        <v>Mar</v>
      </c>
      <c r="C906" t="s">
        <v>35</v>
      </c>
      <c r="D906" t="s">
        <v>45</v>
      </c>
      <c r="E906" t="s">
        <v>29</v>
      </c>
      <c r="F906" t="s">
        <v>37</v>
      </c>
      <c r="G906" t="s">
        <v>31</v>
      </c>
      <c r="H906" t="s">
        <v>32</v>
      </c>
      <c r="I906" s="9">
        <v>85000</v>
      </c>
      <c r="J906">
        <v>3</v>
      </c>
      <c r="K906" t="s">
        <v>69</v>
      </c>
      <c r="L906" s="9">
        <f t="shared" si="14"/>
        <v>68000</v>
      </c>
      <c r="M906" s="9">
        <f>Table1[[#This Row],[Unit Price]]*Table1[[#This Row],[Quantity]]</f>
        <v>255000</v>
      </c>
      <c r="N906" s="9">
        <f>Table1[[#This Row],[Cost Price]]*Table1[[#This Row],[Quantity]]</f>
        <v>204000</v>
      </c>
      <c r="O906" s="9">
        <f>Table1[[#This Row],[Revenue]]-Table1[[#This Row],[COGS]]</f>
        <v>51000</v>
      </c>
      <c r="P906" s="6">
        <v>905</v>
      </c>
    </row>
    <row r="907" spans="1:16">
      <c r="A907" s="7" t="s">
        <v>129</v>
      </c>
      <c r="B907" s="7" t="str">
        <f>TEXT(Table1[[#This Row],[Date]],"MMM")</f>
        <v>Mar</v>
      </c>
      <c r="C907" t="s">
        <v>44</v>
      </c>
      <c r="D907" t="s">
        <v>28</v>
      </c>
      <c r="E907" t="s">
        <v>41</v>
      </c>
      <c r="F907" t="s">
        <v>30</v>
      </c>
      <c r="G907" t="s">
        <v>54</v>
      </c>
      <c r="H907" t="s">
        <v>39</v>
      </c>
      <c r="I907" s="9">
        <v>180000</v>
      </c>
      <c r="J907">
        <v>4</v>
      </c>
      <c r="K907" t="s">
        <v>65</v>
      </c>
      <c r="L907" s="9">
        <f t="shared" si="14"/>
        <v>144000</v>
      </c>
      <c r="M907" s="9">
        <f>Table1[[#This Row],[Unit Price]]*Table1[[#This Row],[Quantity]]</f>
        <v>720000</v>
      </c>
      <c r="N907" s="9">
        <f>Table1[[#This Row],[Cost Price]]*Table1[[#This Row],[Quantity]]</f>
        <v>576000</v>
      </c>
      <c r="O907" s="9">
        <f>Table1[[#This Row],[Revenue]]-Table1[[#This Row],[COGS]]</f>
        <v>144000</v>
      </c>
      <c r="P907" s="6">
        <v>906</v>
      </c>
    </row>
    <row r="908" spans="1:16">
      <c r="A908" s="7" t="s">
        <v>166</v>
      </c>
      <c r="B908" s="7" t="str">
        <f>TEXT(Table1[[#This Row],[Date]],"MMM")</f>
        <v>Jan</v>
      </c>
      <c r="C908" t="s">
        <v>49</v>
      </c>
      <c r="D908" t="s">
        <v>28</v>
      </c>
      <c r="E908" t="s">
        <v>29</v>
      </c>
      <c r="F908" t="s">
        <v>30</v>
      </c>
      <c r="G908" t="s">
        <v>67</v>
      </c>
      <c r="H908" t="s">
        <v>51</v>
      </c>
      <c r="I908" s="9">
        <v>420000</v>
      </c>
      <c r="J908">
        <v>7</v>
      </c>
      <c r="K908" t="s">
        <v>42</v>
      </c>
      <c r="L908" s="9">
        <f t="shared" si="14"/>
        <v>336000</v>
      </c>
      <c r="M908" s="9">
        <f>Table1[[#This Row],[Unit Price]]*Table1[[#This Row],[Quantity]]</f>
        <v>2940000</v>
      </c>
      <c r="N908" s="9">
        <f>Table1[[#This Row],[Cost Price]]*Table1[[#This Row],[Quantity]]</f>
        <v>2352000</v>
      </c>
      <c r="O908" s="9">
        <f>Table1[[#This Row],[Revenue]]-Table1[[#This Row],[COGS]]</f>
        <v>588000</v>
      </c>
      <c r="P908" s="6">
        <v>907</v>
      </c>
    </row>
    <row r="909" spans="1:16">
      <c r="A909" s="7" t="s">
        <v>146</v>
      </c>
      <c r="B909" s="7" t="str">
        <f>TEXT(Table1[[#This Row],[Date]],"MMM")</f>
        <v>Jan</v>
      </c>
      <c r="C909" t="s">
        <v>35</v>
      </c>
      <c r="D909" t="s">
        <v>36</v>
      </c>
      <c r="E909" t="s">
        <v>29</v>
      </c>
      <c r="F909" t="s">
        <v>37</v>
      </c>
      <c r="G909" t="s">
        <v>46</v>
      </c>
      <c r="H909" t="s">
        <v>39</v>
      </c>
      <c r="I909" s="9">
        <v>60000</v>
      </c>
      <c r="J909">
        <v>8</v>
      </c>
      <c r="K909" t="s">
        <v>42</v>
      </c>
      <c r="L909" s="9">
        <f t="shared" si="14"/>
        <v>48000</v>
      </c>
      <c r="M909" s="9">
        <f>Table1[[#This Row],[Unit Price]]*Table1[[#This Row],[Quantity]]</f>
        <v>480000</v>
      </c>
      <c r="N909" s="9">
        <f>Table1[[#This Row],[Cost Price]]*Table1[[#This Row],[Quantity]]</f>
        <v>384000</v>
      </c>
      <c r="O909" s="9">
        <f>Table1[[#This Row],[Revenue]]-Table1[[#This Row],[COGS]]</f>
        <v>96000</v>
      </c>
      <c r="P909" s="6">
        <v>908</v>
      </c>
    </row>
    <row r="910" spans="1:16">
      <c r="A910" s="7" t="s">
        <v>105</v>
      </c>
      <c r="B910" s="7" t="str">
        <f>TEXT(Table1[[#This Row],[Date]],"MMM")</f>
        <v>Mar</v>
      </c>
      <c r="C910" t="s">
        <v>44</v>
      </c>
      <c r="D910" t="s">
        <v>45</v>
      </c>
      <c r="E910" t="s">
        <v>29</v>
      </c>
      <c r="F910" t="s">
        <v>37</v>
      </c>
      <c r="G910" t="s">
        <v>50</v>
      </c>
      <c r="H910" t="s">
        <v>51</v>
      </c>
      <c r="I910" s="9">
        <v>300000</v>
      </c>
      <c r="J910">
        <v>1</v>
      </c>
      <c r="K910" t="s">
        <v>58</v>
      </c>
      <c r="L910" s="9">
        <f t="shared" si="14"/>
        <v>240000</v>
      </c>
      <c r="M910" s="9">
        <f>Table1[[#This Row],[Unit Price]]*Table1[[#This Row],[Quantity]]</f>
        <v>300000</v>
      </c>
      <c r="N910" s="9">
        <f>Table1[[#This Row],[Cost Price]]*Table1[[#This Row],[Quantity]]</f>
        <v>240000</v>
      </c>
      <c r="O910" s="9">
        <f>Table1[[#This Row],[Revenue]]-Table1[[#This Row],[COGS]]</f>
        <v>60000</v>
      </c>
      <c r="P910" s="6">
        <v>909</v>
      </c>
    </row>
    <row r="911" spans="1:16">
      <c r="A911" s="7" t="s">
        <v>149</v>
      </c>
      <c r="B911" s="7" t="str">
        <f>TEXT(Table1[[#This Row],[Date]],"MMM")</f>
        <v>Apr</v>
      </c>
      <c r="C911" t="s">
        <v>35</v>
      </c>
      <c r="D911" t="s">
        <v>45</v>
      </c>
      <c r="E911" t="s">
        <v>29</v>
      </c>
      <c r="F911" t="s">
        <v>30</v>
      </c>
      <c r="G911" t="s">
        <v>38</v>
      </c>
      <c r="H911" t="s">
        <v>39</v>
      </c>
      <c r="I911" s="9">
        <v>30000</v>
      </c>
      <c r="J911">
        <v>6</v>
      </c>
      <c r="K911" t="s">
        <v>58</v>
      </c>
      <c r="L911" s="9">
        <f t="shared" si="14"/>
        <v>24000</v>
      </c>
      <c r="M911" s="9">
        <f>Table1[[#This Row],[Unit Price]]*Table1[[#This Row],[Quantity]]</f>
        <v>180000</v>
      </c>
      <c r="N911" s="9">
        <f>Table1[[#This Row],[Cost Price]]*Table1[[#This Row],[Quantity]]</f>
        <v>144000</v>
      </c>
      <c r="O911" s="9">
        <f>Table1[[#This Row],[Revenue]]-Table1[[#This Row],[COGS]]</f>
        <v>36000</v>
      </c>
      <c r="P911" s="6">
        <v>910</v>
      </c>
    </row>
    <row r="912" spans="1:16">
      <c r="A912" s="7" t="s">
        <v>150</v>
      </c>
      <c r="B912" s="7" t="str">
        <f>TEXT(Table1[[#This Row],[Date]],"MMM")</f>
        <v>Jan</v>
      </c>
      <c r="C912" t="s">
        <v>49</v>
      </c>
      <c r="D912" t="s">
        <v>36</v>
      </c>
      <c r="E912" t="s">
        <v>41</v>
      </c>
      <c r="F912" t="s">
        <v>37</v>
      </c>
      <c r="G912" t="s">
        <v>71</v>
      </c>
      <c r="H912" t="s">
        <v>51</v>
      </c>
      <c r="I912" s="9">
        <v>250000</v>
      </c>
      <c r="J912">
        <v>9</v>
      </c>
      <c r="K912" t="s">
        <v>65</v>
      </c>
      <c r="L912" s="9">
        <f t="shared" si="14"/>
        <v>200000</v>
      </c>
      <c r="M912" s="9">
        <f>Table1[[#This Row],[Unit Price]]*Table1[[#This Row],[Quantity]]</f>
        <v>2250000</v>
      </c>
      <c r="N912" s="9">
        <f>Table1[[#This Row],[Cost Price]]*Table1[[#This Row],[Quantity]]</f>
        <v>1800000</v>
      </c>
      <c r="O912" s="9">
        <f>Table1[[#This Row],[Revenue]]-Table1[[#This Row],[COGS]]</f>
        <v>450000</v>
      </c>
      <c r="P912" s="6">
        <v>911</v>
      </c>
    </row>
    <row r="913" spans="1:16">
      <c r="A913" s="7" t="s">
        <v>57</v>
      </c>
      <c r="B913" s="7" t="str">
        <f>TEXT(Table1[[#This Row],[Date]],"MMM")</f>
        <v>Feb</v>
      </c>
      <c r="C913" t="s">
        <v>35</v>
      </c>
      <c r="D913" t="s">
        <v>45</v>
      </c>
      <c r="E913" t="s">
        <v>41</v>
      </c>
      <c r="F913" t="s">
        <v>37</v>
      </c>
      <c r="G913" t="s">
        <v>67</v>
      </c>
      <c r="H913" t="s">
        <v>51</v>
      </c>
      <c r="I913" s="9">
        <v>420000</v>
      </c>
      <c r="J913">
        <v>9</v>
      </c>
      <c r="K913" t="s">
        <v>58</v>
      </c>
      <c r="L913" s="9">
        <f t="shared" si="14"/>
        <v>336000</v>
      </c>
      <c r="M913" s="9">
        <f>Table1[[#This Row],[Unit Price]]*Table1[[#This Row],[Quantity]]</f>
        <v>3780000</v>
      </c>
      <c r="N913" s="9">
        <f>Table1[[#This Row],[Cost Price]]*Table1[[#This Row],[Quantity]]</f>
        <v>3024000</v>
      </c>
      <c r="O913" s="9">
        <f>Table1[[#This Row],[Revenue]]-Table1[[#This Row],[COGS]]</f>
        <v>756000</v>
      </c>
      <c r="P913" s="6">
        <v>912</v>
      </c>
    </row>
    <row r="914" spans="1:16">
      <c r="A914" s="7" t="s">
        <v>135</v>
      </c>
      <c r="B914" s="7" t="str">
        <f>TEXT(Table1[[#This Row],[Date]],"MMM")</f>
        <v>Mar</v>
      </c>
      <c r="C914" t="s">
        <v>35</v>
      </c>
      <c r="D914" t="s">
        <v>45</v>
      </c>
      <c r="E914" t="s">
        <v>41</v>
      </c>
      <c r="F914" t="s">
        <v>37</v>
      </c>
      <c r="G914" t="s">
        <v>62</v>
      </c>
      <c r="H914" t="s">
        <v>51</v>
      </c>
      <c r="I914" s="9">
        <v>150000</v>
      </c>
      <c r="J914">
        <v>9</v>
      </c>
      <c r="K914" t="s">
        <v>58</v>
      </c>
      <c r="L914" s="9">
        <f t="shared" si="14"/>
        <v>120000</v>
      </c>
      <c r="M914" s="9">
        <f>Table1[[#This Row],[Unit Price]]*Table1[[#This Row],[Quantity]]</f>
        <v>1350000</v>
      </c>
      <c r="N914" s="9">
        <f>Table1[[#This Row],[Cost Price]]*Table1[[#This Row],[Quantity]]</f>
        <v>1080000</v>
      </c>
      <c r="O914" s="9">
        <f>Table1[[#This Row],[Revenue]]-Table1[[#This Row],[COGS]]</f>
        <v>270000</v>
      </c>
      <c r="P914" s="6">
        <v>913</v>
      </c>
    </row>
    <row r="915" spans="1:16">
      <c r="A915" s="7" t="s">
        <v>154</v>
      </c>
      <c r="B915" s="7" t="str">
        <f>TEXT(Table1[[#This Row],[Date]],"MMM")</f>
        <v>Feb</v>
      </c>
      <c r="C915" t="s">
        <v>35</v>
      </c>
      <c r="D915" t="s">
        <v>36</v>
      </c>
      <c r="E915" t="s">
        <v>41</v>
      </c>
      <c r="F915" t="s">
        <v>30</v>
      </c>
      <c r="G915" t="s">
        <v>50</v>
      </c>
      <c r="H915" t="s">
        <v>51</v>
      </c>
      <c r="I915" s="9">
        <v>300000</v>
      </c>
      <c r="J915">
        <v>5</v>
      </c>
      <c r="K915" t="s">
        <v>69</v>
      </c>
      <c r="L915" s="9">
        <f t="shared" si="14"/>
        <v>240000</v>
      </c>
      <c r="M915" s="9">
        <f>Table1[[#This Row],[Unit Price]]*Table1[[#This Row],[Quantity]]</f>
        <v>1500000</v>
      </c>
      <c r="N915" s="9">
        <f>Table1[[#This Row],[Cost Price]]*Table1[[#This Row],[Quantity]]</f>
        <v>1200000</v>
      </c>
      <c r="O915" s="9">
        <f>Table1[[#This Row],[Revenue]]-Table1[[#This Row],[COGS]]</f>
        <v>300000</v>
      </c>
      <c r="P915" s="6">
        <v>914</v>
      </c>
    </row>
    <row r="916" spans="1:16">
      <c r="A916" s="7" t="s">
        <v>60</v>
      </c>
      <c r="B916" s="7" t="str">
        <f>TEXT(Table1[[#This Row],[Date]],"MMM")</f>
        <v>Mar</v>
      </c>
      <c r="C916" t="s">
        <v>49</v>
      </c>
      <c r="D916" t="s">
        <v>53</v>
      </c>
      <c r="E916" t="s">
        <v>29</v>
      </c>
      <c r="F916" t="s">
        <v>30</v>
      </c>
      <c r="G916" t="s">
        <v>38</v>
      </c>
      <c r="H916" t="s">
        <v>39</v>
      </c>
      <c r="I916" s="9">
        <v>30000</v>
      </c>
      <c r="J916">
        <v>4</v>
      </c>
      <c r="K916" t="s">
        <v>58</v>
      </c>
      <c r="L916" s="9">
        <f t="shared" si="14"/>
        <v>24000</v>
      </c>
      <c r="M916" s="9">
        <f>Table1[[#This Row],[Unit Price]]*Table1[[#This Row],[Quantity]]</f>
        <v>120000</v>
      </c>
      <c r="N916" s="9">
        <f>Table1[[#This Row],[Cost Price]]*Table1[[#This Row],[Quantity]]</f>
        <v>96000</v>
      </c>
      <c r="O916" s="9">
        <f>Table1[[#This Row],[Revenue]]-Table1[[#This Row],[COGS]]</f>
        <v>24000</v>
      </c>
      <c r="P916" s="6">
        <v>915</v>
      </c>
    </row>
    <row r="917" spans="1:16">
      <c r="A917" s="7" t="s">
        <v>55</v>
      </c>
      <c r="B917" s="7" t="str">
        <f>TEXT(Table1[[#This Row],[Date]],"MMM")</f>
        <v>Mar</v>
      </c>
      <c r="C917" t="s">
        <v>27</v>
      </c>
      <c r="D917" t="s">
        <v>53</v>
      </c>
      <c r="E917" t="s">
        <v>29</v>
      </c>
      <c r="F917" t="s">
        <v>37</v>
      </c>
      <c r="G917" t="s">
        <v>67</v>
      </c>
      <c r="H917" t="s">
        <v>51</v>
      </c>
      <c r="I917" s="9">
        <v>420000</v>
      </c>
      <c r="J917">
        <v>7</v>
      </c>
      <c r="K917" t="s">
        <v>69</v>
      </c>
      <c r="L917" s="9">
        <f t="shared" si="14"/>
        <v>336000</v>
      </c>
      <c r="M917" s="9">
        <f>Table1[[#This Row],[Unit Price]]*Table1[[#This Row],[Quantity]]</f>
        <v>2940000</v>
      </c>
      <c r="N917" s="9">
        <f>Table1[[#This Row],[Cost Price]]*Table1[[#This Row],[Quantity]]</f>
        <v>2352000</v>
      </c>
      <c r="O917" s="9">
        <f>Table1[[#This Row],[Revenue]]-Table1[[#This Row],[COGS]]</f>
        <v>588000</v>
      </c>
      <c r="P917" s="6">
        <v>916</v>
      </c>
    </row>
    <row r="918" spans="1:16">
      <c r="A918" s="7" t="s">
        <v>154</v>
      </c>
      <c r="B918" s="7" t="str">
        <f>TEXT(Table1[[#This Row],[Date]],"MMM")</f>
        <v>Feb</v>
      </c>
      <c r="C918" t="s">
        <v>35</v>
      </c>
      <c r="D918" t="s">
        <v>36</v>
      </c>
      <c r="E918" t="s">
        <v>41</v>
      </c>
      <c r="F918" t="s">
        <v>37</v>
      </c>
      <c r="G918" t="s">
        <v>56</v>
      </c>
      <c r="H918" t="s">
        <v>32</v>
      </c>
      <c r="I918" s="9">
        <v>320000</v>
      </c>
      <c r="J918">
        <v>6</v>
      </c>
      <c r="K918" t="s">
        <v>58</v>
      </c>
      <c r="L918" s="9">
        <f t="shared" si="14"/>
        <v>256000</v>
      </c>
      <c r="M918" s="9">
        <f>Table1[[#This Row],[Unit Price]]*Table1[[#This Row],[Quantity]]</f>
        <v>1920000</v>
      </c>
      <c r="N918" s="9">
        <f>Table1[[#This Row],[Cost Price]]*Table1[[#This Row],[Quantity]]</f>
        <v>1536000</v>
      </c>
      <c r="O918" s="9">
        <f>Table1[[#This Row],[Revenue]]-Table1[[#This Row],[COGS]]</f>
        <v>384000</v>
      </c>
      <c r="P918" s="6">
        <v>917</v>
      </c>
    </row>
    <row r="919" spans="1:16">
      <c r="A919" s="7" t="s">
        <v>108</v>
      </c>
      <c r="B919" s="7" t="str">
        <f>TEXT(Table1[[#This Row],[Date]],"MMM")</f>
        <v>Apr</v>
      </c>
      <c r="C919" t="s">
        <v>44</v>
      </c>
      <c r="D919" t="s">
        <v>53</v>
      </c>
      <c r="E919" t="s">
        <v>29</v>
      </c>
      <c r="F919" t="s">
        <v>30</v>
      </c>
      <c r="G919" t="s">
        <v>31</v>
      </c>
      <c r="H919" t="s">
        <v>32</v>
      </c>
      <c r="I919" s="9">
        <v>85000</v>
      </c>
      <c r="J919">
        <v>2</v>
      </c>
      <c r="K919" t="s">
        <v>69</v>
      </c>
      <c r="L919" s="9">
        <f t="shared" si="14"/>
        <v>68000</v>
      </c>
      <c r="M919" s="9">
        <f>Table1[[#This Row],[Unit Price]]*Table1[[#This Row],[Quantity]]</f>
        <v>170000</v>
      </c>
      <c r="N919" s="9">
        <f>Table1[[#This Row],[Cost Price]]*Table1[[#This Row],[Quantity]]</f>
        <v>136000</v>
      </c>
      <c r="O919" s="9">
        <f>Table1[[#This Row],[Revenue]]-Table1[[#This Row],[COGS]]</f>
        <v>34000</v>
      </c>
      <c r="P919" s="6">
        <v>918</v>
      </c>
    </row>
    <row r="920" spans="1:16">
      <c r="A920" s="7" t="s">
        <v>100</v>
      </c>
      <c r="B920" s="7" t="str">
        <f>TEXT(Table1[[#This Row],[Date]],"MMM")</f>
        <v>Jan</v>
      </c>
      <c r="C920" t="s">
        <v>27</v>
      </c>
      <c r="D920" t="s">
        <v>36</v>
      </c>
      <c r="E920" t="s">
        <v>29</v>
      </c>
      <c r="F920" t="s">
        <v>30</v>
      </c>
      <c r="G920" t="s">
        <v>62</v>
      </c>
      <c r="H920" t="s">
        <v>51</v>
      </c>
      <c r="I920" s="9">
        <v>150000</v>
      </c>
      <c r="J920">
        <v>1</v>
      </c>
      <c r="K920" t="s">
        <v>69</v>
      </c>
      <c r="L920" s="9">
        <f t="shared" si="14"/>
        <v>120000</v>
      </c>
      <c r="M920" s="9">
        <f>Table1[[#This Row],[Unit Price]]*Table1[[#This Row],[Quantity]]</f>
        <v>150000</v>
      </c>
      <c r="N920" s="9">
        <f>Table1[[#This Row],[Cost Price]]*Table1[[#This Row],[Quantity]]</f>
        <v>120000</v>
      </c>
      <c r="O920" s="9">
        <f>Table1[[#This Row],[Revenue]]-Table1[[#This Row],[COGS]]</f>
        <v>30000</v>
      </c>
      <c r="P920" s="6">
        <v>919</v>
      </c>
    </row>
    <row r="921" spans="1:16">
      <c r="A921" s="7" t="s">
        <v>125</v>
      </c>
      <c r="B921" s="7" t="str">
        <f>TEXT(Table1[[#This Row],[Date]],"MMM")</f>
        <v>Feb</v>
      </c>
      <c r="C921" t="s">
        <v>27</v>
      </c>
      <c r="D921" t="s">
        <v>28</v>
      </c>
      <c r="E921" t="s">
        <v>41</v>
      </c>
      <c r="F921" t="s">
        <v>37</v>
      </c>
      <c r="G921" t="s">
        <v>31</v>
      </c>
      <c r="H921" t="s">
        <v>32</v>
      </c>
      <c r="I921" s="9">
        <v>85000</v>
      </c>
      <c r="J921">
        <v>2</v>
      </c>
      <c r="K921" t="s">
        <v>65</v>
      </c>
      <c r="L921" s="9">
        <f t="shared" si="14"/>
        <v>68000</v>
      </c>
      <c r="M921" s="9">
        <f>Table1[[#This Row],[Unit Price]]*Table1[[#This Row],[Quantity]]</f>
        <v>170000</v>
      </c>
      <c r="N921" s="9">
        <f>Table1[[#This Row],[Cost Price]]*Table1[[#This Row],[Quantity]]</f>
        <v>136000</v>
      </c>
      <c r="O921" s="9">
        <f>Table1[[#This Row],[Revenue]]-Table1[[#This Row],[COGS]]</f>
        <v>34000</v>
      </c>
      <c r="P921" s="6">
        <v>920</v>
      </c>
    </row>
    <row r="922" spans="1:16">
      <c r="A922" s="7" t="s">
        <v>43</v>
      </c>
      <c r="B922" s="7" t="str">
        <f>TEXT(Table1[[#This Row],[Date]],"MMM")</f>
        <v>Apr</v>
      </c>
      <c r="C922" t="s">
        <v>27</v>
      </c>
      <c r="D922" t="s">
        <v>53</v>
      </c>
      <c r="E922" t="s">
        <v>41</v>
      </c>
      <c r="F922" t="s">
        <v>30</v>
      </c>
      <c r="G922" t="s">
        <v>31</v>
      </c>
      <c r="H922" t="s">
        <v>32</v>
      </c>
      <c r="I922" s="9">
        <v>85000</v>
      </c>
      <c r="J922">
        <v>1</v>
      </c>
      <c r="K922" t="s">
        <v>47</v>
      </c>
      <c r="L922" s="9">
        <f t="shared" si="14"/>
        <v>68000</v>
      </c>
      <c r="M922" s="9">
        <f>Table1[[#This Row],[Unit Price]]*Table1[[#This Row],[Quantity]]</f>
        <v>85000</v>
      </c>
      <c r="N922" s="9">
        <f>Table1[[#This Row],[Cost Price]]*Table1[[#This Row],[Quantity]]</f>
        <v>68000</v>
      </c>
      <c r="O922" s="9">
        <f>Table1[[#This Row],[Revenue]]-Table1[[#This Row],[COGS]]</f>
        <v>17000</v>
      </c>
      <c r="P922" s="6">
        <v>921</v>
      </c>
    </row>
    <row r="923" spans="1:16">
      <c r="A923" s="7" t="s">
        <v>98</v>
      </c>
      <c r="B923" s="7" t="str">
        <f>TEXT(Table1[[#This Row],[Date]],"MMM")</f>
        <v>Jan</v>
      </c>
      <c r="C923" t="s">
        <v>49</v>
      </c>
      <c r="D923" t="s">
        <v>45</v>
      </c>
      <c r="E923" t="s">
        <v>29</v>
      </c>
      <c r="F923" t="s">
        <v>30</v>
      </c>
      <c r="G923" t="s">
        <v>54</v>
      </c>
      <c r="H923" t="s">
        <v>39</v>
      </c>
      <c r="I923" s="9">
        <v>180000</v>
      </c>
      <c r="J923">
        <v>4</v>
      </c>
      <c r="K923" t="s">
        <v>69</v>
      </c>
      <c r="L923" s="9">
        <f t="shared" si="14"/>
        <v>144000</v>
      </c>
      <c r="M923" s="9">
        <f>Table1[[#This Row],[Unit Price]]*Table1[[#This Row],[Quantity]]</f>
        <v>720000</v>
      </c>
      <c r="N923" s="9">
        <f>Table1[[#This Row],[Cost Price]]*Table1[[#This Row],[Quantity]]</f>
        <v>576000</v>
      </c>
      <c r="O923" s="9">
        <f>Table1[[#This Row],[Revenue]]-Table1[[#This Row],[COGS]]</f>
        <v>144000</v>
      </c>
      <c r="P923" s="6">
        <v>922</v>
      </c>
    </row>
    <row r="924" spans="1:16">
      <c r="A924" s="7" t="s">
        <v>78</v>
      </c>
      <c r="B924" s="7" t="str">
        <f>TEXT(Table1[[#This Row],[Date]],"MMM")</f>
        <v>Apr</v>
      </c>
      <c r="C924" t="s">
        <v>35</v>
      </c>
      <c r="D924" t="s">
        <v>28</v>
      </c>
      <c r="E924" t="s">
        <v>41</v>
      </c>
      <c r="F924" t="s">
        <v>30</v>
      </c>
      <c r="G924" t="s">
        <v>67</v>
      </c>
      <c r="H924" t="s">
        <v>51</v>
      </c>
      <c r="I924" s="9">
        <v>420000</v>
      </c>
      <c r="J924">
        <v>8</v>
      </c>
      <c r="K924" t="s">
        <v>42</v>
      </c>
      <c r="L924" s="9">
        <f t="shared" si="14"/>
        <v>336000</v>
      </c>
      <c r="M924" s="9">
        <f>Table1[[#This Row],[Unit Price]]*Table1[[#This Row],[Quantity]]</f>
        <v>3360000</v>
      </c>
      <c r="N924" s="9">
        <f>Table1[[#This Row],[Cost Price]]*Table1[[#This Row],[Quantity]]</f>
        <v>2688000</v>
      </c>
      <c r="O924" s="9">
        <f>Table1[[#This Row],[Revenue]]-Table1[[#This Row],[COGS]]</f>
        <v>672000</v>
      </c>
      <c r="P924" s="6">
        <v>923</v>
      </c>
    </row>
    <row r="925" spans="1:16">
      <c r="A925" s="7" t="s">
        <v>120</v>
      </c>
      <c r="B925" s="7" t="str">
        <f>TEXT(Table1[[#This Row],[Date]],"MMM")</f>
        <v>Mar</v>
      </c>
      <c r="C925" t="s">
        <v>27</v>
      </c>
      <c r="D925" t="s">
        <v>45</v>
      </c>
      <c r="E925" t="s">
        <v>41</v>
      </c>
      <c r="F925" t="s">
        <v>37</v>
      </c>
      <c r="G925" t="s">
        <v>54</v>
      </c>
      <c r="H925" t="s">
        <v>39</v>
      </c>
      <c r="I925" s="9">
        <v>180000</v>
      </c>
      <c r="J925">
        <v>9</v>
      </c>
      <c r="K925" t="s">
        <v>42</v>
      </c>
      <c r="L925" s="9">
        <f t="shared" si="14"/>
        <v>144000</v>
      </c>
      <c r="M925" s="9">
        <f>Table1[[#This Row],[Unit Price]]*Table1[[#This Row],[Quantity]]</f>
        <v>1620000</v>
      </c>
      <c r="N925" s="9">
        <f>Table1[[#This Row],[Cost Price]]*Table1[[#This Row],[Quantity]]</f>
        <v>1296000</v>
      </c>
      <c r="O925" s="9">
        <f>Table1[[#This Row],[Revenue]]-Table1[[#This Row],[COGS]]</f>
        <v>324000</v>
      </c>
      <c r="P925" s="6">
        <v>924</v>
      </c>
    </row>
    <row r="926" spans="1:16">
      <c r="A926" s="7" t="s">
        <v>158</v>
      </c>
      <c r="B926" s="7" t="str">
        <f>TEXT(Table1[[#This Row],[Date]],"MMM")</f>
        <v>Jan</v>
      </c>
      <c r="C926" t="s">
        <v>49</v>
      </c>
      <c r="D926" t="s">
        <v>36</v>
      </c>
      <c r="E926" t="s">
        <v>41</v>
      </c>
      <c r="F926" t="s">
        <v>37</v>
      </c>
      <c r="G926" t="s">
        <v>50</v>
      </c>
      <c r="H926" t="s">
        <v>51</v>
      </c>
      <c r="I926" s="9">
        <v>300000</v>
      </c>
      <c r="J926">
        <v>5</v>
      </c>
      <c r="K926" t="s">
        <v>69</v>
      </c>
      <c r="L926" s="9">
        <f t="shared" si="14"/>
        <v>240000</v>
      </c>
      <c r="M926" s="9">
        <f>Table1[[#This Row],[Unit Price]]*Table1[[#This Row],[Quantity]]</f>
        <v>1500000</v>
      </c>
      <c r="N926" s="9">
        <f>Table1[[#This Row],[Cost Price]]*Table1[[#This Row],[Quantity]]</f>
        <v>1200000</v>
      </c>
      <c r="O926" s="9">
        <f>Table1[[#This Row],[Revenue]]-Table1[[#This Row],[COGS]]</f>
        <v>300000</v>
      </c>
      <c r="P926" s="6">
        <v>925</v>
      </c>
    </row>
    <row r="927" spans="1:16">
      <c r="A927" s="7" t="s">
        <v>170</v>
      </c>
      <c r="B927" s="7" t="str">
        <f>TEXT(Table1[[#This Row],[Date]],"MMM")</f>
        <v>Jan</v>
      </c>
      <c r="C927" t="s">
        <v>27</v>
      </c>
      <c r="D927" t="s">
        <v>45</v>
      </c>
      <c r="E927" t="s">
        <v>41</v>
      </c>
      <c r="F927" t="s">
        <v>37</v>
      </c>
      <c r="G927" t="s">
        <v>46</v>
      </c>
      <c r="H927" t="s">
        <v>39</v>
      </c>
      <c r="I927" s="9">
        <v>60000</v>
      </c>
      <c r="J927">
        <v>4</v>
      </c>
      <c r="K927" t="s">
        <v>65</v>
      </c>
      <c r="L927" s="9">
        <f t="shared" si="14"/>
        <v>48000</v>
      </c>
      <c r="M927" s="9">
        <f>Table1[[#This Row],[Unit Price]]*Table1[[#This Row],[Quantity]]</f>
        <v>240000</v>
      </c>
      <c r="N927" s="9">
        <f>Table1[[#This Row],[Cost Price]]*Table1[[#This Row],[Quantity]]</f>
        <v>192000</v>
      </c>
      <c r="O927" s="9">
        <f>Table1[[#This Row],[Revenue]]-Table1[[#This Row],[COGS]]</f>
        <v>48000</v>
      </c>
      <c r="P927" s="6">
        <v>926</v>
      </c>
    </row>
    <row r="928" spans="1:16">
      <c r="A928" s="7" t="s">
        <v>145</v>
      </c>
      <c r="B928" s="7" t="str">
        <f>TEXT(Table1[[#This Row],[Date]],"MMM")</f>
        <v>Jan</v>
      </c>
      <c r="C928" t="s">
        <v>35</v>
      </c>
      <c r="D928" t="s">
        <v>36</v>
      </c>
      <c r="E928" t="s">
        <v>41</v>
      </c>
      <c r="F928" t="s">
        <v>30</v>
      </c>
      <c r="G928" t="s">
        <v>71</v>
      </c>
      <c r="H928" t="s">
        <v>51</v>
      </c>
      <c r="I928" s="9">
        <v>250000</v>
      </c>
      <c r="J928">
        <v>4</v>
      </c>
      <c r="K928" t="s">
        <v>65</v>
      </c>
      <c r="L928" s="9">
        <f t="shared" si="14"/>
        <v>200000</v>
      </c>
      <c r="M928" s="9">
        <f>Table1[[#This Row],[Unit Price]]*Table1[[#This Row],[Quantity]]</f>
        <v>1000000</v>
      </c>
      <c r="N928" s="9">
        <f>Table1[[#This Row],[Cost Price]]*Table1[[#This Row],[Quantity]]</f>
        <v>800000</v>
      </c>
      <c r="O928" s="9">
        <f>Table1[[#This Row],[Revenue]]-Table1[[#This Row],[COGS]]</f>
        <v>200000</v>
      </c>
      <c r="P928" s="6">
        <v>927</v>
      </c>
    </row>
    <row r="929" spans="1:16">
      <c r="A929" s="7" t="s">
        <v>128</v>
      </c>
      <c r="B929" s="7" t="str">
        <f>TEXT(Table1[[#This Row],[Date]],"MMM")</f>
        <v>Mar</v>
      </c>
      <c r="C929" t="s">
        <v>49</v>
      </c>
      <c r="D929" t="s">
        <v>28</v>
      </c>
      <c r="E929" t="s">
        <v>29</v>
      </c>
      <c r="F929" t="s">
        <v>37</v>
      </c>
      <c r="G929" t="s">
        <v>73</v>
      </c>
      <c r="H929" t="s">
        <v>39</v>
      </c>
      <c r="I929" s="9">
        <v>220000</v>
      </c>
      <c r="J929">
        <v>6</v>
      </c>
      <c r="K929" t="s">
        <v>69</v>
      </c>
      <c r="L929" s="9">
        <f t="shared" si="14"/>
        <v>176000</v>
      </c>
      <c r="M929" s="9">
        <f>Table1[[#This Row],[Unit Price]]*Table1[[#This Row],[Quantity]]</f>
        <v>1320000</v>
      </c>
      <c r="N929" s="9">
        <f>Table1[[#This Row],[Cost Price]]*Table1[[#This Row],[Quantity]]</f>
        <v>1056000</v>
      </c>
      <c r="O929" s="9">
        <f>Table1[[#This Row],[Revenue]]-Table1[[#This Row],[COGS]]</f>
        <v>264000</v>
      </c>
      <c r="P929" s="6">
        <v>928</v>
      </c>
    </row>
    <row r="930" spans="1:16">
      <c r="A930" s="7" t="s">
        <v>78</v>
      </c>
      <c r="B930" s="7" t="str">
        <f>TEXT(Table1[[#This Row],[Date]],"MMM")</f>
        <v>Apr</v>
      </c>
      <c r="C930" t="s">
        <v>35</v>
      </c>
      <c r="D930" t="s">
        <v>36</v>
      </c>
      <c r="E930" t="s">
        <v>41</v>
      </c>
      <c r="F930" t="s">
        <v>30</v>
      </c>
      <c r="G930" t="s">
        <v>50</v>
      </c>
      <c r="H930" t="s">
        <v>51</v>
      </c>
      <c r="I930" s="9">
        <v>300000</v>
      </c>
      <c r="J930">
        <v>7</v>
      </c>
      <c r="K930" t="s">
        <v>47</v>
      </c>
      <c r="L930" s="9">
        <f t="shared" si="14"/>
        <v>240000</v>
      </c>
      <c r="M930" s="9">
        <f>Table1[[#This Row],[Unit Price]]*Table1[[#This Row],[Quantity]]</f>
        <v>2100000</v>
      </c>
      <c r="N930" s="9">
        <f>Table1[[#This Row],[Cost Price]]*Table1[[#This Row],[Quantity]]</f>
        <v>1680000</v>
      </c>
      <c r="O930" s="9">
        <f>Table1[[#This Row],[Revenue]]-Table1[[#This Row],[COGS]]</f>
        <v>420000</v>
      </c>
      <c r="P930" s="6">
        <v>929</v>
      </c>
    </row>
    <row r="931" spans="1:16">
      <c r="A931" s="7" t="s">
        <v>81</v>
      </c>
      <c r="B931" s="7" t="str">
        <f>TEXT(Table1[[#This Row],[Date]],"MMM")</f>
        <v>Mar</v>
      </c>
      <c r="C931" t="s">
        <v>44</v>
      </c>
      <c r="D931" t="s">
        <v>36</v>
      </c>
      <c r="E931" t="s">
        <v>29</v>
      </c>
      <c r="F931" t="s">
        <v>30</v>
      </c>
      <c r="G931" t="s">
        <v>67</v>
      </c>
      <c r="H931" t="s">
        <v>51</v>
      </c>
      <c r="I931" s="9">
        <v>420000</v>
      </c>
      <c r="J931">
        <v>10</v>
      </c>
      <c r="K931" t="s">
        <v>47</v>
      </c>
      <c r="L931" s="9">
        <f t="shared" si="14"/>
        <v>336000</v>
      </c>
      <c r="M931" s="9">
        <f>Table1[[#This Row],[Unit Price]]*Table1[[#This Row],[Quantity]]</f>
        <v>4200000</v>
      </c>
      <c r="N931" s="9">
        <f>Table1[[#This Row],[Cost Price]]*Table1[[#This Row],[Quantity]]</f>
        <v>3360000</v>
      </c>
      <c r="O931" s="9">
        <f>Table1[[#This Row],[Revenue]]-Table1[[#This Row],[COGS]]</f>
        <v>840000</v>
      </c>
      <c r="P931" s="6">
        <v>930</v>
      </c>
    </row>
    <row r="932" spans="1:16">
      <c r="A932" s="7" t="s">
        <v>91</v>
      </c>
      <c r="B932" s="7" t="str">
        <f>TEXT(Table1[[#This Row],[Date]],"MMM")</f>
        <v>Feb</v>
      </c>
      <c r="C932" t="s">
        <v>27</v>
      </c>
      <c r="D932" t="s">
        <v>36</v>
      </c>
      <c r="E932" t="s">
        <v>41</v>
      </c>
      <c r="F932" t="s">
        <v>37</v>
      </c>
      <c r="G932" t="s">
        <v>38</v>
      </c>
      <c r="H932" t="s">
        <v>39</v>
      </c>
      <c r="I932" s="9">
        <v>30000</v>
      </c>
      <c r="J932">
        <v>7</v>
      </c>
      <c r="K932" t="s">
        <v>47</v>
      </c>
      <c r="L932" s="9">
        <f t="shared" si="14"/>
        <v>24000</v>
      </c>
      <c r="M932" s="9">
        <f>Table1[[#This Row],[Unit Price]]*Table1[[#This Row],[Quantity]]</f>
        <v>210000</v>
      </c>
      <c r="N932" s="9">
        <f>Table1[[#This Row],[Cost Price]]*Table1[[#This Row],[Quantity]]</f>
        <v>168000</v>
      </c>
      <c r="O932" s="9">
        <f>Table1[[#This Row],[Revenue]]-Table1[[#This Row],[COGS]]</f>
        <v>42000</v>
      </c>
      <c r="P932" s="6">
        <v>931</v>
      </c>
    </row>
    <row r="933" spans="1:16">
      <c r="A933" s="7" t="s">
        <v>70</v>
      </c>
      <c r="B933" s="7" t="str">
        <f>TEXT(Table1[[#This Row],[Date]],"MMM")</f>
        <v>Apr</v>
      </c>
      <c r="C933" t="s">
        <v>49</v>
      </c>
      <c r="D933" t="s">
        <v>36</v>
      </c>
      <c r="E933" t="s">
        <v>41</v>
      </c>
      <c r="F933" t="s">
        <v>30</v>
      </c>
      <c r="G933" t="s">
        <v>73</v>
      </c>
      <c r="H933" t="s">
        <v>39</v>
      </c>
      <c r="I933" s="9">
        <v>220000</v>
      </c>
      <c r="J933">
        <v>8</v>
      </c>
      <c r="K933" t="s">
        <v>65</v>
      </c>
      <c r="L933" s="9">
        <f t="shared" si="14"/>
        <v>176000</v>
      </c>
      <c r="M933" s="9">
        <f>Table1[[#This Row],[Unit Price]]*Table1[[#This Row],[Quantity]]</f>
        <v>1760000</v>
      </c>
      <c r="N933" s="9">
        <f>Table1[[#This Row],[Cost Price]]*Table1[[#This Row],[Quantity]]</f>
        <v>1408000</v>
      </c>
      <c r="O933" s="9">
        <f>Table1[[#This Row],[Revenue]]-Table1[[#This Row],[COGS]]</f>
        <v>352000</v>
      </c>
      <c r="P933" s="6">
        <v>932</v>
      </c>
    </row>
    <row r="934" spans="1:16">
      <c r="A934" s="7" t="s">
        <v>63</v>
      </c>
      <c r="B934" s="7" t="str">
        <f>TEXT(Table1[[#This Row],[Date]],"MMM")</f>
        <v>Jan</v>
      </c>
      <c r="C934" t="s">
        <v>44</v>
      </c>
      <c r="D934" t="s">
        <v>53</v>
      </c>
      <c r="E934" t="s">
        <v>29</v>
      </c>
      <c r="F934" t="s">
        <v>37</v>
      </c>
      <c r="G934" t="s">
        <v>56</v>
      </c>
      <c r="H934" t="s">
        <v>32</v>
      </c>
      <c r="I934" s="9">
        <v>320000</v>
      </c>
      <c r="J934">
        <v>9</v>
      </c>
      <c r="K934" t="s">
        <v>42</v>
      </c>
      <c r="L934" s="9">
        <f t="shared" si="14"/>
        <v>256000</v>
      </c>
      <c r="M934" s="9">
        <f>Table1[[#This Row],[Unit Price]]*Table1[[#This Row],[Quantity]]</f>
        <v>2880000</v>
      </c>
      <c r="N934" s="9">
        <f>Table1[[#This Row],[Cost Price]]*Table1[[#This Row],[Quantity]]</f>
        <v>2304000</v>
      </c>
      <c r="O934" s="9">
        <f>Table1[[#This Row],[Revenue]]-Table1[[#This Row],[COGS]]</f>
        <v>576000</v>
      </c>
      <c r="P934" s="6">
        <v>933</v>
      </c>
    </row>
    <row r="935" spans="1:16">
      <c r="A935" s="7" t="s">
        <v>134</v>
      </c>
      <c r="B935" s="7" t="str">
        <f>TEXT(Table1[[#This Row],[Date]],"MMM")</f>
        <v>Jan</v>
      </c>
      <c r="C935" t="s">
        <v>35</v>
      </c>
      <c r="D935" t="s">
        <v>45</v>
      </c>
      <c r="E935" t="s">
        <v>41</v>
      </c>
      <c r="F935" t="s">
        <v>37</v>
      </c>
      <c r="G935" t="s">
        <v>54</v>
      </c>
      <c r="H935" t="s">
        <v>39</v>
      </c>
      <c r="I935" s="9">
        <v>180000</v>
      </c>
      <c r="J935">
        <v>8</v>
      </c>
      <c r="K935" t="s">
        <v>47</v>
      </c>
      <c r="L935" s="9">
        <f t="shared" si="14"/>
        <v>144000</v>
      </c>
      <c r="M935" s="9">
        <f>Table1[[#This Row],[Unit Price]]*Table1[[#This Row],[Quantity]]</f>
        <v>1440000</v>
      </c>
      <c r="N935" s="9">
        <f>Table1[[#This Row],[Cost Price]]*Table1[[#This Row],[Quantity]]</f>
        <v>1152000</v>
      </c>
      <c r="O935" s="9">
        <f>Table1[[#This Row],[Revenue]]-Table1[[#This Row],[COGS]]</f>
        <v>288000</v>
      </c>
      <c r="P935" s="6">
        <v>934</v>
      </c>
    </row>
    <row r="936" spans="1:16">
      <c r="A936" s="7" t="s">
        <v>64</v>
      </c>
      <c r="B936" s="7" t="str">
        <f>TEXT(Table1[[#This Row],[Date]],"MMM")</f>
        <v>Apr</v>
      </c>
      <c r="C936" t="s">
        <v>49</v>
      </c>
      <c r="D936" t="s">
        <v>28</v>
      </c>
      <c r="E936" t="s">
        <v>29</v>
      </c>
      <c r="F936" t="s">
        <v>30</v>
      </c>
      <c r="G936" t="s">
        <v>38</v>
      </c>
      <c r="H936" t="s">
        <v>39</v>
      </c>
      <c r="I936" s="9">
        <v>30000</v>
      </c>
      <c r="J936">
        <v>5</v>
      </c>
      <c r="K936" t="s">
        <v>58</v>
      </c>
      <c r="L936" s="9">
        <f t="shared" si="14"/>
        <v>24000</v>
      </c>
      <c r="M936" s="9">
        <f>Table1[[#This Row],[Unit Price]]*Table1[[#This Row],[Quantity]]</f>
        <v>150000</v>
      </c>
      <c r="N936" s="9">
        <f>Table1[[#This Row],[Cost Price]]*Table1[[#This Row],[Quantity]]</f>
        <v>120000</v>
      </c>
      <c r="O936" s="9">
        <f>Table1[[#This Row],[Revenue]]-Table1[[#This Row],[COGS]]</f>
        <v>30000</v>
      </c>
      <c r="P936" s="6">
        <v>935</v>
      </c>
    </row>
    <row r="937" spans="1:16">
      <c r="A937" s="7" t="s">
        <v>85</v>
      </c>
      <c r="B937" s="7" t="str">
        <f>TEXT(Table1[[#This Row],[Date]],"MMM")</f>
        <v>Feb</v>
      </c>
      <c r="C937" t="s">
        <v>44</v>
      </c>
      <c r="D937" t="s">
        <v>45</v>
      </c>
      <c r="E937" t="s">
        <v>29</v>
      </c>
      <c r="F937" t="s">
        <v>37</v>
      </c>
      <c r="G937" t="s">
        <v>56</v>
      </c>
      <c r="H937" t="s">
        <v>32</v>
      </c>
      <c r="I937" s="9">
        <v>320000</v>
      </c>
      <c r="J937">
        <v>8</v>
      </c>
      <c r="K937" t="s">
        <v>47</v>
      </c>
      <c r="L937" s="9">
        <f t="shared" si="14"/>
        <v>256000</v>
      </c>
      <c r="M937" s="9">
        <f>Table1[[#This Row],[Unit Price]]*Table1[[#This Row],[Quantity]]</f>
        <v>2560000</v>
      </c>
      <c r="N937" s="9">
        <f>Table1[[#This Row],[Cost Price]]*Table1[[#This Row],[Quantity]]</f>
        <v>2048000</v>
      </c>
      <c r="O937" s="9">
        <f>Table1[[#This Row],[Revenue]]-Table1[[#This Row],[COGS]]</f>
        <v>512000</v>
      </c>
      <c r="P937" s="6">
        <v>936</v>
      </c>
    </row>
    <row r="938" spans="1:16">
      <c r="A938" s="7" t="s">
        <v>109</v>
      </c>
      <c r="B938" s="7" t="str">
        <f>TEXT(Table1[[#This Row],[Date]],"MMM")</f>
        <v>Mar</v>
      </c>
      <c r="C938" t="s">
        <v>49</v>
      </c>
      <c r="D938" t="s">
        <v>36</v>
      </c>
      <c r="E938" t="s">
        <v>29</v>
      </c>
      <c r="F938" t="s">
        <v>37</v>
      </c>
      <c r="G938" t="s">
        <v>56</v>
      </c>
      <c r="H938" t="s">
        <v>32</v>
      </c>
      <c r="I938" s="9">
        <v>320000</v>
      </c>
      <c r="J938">
        <v>8</v>
      </c>
      <c r="K938" t="s">
        <v>42</v>
      </c>
      <c r="L938" s="9">
        <f t="shared" si="14"/>
        <v>256000</v>
      </c>
      <c r="M938" s="9">
        <f>Table1[[#This Row],[Unit Price]]*Table1[[#This Row],[Quantity]]</f>
        <v>2560000</v>
      </c>
      <c r="N938" s="9">
        <f>Table1[[#This Row],[Cost Price]]*Table1[[#This Row],[Quantity]]</f>
        <v>2048000</v>
      </c>
      <c r="O938" s="9">
        <f>Table1[[#This Row],[Revenue]]-Table1[[#This Row],[COGS]]</f>
        <v>512000</v>
      </c>
      <c r="P938" s="6">
        <v>937</v>
      </c>
    </row>
    <row r="939" spans="1:16">
      <c r="A939" s="7" t="s">
        <v>117</v>
      </c>
      <c r="B939" s="7" t="str">
        <f>TEXT(Table1[[#This Row],[Date]],"MMM")</f>
        <v>Jan</v>
      </c>
      <c r="C939" t="s">
        <v>35</v>
      </c>
      <c r="D939" t="s">
        <v>45</v>
      </c>
      <c r="E939" t="s">
        <v>41</v>
      </c>
      <c r="F939" t="s">
        <v>37</v>
      </c>
      <c r="G939" t="s">
        <v>38</v>
      </c>
      <c r="H939" t="s">
        <v>39</v>
      </c>
      <c r="I939" s="9">
        <v>30000</v>
      </c>
      <c r="J939">
        <v>4</v>
      </c>
      <c r="K939" t="s">
        <v>47</v>
      </c>
      <c r="L939" s="9">
        <f t="shared" si="14"/>
        <v>24000</v>
      </c>
      <c r="M939" s="9">
        <f>Table1[[#This Row],[Unit Price]]*Table1[[#This Row],[Quantity]]</f>
        <v>120000</v>
      </c>
      <c r="N939" s="9">
        <f>Table1[[#This Row],[Cost Price]]*Table1[[#This Row],[Quantity]]</f>
        <v>96000</v>
      </c>
      <c r="O939" s="9">
        <f>Table1[[#This Row],[Revenue]]-Table1[[#This Row],[COGS]]</f>
        <v>24000</v>
      </c>
      <c r="P939" s="6">
        <v>938</v>
      </c>
    </row>
    <row r="940" spans="1:16">
      <c r="A940" s="7" t="s">
        <v>34</v>
      </c>
      <c r="B940" s="7" t="str">
        <f>TEXT(Table1[[#This Row],[Date]],"MMM")</f>
        <v>Apr</v>
      </c>
      <c r="C940" t="s">
        <v>27</v>
      </c>
      <c r="D940" t="s">
        <v>53</v>
      </c>
      <c r="E940" t="s">
        <v>29</v>
      </c>
      <c r="F940" t="s">
        <v>37</v>
      </c>
      <c r="G940" t="s">
        <v>54</v>
      </c>
      <c r="H940" t="s">
        <v>39</v>
      </c>
      <c r="I940" s="9">
        <v>180000</v>
      </c>
      <c r="J940">
        <v>3</v>
      </c>
      <c r="K940" t="s">
        <v>58</v>
      </c>
      <c r="L940" s="9">
        <f t="shared" si="14"/>
        <v>144000</v>
      </c>
      <c r="M940" s="9">
        <f>Table1[[#This Row],[Unit Price]]*Table1[[#This Row],[Quantity]]</f>
        <v>540000</v>
      </c>
      <c r="N940" s="9">
        <f>Table1[[#This Row],[Cost Price]]*Table1[[#This Row],[Quantity]]</f>
        <v>432000</v>
      </c>
      <c r="O940" s="9">
        <f>Table1[[#This Row],[Revenue]]-Table1[[#This Row],[COGS]]</f>
        <v>108000</v>
      </c>
      <c r="P940" s="6">
        <v>939</v>
      </c>
    </row>
    <row r="941" spans="1:16">
      <c r="A941" s="7" t="s">
        <v>76</v>
      </c>
      <c r="B941" s="7" t="str">
        <f>TEXT(Table1[[#This Row],[Date]],"MMM")</f>
        <v>May</v>
      </c>
      <c r="C941" t="s">
        <v>49</v>
      </c>
      <c r="D941" t="s">
        <v>45</v>
      </c>
      <c r="E941" t="s">
        <v>29</v>
      </c>
      <c r="F941" t="s">
        <v>30</v>
      </c>
      <c r="G941" t="s">
        <v>54</v>
      </c>
      <c r="H941" t="s">
        <v>39</v>
      </c>
      <c r="I941" s="9">
        <v>180000</v>
      </c>
      <c r="J941">
        <v>9</v>
      </c>
      <c r="K941" t="s">
        <v>58</v>
      </c>
      <c r="L941" s="9">
        <f t="shared" si="14"/>
        <v>144000</v>
      </c>
      <c r="M941" s="9">
        <f>Table1[[#This Row],[Unit Price]]*Table1[[#This Row],[Quantity]]</f>
        <v>1620000</v>
      </c>
      <c r="N941" s="9">
        <f>Table1[[#This Row],[Cost Price]]*Table1[[#This Row],[Quantity]]</f>
        <v>1296000</v>
      </c>
      <c r="O941" s="9">
        <f>Table1[[#This Row],[Revenue]]-Table1[[#This Row],[COGS]]</f>
        <v>324000</v>
      </c>
      <c r="P941" s="6">
        <v>940</v>
      </c>
    </row>
    <row r="942" spans="1:16">
      <c r="A942" s="7" t="s">
        <v>154</v>
      </c>
      <c r="B942" s="7" t="str">
        <f>TEXT(Table1[[#This Row],[Date]],"MMM")</f>
        <v>Feb</v>
      </c>
      <c r="C942" t="s">
        <v>49</v>
      </c>
      <c r="D942" t="s">
        <v>36</v>
      </c>
      <c r="E942" t="s">
        <v>41</v>
      </c>
      <c r="F942" t="s">
        <v>37</v>
      </c>
      <c r="G942" t="s">
        <v>54</v>
      </c>
      <c r="H942" t="s">
        <v>39</v>
      </c>
      <c r="I942" s="9">
        <v>180000</v>
      </c>
      <c r="J942">
        <v>1</v>
      </c>
      <c r="K942" t="s">
        <v>47</v>
      </c>
      <c r="L942" s="9">
        <f t="shared" si="14"/>
        <v>144000</v>
      </c>
      <c r="M942" s="9">
        <f>Table1[[#This Row],[Unit Price]]*Table1[[#This Row],[Quantity]]</f>
        <v>180000</v>
      </c>
      <c r="N942" s="9">
        <f>Table1[[#This Row],[Cost Price]]*Table1[[#This Row],[Quantity]]</f>
        <v>144000</v>
      </c>
      <c r="O942" s="9">
        <f>Table1[[#This Row],[Revenue]]-Table1[[#This Row],[COGS]]</f>
        <v>36000</v>
      </c>
      <c r="P942" s="6">
        <v>941</v>
      </c>
    </row>
    <row r="943" spans="1:16">
      <c r="A943" s="7" t="s">
        <v>119</v>
      </c>
      <c r="B943" s="7" t="str">
        <f>TEXT(Table1[[#This Row],[Date]],"MMM")</f>
        <v>Feb</v>
      </c>
      <c r="C943" t="s">
        <v>27</v>
      </c>
      <c r="D943" t="s">
        <v>53</v>
      </c>
      <c r="E943" t="s">
        <v>41</v>
      </c>
      <c r="F943" t="s">
        <v>30</v>
      </c>
      <c r="G943" t="s">
        <v>73</v>
      </c>
      <c r="H943" t="s">
        <v>39</v>
      </c>
      <c r="I943" s="9">
        <v>220000</v>
      </c>
      <c r="J943">
        <v>6</v>
      </c>
      <c r="K943" t="s">
        <v>42</v>
      </c>
      <c r="L943" s="9">
        <f t="shared" si="14"/>
        <v>176000</v>
      </c>
      <c r="M943" s="9">
        <f>Table1[[#This Row],[Unit Price]]*Table1[[#This Row],[Quantity]]</f>
        <v>1320000</v>
      </c>
      <c r="N943" s="9">
        <f>Table1[[#This Row],[Cost Price]]*Table1[[#This Row],[Quantity]]</f>
        <v>1056000</v>
      </c>
      <c r="O943" s="9">
        <f>Table1[[#This Row],[Revenue]]-Table1[[#This Row],[COGS]]</f>
        <v>264000</v>
      </c>
      <c r="P943" s="6">
        <v>942</v>
      </c>
    </row>
    <row r="944" spans="1:16">
      <c r="A944" s="7" t="s">
        <v>137</v>
      </c>
      <c r="B944" s="7" t="str">
        <f>TEXT(Table1[[#This Row],[Date]],"MMM")</f>
        <v>Apr</v>
      </c>
      <c r="C944" t="s">
        <v>35</v>
      </c>
      <c r="D944" t="s">
        <v>36</v>
      </c>
      <c r="E944" t="s">
        <v>29</v>
      </c>
      <c r="F944" t="s">
        <v>30</v>
      </c>
      <c r="G944" t="s">
        <v>50</v>
      </c>
      <c r="H944" t="s">
        <v>51</v>
      </c>
      <c r="I944" s="9">
        <v>300000</v>
      </c>
      <c r="J944">
        <v>3</v>
      </c>
      <c r="K944" t="s">
        <v>42</v>
      </c>
      <c r="L944" s="9">
        <f t="shared" si="14"/>
        <v>240000</v>
      </c>
      <c r="M944" s="9">
        <f>Table1[[#This Row],[Unit Price]]*Table1[[#This Row],[Quantity]]</f>
        <v>900000</v>
      </c>
      <c r="N944" s="9">
        <f>Table1[[#This Row],[Cost Price]]*Table1[[#This Row],[Quantity]]</f>
        <v>720000</v>
      </c>
      <c r="O944" s="9">
        <f>Table1[[#This Row],[Revenue]]-Table1[[#This Row],[COGS]]</f>
        <v>180000</v>
      </c>
      <c r="P944" s="6">
        <v>943</v>
      </c>
    </row>
    <row r="945" spans="1:16">
      <c r="A945" s="7" t="s">
        <v>112</v>
      </c>
      <c r="B945" s="7" t="str">
        <f>TEXT(Table1[[#This Row],[Date]],"MMM")</f>
        <v>Feb</v>
      </c>
      <c r="C945" t="s">
        <v>44</v>
      </c>
      <c r="D945" t="s">
        <v>36</v>
      </c>
      <c r="E945" t="s">
        <v>41</v>
      </c>
      <c r="F945" t="s">
        <v>37</v>
      </c>
      <c r="G945" t="s">
        <v>56</v>
      </c>
      <c r="H945" t="s">
        <v>32</v>
      </c>
      <c r="I945" s="9">
        <v>320000</v>
      </c>
      <c r="J945">
        <v>1</v>
      </c>
      <c r="K945" t="s">
        <v>58</v>
      </c>
      <c r="L945" s="9">
        <f t="shared" si="14"/>
        <v>256000</v>
      </c>
      <c r="M945" s="9">
        <f>Table1[[#This Row],[Unit Price]]*Table1[[#This Row],[Quantity]]</f>
        <v>320000</v>
      </c>
      <c r="N945" s="9">
        <f>Table1[[#This Row],[Cost Price]]*Table1[[#This Row],[Quantity]]</f>
        <v>256000</v>
      </c>
      <c r="O945" s="9">
        <f>Table1[[#This Row],[Revenue]]-Table1[[#This Row],[COGS]]</f>
        <v>64000</v>
      </c>
      <c r="P945" s="6">
        <v>944</v>
      </c>
    </row>
    <row r="946" spans="1:16">
      <c r="A946" s="7" t="s">
        <v>131</v>
      </c>
      <c r="B946" s="7" t="str">
        <f>TEXT(Table1[[#This Row],[Date]],"MMM")</f>
        <v>Mar</v>
      </c>
      <c r="C946" t="s">
        <v>44</v>
      </c>
      <c r="D946" t="s">
        <v>28</v>
      </c>
      <c r="E946" t="s">
        <v>41</v>
      </c>
      <c r="F946" t="s">
        <v>37</v>
      </c>
      <c r="G946" t="s">
        <v>62</v>
      </c>
      <c r="H946" t="s">
        <v>51</v>
      </c>
      <c r="I946" s="9">
        <v>150000</v>
      </c>
      <c r="J946">
        <v>6</v>
      </c>
      <c r="K946" t="s">
        <v>58</v>
      </c>
      <c r="L946" s="9">
        <f t="shared" si="14"/>
        <v>120000</v>
      </c>
      <c r="M946" s="9">
        <f>Table1[[#This Row],[Unit Price]]*Table1[[#This Row],[Quantity]]</f>
        <v>900000</v>
      </c>
      <c r="N946" s="9">
        <f>Table1[[#This Row],[Cost Price]]*Table1[[#This Row],[Quantity]]</f>
        <v>720000</v>
      </c>
      <c r="O946" s="9">
        <f>Table1[[#This Row],[Revenue]]-Table1[[#This Row],[COGS]]</f>
        <v>180000</v>
      </c>
      <c r="P946" s="6">
        <v>945</v>
      </c>
    </row>
    <row r="947" spans="1:16">
      <c r="A947" s="7" t="s">
        <v>95</v>
      </c>
      <c r="B947" s="7" t="str">
        <f>TEXT(Table1[[#This Row],[Date]],"MMM")</f>
        <v>Feb</v>
      </c>
      <c r="C947" t="s">
        <v>35</v>
      </c>
      <c r="D947" t="s">
        <v>36</v>
      </c>
      <c r="E947" t="s">
        <v>41</v>
      </c>
      <c r="F947" t="s">
        <v>37</v>
      </c>
      <c r="G947" t="s">
        <v>73</v>
      </c>
      <c r="H947" t="s">
        <v>39</v>
      </c>
      <c r="I947" s="9">
        <v>220000</v>
      </c>
      <c r="J947">
        <v>7</v>
      </c>
      <c r="K947" t="s">
        <v>42</v>
      </c>
      <c r="L947" s="9">
        <f t="shared" si="14"/>
        <v>176000</v>
      </c>
      <c r="M947" s="9">
        <f>Table1[[#This Row],[Unit Price]]*Table1[[#This Row],[Quantity]]</f>
        <v>1540000</v>
      </c>
      <c r="N947" s="9">
        <f>Table1[[#This Row],[Cost Price]]*Table1[[#This Row],[Quantity]]</f>
        <v>1232000</v>
      </c>
      <c r="O947" s="9">
        <f>Table1[[#This Row],[Revenue]]-Table1[[#This Row],[COGS]]</f>
        <v>308000</v>
      </c>
      <c r="P947" s="6">
        <v>946</v>
      </c>
    </row>
    <row r="948" spans="1:16">
      <c r="A948" s="7" t="s">
        <v>89</v>
      </c>
      <c r="B948" s="7" t="str">
        <f>TEXT(Table1[[#This Row],[Date]],"MMM")</f>
        <v>Feb</v>
      </c>
      <c r="C948" t="s">
        <v>27</v>
      </c>
      <c r="D948" t="s">
        <v>36</v>
      </c>
      <c r="E948" t="s">
        <v>29</v>
      </c>
      <c r="F948" t="s">
        <v>30</v>
      </c>
      <c r="G948" t="s">
        <v>73</v>
      </c>
      <c r="H948" t="s">
        <v>39</v>
      </c>
      <c r="I948" s="9">
        <v>220000</v>
      </c>
      <c r="J948">
        <v>1</v>
      </c>
      <c r="K948" t="s">
        <v>47</v>
      </c>
      <c r="L948" s="9">
        <f t="shared" si="14"/>
        <v>176000</v>
      </c>
      <c r="M948" s="9">
        <f>Table1[[#This Row],[Unit Price]]*Table1[[#This Row],[Quantity]]</f>
        <v>220000</v>
      </c>
      <c r="N948" s="9">
        <f>Table1[[#This Row],[Cost Price]]*Table1[[#This Row],[Quantity]]</f>
        <v>176000</v>
      </c>
      <c r="O948" s="9">
        <f>Table1[[#This Row],[Revenue]]-Table1[[#This Row],[COGS]]</f>
        <v>44000</v>
      </c>
      <c r="P948" s="6">
        <v>947</v>
      </c>
    </row>
    <row r="949" spans="1:16">
      <c r="A949" s="7" t="s">
        <v>107</v>
      </c>
      <c r="B949" s="7" t="str">
        <f>TEXT(Table1[[#This Row],[Date]],"MMM")</f>
        <v>Feb</v>
      </c>
      <c r="C949" t="s">
        <v>35</v>
      </c>
      <c r="D949" t="s">
        <v>28</v>
      </c>
      <c r="E949" t="s">
        <v>29</v>
      </c>
      <c r="F949" t="s">
        <v>30</v>
      </c>
      <c r="G949" t="s">
        <v>31</v>
      </c>
      <c r="H949" t="s">
        <v>32</v>
      </c>
      <c r="I949" s="9">
        <v>85000</v>
      </c>
      <c r="J949">
        <v>4</v>
      </c>
      <c r="K949" t="s">
        <v>58</v>
      </c>
      <c r="L949" s="9">
        <f t="shared" si="14"/>
        <v>68000</v>
      </c>
      <c r="M949" s="9">
        <f>Table1[[#This Row],[Unit Price]]*Table1[[#This Row],[Quantity]]</f>
        <v>340000</v>
      </c>
      <c r="N949" s="9">
        <f>Table1[[#This Row],[Cost Price]]*Table1[[#This Row],[Quantity]]</f>
        <v>272000</v>
      </c>
      <c r="O949" s="9">
        <f>Table1[[#This Row],[Revenue]]-Table1[[#This Row],[COGS]]</f>
        <v>68000</v>
      </c>
      <c r="P949" s="6">
        <v>948</v>
      </c>
    </row>
    <row r="950" spans="1:16">
      <c r="A950" s="7" t="s">
        <v>52</v>
      </c>
      <c r="B950" s="7" t="str">
        <f>TEXT(Table1[[#This Row],[Date]],"MMM")</f>
        <v>Mar</v>
      </c>
      <c r="C950" t="s">
        <v>27</v>
      </c>
      <c r="D950" t="s">
        <v>53</v>
      </c>
      <c r="E950" t="s">
        <v>41</v>
      </c>
      <c r="F950" t="s">
        <v>30</v>
      </c>
      <c r="G950" t="s">
        <v>71</v>
      </c>
      <c r="H950" t="s">
        <v>51</v>
      </c>
      <c r="I950" s="9">
        <v>250000</v>
      </c>
      <c r="J950">
        <v>10</v>
      </c>
      <c r="K950" t="s">
        <v>58</v>
      </c>
      <c r="L950" s="9">
        <f t="shared" si="14"/>
        <v>200000</v>
      </c>
      <c r="M950" s="9">
        <f>Table1[[#This Row],[Unit Price]]*Table1[[#This Row],[Quantity]]</f>
        <v>2500000</v>
      </c>
      <c r="N950" s="9">
        <f>Table1[[#This Row],[Cost Price]]*Table1[[#This Row],[Quantity]]</f>
        <v>2000000</v>
      </c>
      <c r="O950" s="9">
        <f>Table1[[#This Row],[Revenue]]-Table1[[#This Row],[COGS]]</f>
        <v>500000</v>
      </c>
      <c r="P950" s="6">
        <v>949</v>
      </c>
    </row>
    <row r="951" spans="1:16">
      <c r="A951" s="7" t="s">
        <v>151</v>
      </c>
      <c r="B951" s="7" t="str">
        <f>TEXT(Table1[[#This Row],[Date]],"MMM")</f>
        <v>Feb</v>
      </c>
      <c r="C951" t="s">
        <v>49</v>
      </c>
      <c r="D951" t="s">
        <v>53</v>
      </c>
      <c r="E951" t="s">
        <v>29</v>
      </c>
      <c r="F951" t="s">
        <v>37</v>
      </c>
      <c r="G951" t="s">
        <v>56</v>
      </c>
      <c r="H951" t="s">
        <v>32</v>
      </c>
      <c r="I951" s="9">
        <v>320000</v>
      </c>
      <c r="J951">
        <v>1</v>
      </c>
      <c r="K951" t="s">
        <v>65</v>
      </c>
      <c r="L951" s="9">
        <f t="shared" si="14"/>
        <v>256000</v>
      </c>
      <c r="M951" s="9">
        <f>Table1[[#This Row],[Unit Price]]*Table1[[#This Row],[Quantity]]</f>
        <v>320000</v>
      </c>
      <c r="N951" s="9">
        <f>Table1[[#This Row],[Cost Price]]*Table1[[#This Row],[Quantity]]</f>
        <v>256000</v>
      </c>
      <c r="O951" s="9">
        <f>Table1[[#This Row],[Revenue]]-Table1[[#This Row],[COGS]]</f>
        <v>64000</v>
      </c>
      <c r="P951" s="6">
        <v>950</v>
      </c>
    </row>
    <row r="952" spans="1:16">
      <c r="A952" s="7" t="s">
        <v>125</v>
      </c>
      <c r="B952" s="7" t="str">
        <f>TEXT(Table1[[#This Row],[Date]],"MMM")</f>
        <v>Feb</v>
      </c>
      <c r="C952" t="s">
        <v>27</v>
      </c>
      <c r="D952" t="s">
        <v>28</v>
      </c>
      <c r="E952" t="s">
        <v>41</v>
      </c>
      <c r="F952" t="s">
        <v>37</v>
      </c>
      <c r="G952" t="s">
        <v>46</v>
      </c>
      <c r="H952" t="s">
        <v>39</v>
      </c>
      <c r="I952" s="9">
        <v>60000</v>
      </c>
      <c r="J952">
        <v>8</v>
      </c>
      <c r="K952" t="s">
        <v>42</v>
      </c>
      <c r="L952" s="9">
        <f t="shared" si="14"/>
        <v>48000</v>
      </c>
      <c r="M952" s="9">
        <f>Table1[[#This Row],[Unit Price]]*Table1[[#This Row],[Quantity]]</f>
        <v>480000</v>
      </c>
      <c r="N952" s="9">
        <f>Table1[[#This Row],[Cost Price]]*Table1[[#This Row],[Quantity]]</f>
        <v>384000</v>
      </c>
      <c r="O952" s="9">
        <f>Table1[[#This Row],[Revenue]]-Table1[[#This Row],[COGS]]</f>
        <v>96000</v>
      </c>
      <c r="P952" s="6">
        <v>951</v>
      </c>
    </row>
    <row r="953" spans="1:16">
      <c r="A953" s="7" t="s">
        <v>142</v>
      </c>
      <c r="B953" s="7" t="str">
        <f>TEXT(Table1[[#This Row],[Date]],"MMM")</f>
        <v>Apr</v>
      </c>
      <c r="C953" t="s">
        <v>49</v>
      </c>
      <c r="D953" t="s">
        <v>53</v>
      </c>
      <c r="E953" t="s">
        <v>29</v>
      </c>
      <c r="F953" t="s">
        <v>37</v>
      </c>
      <c r="G953" t="s">
        <v>67</v>
      </c>
      <c r="H953" t="s">
        <v>51</v>
      </c>
      <c r="I953" s="9">
        <v>420000</v>
      </c>
      <c r="J953">
        <v>2</v>
      </c>
      <c r="K953" t="s">
        <v>65</v>
      </c>
      <c r="L953" s="9">
        <f t="shared" si="14"/>
        <v>336000</v>
      </c>
      <c r="M953" s="9">
        <f>Table1[[#This Row],[Unit Price]]*Table1[[#This Row],[Quantity]]</f>
        <v>840000</v>
      </c>
      <c r="N953" s="9">
        <f>Table1[[#This Row],[Cost Price]]*Table1[[#This Row],[Quantity]]</f>
        <v>672000</v>
      </c>
      <c r="O953" s="9">
        <f>Table1[[#This Row],[Revenue]]-Table1[[#This Row],[COGS]]</f>
        <v>168000</v>
      </c>
      <c r="P953" s="6">
        <v>952</v>
      </c>
    </row>
    <row r="954" spans="1:16">
      <c r="A954" s="7" t="s">
        <v>161</v>
      </c>
      <c r="B954" s="7" t="str">
        <f>TEXT(Table1[[#This Row],[Date]],"MMM")</f>
        <v>Mar</v>
      </c>
      <c r="C954" t="s">
        <v>49</v>
      </c>
      <c r="D954" t="s">
        <v>45</v>
      </c>
      <c r="E954" t="s">
        <v>41</v>
      </c>
      <c r="F954" t="s">
        <v>30</v>
      </c>
      <c r="G954" t="s">
        <v>71</v>
      </c>
      <c r="H954" t="s">
        <v>51</v>
      </c>
      <c r="I954" s="9">
        <v>250000</v>
      </c>
      <c r="J954">
        <v>2</v>
      </c>
      <c r="K954" t="s">
        <v>33</v>
      </c>
      <c r="L954" s="9">
        <f t="shared" si="14"/>
        <v>200000</v>
      </c>
      <c r="M954" s="9">
        <f>Table1[[#This Row],[Unit Price]]*Table1[[#This Row],[Quantity]]</f>
        <v>500000</v>
      </c>
      <c r="N954" s="9">
        <f>Table1[[#This Row],[Cost Price]]*Table1[[#This Row],[Quantity]]</f>
        <v>400000</v>
      </c>
      <c r="O954" s="9">
        <f>Table1[[#This Row],[Revenue]]-Table1[[#This Row],[COGS]]</f>
        <v>100000</v>
      </c>
      <c r="P954" s="6">
        <v>953</v>
      </c>
    </row>
    <row r="955" spans="1:16">
      <c r="A955" s="7" t="s">
        <v>81</v>
      </c>
      <c r="B955" s="7" t="str">
        <f>TEXT(Table1[[#This Row],[Date]],"MMM")</f>
        <v>Mar</v>
      </c>
      <c r="C955" t="s">
        <v>27</v>
      </c>
      <c r="D955" t="s">
        <v>36</v>
      </c>
      <c r="E955" t="s">
        <v>29</v>
      </c>
      <c r="F955" t="s">
        <v>37</v>
      </c>
      <c r="G955" t="s">
        <v>73</v>
      </c>
      <c r="H955" t="s">
        <v>39</v>
      </c>
      <c r="I955" s="9">
        <v>220000</v>
      </c>
      <c r="J955">
        <v>6</v>
      </c>
      <c r="K955" t="s">
        <v>69</v>
      </c>
      <c r="L955" s="9">
        <f t="shared" si="14"/>
        <v>176000</v>
      </c>
      <c r="M955" s="9">
        <f>Table1[[#This Row],[Unit Price]]*Table1[[#This Row],[Quantity]]</f>
        <v>1320000</v>
      </c>
      <c r="N955" s="9">
        <f>Table1[[#This Row],[Cost Price]]*Table1[[#This Row],[Quantity]]</f>
        <v>1056000</v>
      </c>
      <c r="O955" s="9">
        <f>Table1[[#This Row],[Revenue]]-Table1[[#This Row],[COGS]]</f>
        <v>264000</v>
      </c>
      <c r="P955" s="6">
        <v>954</v>
      </c>
    </row>
    <row r="956" spans="1:16">
      <c r="A956" s="7" t="s">
        <v>34</v>
      </c>
      <c r="B956" s="7" t="str">
        <f>TEXT(Table1[[#This Row],[Date]],"MMM")</f>
        <v>Apr</v>
      </c>
      <c r="C956" t="s">
        <v>49</v>
      </c>
      <c r="D956" t="s">
        <v>36</v>
      </c>
      <c r="E956" t="s">
        <v>41</v>
      </c>
      <c r="F956" t="s">
        <v>37</v>
      </c>
      <c r="G956" t="s">
        <v>46</v>
      </c>
      <c r="H956" t="s">
        <v>39</v>
      </c>
      <c r="I956" s="9">
        <v>60000</v>
      </c>
      <c r="J956">
        <v>1</v>
      </c>
      <c r="K956" t="s">
        <v>58</v>
      </c>
      <c r="L956" s="9">
        <f t="shared" si="14"/>
        <v>48000</v>
      </c>
      <c r="M956" s="9">
        <f>Table1[[#This Row],[Unit Price]]*Table1[[#This Row],[Quantity]]</f>
        <v>60000</v>
      </c>
      <c r="N956" s="9">
        <f>Table1[[#This Row],[Cost Price]]*Table1[[#This Row],[Quantity]]</f>
        <v>48000</v>
      </c>
      <c r="O956" s="9">
        <f>Table1[[#This Row],[Revenue]]-Table1[[#This Row],[COGS]]</f>
        <v>12000</v>
      </c>
      <c r="P956" s="6">
        <v>955</v>
      </c>
    </row>
    <row r="957" spans="1:16">
      <c r="A957" s="7" t="s">
        <v>136</v>
      </c>
      <c r="B957" s="7" t="str">
        <f>TEXT(Table1[[#This Row],[Date]],"MMM")</f>
        <v>Feb</v>
      </c>
      <c r="C957" t="s">
        <v>27</v>
      </c>
      <c r="D957" t="s">
        <v>28</v>
      </c>
      <c r="E957" t="s">
        <v>29</v>
      </c>
      <c r="F957" t="s">
        <v>37</v>
      </c>
      <c r="G957" t="s">
        <v>31</v>
      </c>
      <c r="H957" t="s">
        <v>32</v>
      </c>
      <c r="I957" s="9">
        <v>85000</v>
      </c>
      <c r="J957">
        <v>9</v>
      </c>
      <c r="K957" t="s">
        <v>69</v>
      </c>
      <c r="L957" s="9">
        <f t="shared" si="14"/>
        <v>68000</v>
      </c>
      <c r="M957" s="9">
        <f>Table1[[#This Row],[Unit Price]]*Table1[[#This Row],[Quantity]]</f>
        <v>765000</v>
      </c>
      <c r="N957" s="9">
        <f>Table1[[#This Row],[Cost Price]]*Table1[[#This Row],[Quantity]]</f>
        <v>612000</v>
      </c>
      <c r="O957" s="9">
        <f>Table1[[#This Row],[Revenue]]-Table1[[#This Row],[COGS]]</f>
        <v>153000</v>
      </c>
      <c r="P957" s="6">
        <v>956</v>
      </c>
    </row>
    <row r="958" spans="1:16">
      <c r="A958" s="7" t="s">
        <v>176</v>
      </c>
      <c r="B958" s="7" t="str">
        <f>TEXT(Table1[[#This Row],[Date]],"MMM")</f>
        <v>Jan</v>
      </c>
      <c r="C958" t="s">
        <v>44</v>
      </c>
      <c r="D958" t="s">
        <v>36</v>
      </c>
      <c r="E958" t="s">
        <v>29</v>
      </c>
      <c r="F958" t="s">
        <v>37</v>
      </c>
      <c r="G958" t="s">
        <v>46</v>
      </c>
      <c r="H958" t="s">
        <v>39</v>
      </c>
      <c r="I958" s="9">
        <v>60000</v>
      </c>
      <c r="J958">
        <v>9</v>
      </c>
      <c r="K958" t="s">
        <v>65</v>
      </c>
      <c r="L958" s="9">
        <f t="shared" si="14"/>
        <v>48000</v>
      </c>
      <c r="M958" s="9">
        <f>Table1[[#This Row],[Unit Price]]*Table1[[#This Row],[Quantity]]</f>
        <v>540000</v>
      </c>
      <c r="N958" s="9">
        <f>Table1[[#This Row],[Cost Price]]*Table1[[#This Row],[Quantity]]</f>
        <v>432000</v>
      </c>
      <c r="O958" s="9">
        <f>Table1[[#This Row],[Revenue]]-Table1[[#This Row],[COGS]]</f>
        <v>108000</v>
      </c>
      <c r="P958" s="6">
        <v>957</v>
      </c>
    </row>
    <row r="959" spans="1:16">
      <c r="A959" s="7" t="s">
        <v>114</v>
      </c>
      <c r="B959" s="7" t="str">
        <f>TEXT(Table1[[#This Row],[Date]],"MMM")</f>
        <v>Apr</v>
      </c>
      <c r="C959" t="s">
        <v>35</v>
      </c>
      <c r="D959" t="s">
        <v>45</v>
      </c>
      <c r="E959" t="s">
        <v>41</v>
      </c>
      <c r="F959" t="s">
        <v>37</v>
      </c>
      <c r="G959" t="s">
        <v>31</v>
      </c>
      <c r="H959" t="s">
        <v>32</v>
      </c>
      <c r="I959" s="9">
        <v>85000</v>
      </c>
      <c r="J959">
        <v>7</v>
      </c>
      <c r="K959" t="s">
        <v>42</v>
      </c>
      <c r="L959" s="9">
        <f t="shared" si="14"/>
        <v>68000</v>
      </c>
      <c r="M959" s="9">
        <f>Table1[[#This Row],[Unit Price]]*Table1[[#This Row],[Quantity]]</f>
        <v>595000</v>
      </c>
      <c r="N959" s="9">
        <f>Table1[[#This Row],[Cost Price]]*Table1[[#This Row],[Quantity]]</f>
        <v>476000</v>
      </c>
      <c r="O959" s="9">
        <f>Table1[[#This Row],[Revenue]]-Table1[[#This Row],[COGS]]</f>
        <v>119000</v>
      </c>
      <c r="P959" s="6">
        <v>958</v>
      </c>
    </row>
    <row r="960" spans="1:16">
      <c r="A960" s="7" t="s">
        <v>95</v>
      </c>
      <c r="B960" s="7" t="str">
        <f>TEXT(Table1[[#This Row],[Date]],"MMM")</f>
        <v>Feb</v>
      </c>
      <c r="C960" t="s">
        <v>44</v>
      </c>
      <c r="D960" t="s">
        <v>53</v>
      </c>
      <c r="E960" t="s">
        <v>29</v>
      </c>
      <c r="F960" t="s">
        <v>30</v>
      </c>
      <c r="G960" t="s">
        <v>56</v>
      </c>
      <c r="H960" t="s">
        <v>32</v>
      </c>
      <c r="I960" s="9">
        <v>320000</v>
      </c>
      <c r="J960">
        <v>4</v>
      </c>
      <c r="K960" t="s">
        <v>47</v>
      </c>
      <c r="L960" s="9">
        <f t="shared" si="14"/>
        <v>256000</v>
      </c>
      <c r="M960" s="9">
        <f>Table1[[#This Row],[Unit Price]]*Table1[[#This Row],[Quantity]]</f>
        <v>1280000</v>
      </c>
      <c r="N960" s="9">
        <f>Table1[[#This Row],[Cost Price]]*Table1[[#This Row],[Quantity]]</f>
        <v>1024000</v>
      </c>
      <c r="O960" s="9">
        <f>Table1[[#This Row],[Revenue]]-Table1[[#This Row],[COGS]]</f>
        <v>256000</v>
      </c>
      <c r="P960" s="6">
        <v>959</v>
      </c>
    </row>
    <row r="961" spans="1:16">
      <c r="A961" s="7" t="s">
        <v>78</v>
      </c>
      <c r="B961" s="7" t="str">
        <f>TEXT(Table1[[#This Row],[Date]],"MMM")</f>
        <v>Apr</v>
      </c>
      <c r="C961" t="s">
        <v>44</v>
      </c>
      <c r="D961" t="s">
        <v>53</v>
      </c>
      <c r="E961" t="s">
        <v>41</v>
      </c>
      <c r="F961" t="s">
        <v>30</v>
      </c>
      <c r="G961" t="s">
        <v>71</v>
      </c>
      <c r="H961" t="s">
        <v>51</v>
      </c>
      <c r="I961" s="9">
        <v>250000</v>
      </c>
      <c r="J961">
        <v>4</v>
      </c>
      <c r="K961" t="s">
        <v>58</v>
      </c>
      <c r="L961" s="9">
        <f t="shared" si="14"/>
        <v>200000</v>
      </c>
      <c r="M961" s="9">
        <f>Table1[[#This Row],[Unit Price]]*Table1[[#This Row],[Quantity]]</f>
        <v>1000000</v>
      </c>
      <c r="N961" s="9">
        <f>Table1[[#This Row],[Cost Price]]*Table1[[#This Row],[Quantity]]</f>
        <v>800000</v>
      </c>
      <c r="O961" s="9">
        <f>Table1[[#This Row],[Revenue]]-Table1[[#This Row],[COGS]]</f>
        <v>200000</v>
      </c>
      <c r="P961" s="6">
        <v>960</v>
      </c>
    </row>
    <row r="962" spans="1:16">
      <c r="A962" s="7" t="s">
        <v>171</v>
      </c>
      <c r="B962" s="7" t="str">
        <f>TEXT(Table1[[#This Row],[Date]],"MMM")</f>
        <v>Mar</v>
      </c>
      <c r="C962" t="s">
        <v>35</v>
      </c>
      <c r="D962" t="s">
        <v>45</v>
      </c>
      <c r="E962" t="s">
        <v>41</v>
      </c>
      <c r="F962" t="s">
        <v>30</v>
      </c>
      <c r="G962" t="s">
        <v>46</v>
      </c>
      <c r="H962" t="s">
        <v>39</v>
      </c>
      <c r="I962" s="9">
        <v>60000</v>
      </c>
      <c r="J962">
        <v>8</v>
      </c>
      <c r="K962" t="s">
        <v>42</v>
      </c>
      <c r="L962" s="9">
        <f t="shared" ref="L962:L1025" si="15">I962-I962*0.2</f>
        <v>48000</v>
      </c>
      <c r="M962" s="9">
        <f>Table1[[#This Row],[Unit Price]]*Table1[[#This Row],[Quantity]]</f>
        <v>480000</v>
      </c>
      <c r="N962" s="9">
        <f>Table1[[#This Row],[Cost Price]]*Table1[[#This Row],[Quantity]]</f>
        <v>384000</v>
      </c>
      <c r="O962" s="9">
        <f>Table1[[#This Row],[Revenue]]-Table1[[#This Row],[COGS]]</f>
        <v>96000</v>
      </c>
      <c r="P962" s="6">
        <v>961</v>
      </c>
    </row>
    <row r="963" spans="1:16">
      <c r="A963" s="7" t="s">
        <v>121</v>
      </c>
      <c r="B963" s="7" t="str">
        <f>TEXT(Table1[[#This Row],[Date]],"MMM")</f>
        <v>Apr</v>
      </c>
      <c r="C963" t="s">
        <v>27</v>
      </c>
      <c r="D963" t="s">
        <v>45</v>
      </c>
      <c r="E963" t="s">
        <v>41</v>
      </c>
      <c r="F963" t="s">
        <v>30</v>
      </c>
      <c r="G963" t="s">
        <v>67</v>
      </c>
      <c r="H963" t="s">
        <v>51</v>
      </c>
      <c r="I963" s="9">
        <v>420000</v>
      </c>
      <c r="J963">
        <v>2</v>
      </c>
      <c r="K963" t="s">
        <v>69</v>
      </c>
      <c r="L963" s="9">
        <f t="shared" si="15"/>
        <v>336000</v>
      </c>
      <c r="M963" s="9">
        <f>Table1[[#This Row],[Unit Price]]*Table1[[#This Row],[Quantity]]</f>
        <v>840000</v>
      </c>
      <c r="N963" s="9">
        <f>Table1[[#This Row],[Cost Price]]*Table1[[#This Row],[Quantity]]</f>
        <v>672000</v>
      </c>
      <c r="O963" s="9">
        <f>Table1[[#This Row],[Revenue]]-Table1[[#This Row],[COGS]]</f>
        <v>168000</v>
      </c>
      <c r="P963" s="6">
        <v>962</v>
      </c>
    </row>
    <row r="964" spans="1:16">
      <c r="A964" s="7" t="s">
        <v>160</v>
      </c>
      <c r="B964" s="7" t="str">
        <f>TEXT(Table1[[#This Row],[Date]],"MMM")</f>
        <v>Jan</v>
      </c>
      <c r="C964" t="s">
        <v>35</v>
      </c>
      <c r="D964" t="s">
        <v>53</v>
      </c>
      <c r="E964" t="s">
        <v>41</v>
      </c>
      <c r="F964" t="s">
        <v>37</v>
      </c>
      <c r="G964" t="s">
        <v>62</v>
      </c>
      <c r="H964" t="s">
        <v>51</v>
      </c>
      <c r="I964" s="9">
        <v>150000</v>
      </c>
      <c r="J964">
        <v>1</v>
      </c>
      <c r="K964" t="s">
        <v>58</v>
      </c>
      <c r="L964" s="9">
        <f t="shared" si="15"/>
        <v>120000</v>
      </c>
      <c r="M964" s="9">
        <f>Table1[[#This Row],[Unit Price]]*Table1[[#This Row],[Quantity]]</f>
        <v>150000</v>
      </c>
      <c r="N964" s="9">
        <f>Table1[[#This Row],[Cost Price]]*Table1[[#This Row],[Quantity]]</f>
        <v>120000</v>
      </c>
      <c r="O964" s="9">
        <f>Table1[[#This Row],[Revenue]]-Table1[[#This Row],[COGS]]</f>
        <v>30000</v>
      </c>
      <c r="P964" s="6">
        <v>963</v>
      </c>
    </row>
    <row r="965" spans="1:16">
      <c r="A965" s="7" t="s">
        <v>48</v>
      </c>
      <c r="B965" s="7" t="str">
        <f>TEXT(Table1[[#This Row],[Date]],"MMM")</f>
        <v>Apr</v>
      </c>
      <c r="C965" t="s">
        <v>44</v>
      </c>
      <c r="D965" t="s">
        <v>36</v>
      </c>
      <c r="E965" t="s">
        <v>29</v>
      </c>
      <c r="F965" t="s">
        <v>30</v>
      </c>
      <c r="G965" t="s">
        <v>71</v>
      </c>
      <c r="H965" t="s">
        <v>51</v>
      </c>
      <c r="I965" s="9">
        <v>250000</v>
      </c>
      <c r="J965">
        <v>8</v>
      </c>
      <c r="K965" t="s">
        <v>65</v>
      </c>
      <c r="L965" s="9">
        <f t="shared" si="15"/>
        <v>200000</v>
      </c>
      <c r="M965" s="9">
        <f>Table1[[#This Row],[Unit Price]]*Table1[[#This Row],[Quantity]]</f>
        <v>2000000</v>
      </c>
      <c r="N965" s="9">
        <f>Table1[[#This Row],[Cost Price]]*Table1[[#This Row],[Quantity]]</f>
        <v>1600000</v>
      </c>
      <c r="O965" s="9">
        <f>Table1[[#This Row],[Revenue]]-Table1[[#This Row],[COGS]]</f>
        <v>400000</v>
      </c>
      <c r="P965" s="6">
        <v>964</v>
      </c>
    </row>
    <row r="966" spans="1:16">
      <c r="A966" s="7" t="s">
        <v>155</v>
      </c>
      <c r="B966" s="7" t="str">
        <f>TEXT(Table1[[#This Row],[Date]],"MMM")</f>
        <v>Apr</v>
      </c>
      <c r="C966" t="s">
        <v>27</v>
      </c>
      <c r="D966" t="s">
        <v>53</v>
      </c>
      <c r="E966" t="s">
        <v>29</v>
      </c>
      <c r="F966" t="s">
        <v>30</v>
      </c>
      <c r="G966" t="s">
        <v>50</v>
      </c>
      <c r="H966" t="s">
        <v>51</v>
      </c>
      <c r="I966" s="9">
        <v>300000</v>
      </c>
      <c r="J966">
        <v>10</v>
      </c>
      <c r="K966" t="s">
        <v>69</v>
      </c>
      <c r="L966" s="9">
        <f t="shared" si="15"/>
        <v>240000</v>
      </c>
      <c r="M966" s="9">
        <f>Table1[[#This Row],[Unit Price]]*Table1[[#This Row],[Quantity]]</f>
        <v>3000000</v>
      </c>
      <c r="N966" s="9">
        <f>Table1[[#This Row],[Cost Price]]*Table1[[#This Row],[Quantity]]</f>
        <v>2400000</v>
      </c>
      <c r="O966" s="9">
        <f>Table1[[#This Row],[Revenue]]-Table1[[#This Row],[COGS]]</f>
        <v>600000</v>
      </c>
      <c r="P966" s="6">
        <v>965</v>
      </c>
    </row>
    <row r="967" spans="1:16">
      <c r="A967" s="7" t="s">
        <v>153</v>
      </c>
      <c r="B967" s="7" t="str">
        <f>TEXT(Table1[[#This Row],[Date]],"MMM")</f>
        <v>Mar</v>
      </c>
      <c r="C967" t="s">
        <v>35</v>
      </c>
      <c r="D967" t="s">
        <v>36</v>
      </c>
      <c r="E967" t="s">
        <v>41</v>
      </c>
      <c r="F967" t="s">
        <v>37</v>
      </c>
      <c r="G967" t="s">
        <v>46</v>
      </c>
      <c r="H967" t="s">
        <v>39</v>
      </c>
      <c r="I967" s="9">
        <v>60000</v>
      </c>
      <c r="J967">
        <v>3</v>
      </c>
      <c r="K967" t="s">
        <v>42</v>
      </c>
      <c r="L967" s="9">
        <f t="shared" si="15"/>
        <v>48000</v>
      </c>
      <c r="M967" s="9">
        <f>Table1[[#This Row],[Unit Price]]*Table1[[#This Row],[Quantity]]</f>
        <v>180000</v>
      </c>
      <c r="N967" s="9">
        <f>Table1[[#This Row],[Cost Price]]*Table1[[#This Row],[Quantity]]</f>
        <v>144000</v>
      </c>
      <c r="O967" s="9">
        <f>Table1[[#This Row],[Revenue]]-Table1[[#This Row],[COGS]]</f>
        <v>36000</v>
      </c>
      <c r="P967" s="6">
        <v>966</v>
      </c>
    </row>
    <row r="968" spans="1:16">
      <c r="A968" s="7" t="s">
        <v>152</v>
      </c>
      <c r="B968" s="7" t="str">
        <f>TEXT(Table1[[#This Row],[Date]],"MMM")</f>
        <v>Jan</v>
      </c>
      <c r="C968" t="s">
        <v>27</v>
      </c>
      <c r="D968" t="s">
        <v>53</v>
      </c>
      <c r="E968" t="s">
        <v>41</v>
      </c>
      <c r="F968" t="s">
        <v>30</v>
      </c>
      <c r="G968" t="s">
        <v>31</v>
      </c>
      <c r="H968" t="s">
        <v>32</v>
      </c>
      <c r="I968" s="9">
        <v>85000</v>
      </c>
      <c r="J968">
        <v>1</v>
      </c>
      <c r="K968" t="s">
        <v>42</v>
      </c>
      <c r="L968" s="9">
        <f t="shared" si="15"/>
        <v>68000</v>
      </c>
      <c r="M968" s="9">
        <f>Table1[[#This Row],[Unit Price]]*Table1[[#This Row],[Quantity]]</f>
        <v>85000</v>
      </c>
      <c r="N968" s="9">
        <f>Table1[[#This Row],[Cost Price]]*Table1[[#This Row],[Quantity]]</f>
        <v>68000</v>
      </c>
      <c r="O968" s="9">
        <f>Table1[[#This Row],[Revenue]]-Table1[[#This Row],[COGS]]</f>
        <v>17000</v>
      </c>
      <c r="P968" s="6">
        <v>967</v>
      </c>
    </row>
    <row r="969" spans="1:16">
      <c r="A969" s="7" t="s">
        <v>119</v>
      </c>
      <c r="B969" s="7" t="str">
        <f>TEXT(Table1[[#This Row],[Date]],"MMM")</f>
        <v>Feb</v>
      </c>
      <c r="C969" t="s">
        <v>35</v>
      </c>
      <c r="D969" t="s">
        <v>36</v>
      </c>
      <c r="E969" t="s">
        <v>41</v>
      </c>
      <c r="F969" t="s">
        <v>30</v>
      </c>
      <c r="G969" t="s">
        <v>54</v>
      </c>
      <c r="H969" t="s">
        <v>39</v>
      </c>
      <c r="I969" s="9">
        <v>180000</v>
      </c>
      <c r="J969">
        <v>7</v>
      </c>
      <c r="K969" t="s">
        <v>33</v>
      </c>
      <c r="L969" s="9">
        <f t="shared" si="15"/>
        <v>144000</v>
      </c>
      <c r="M969" s="9">
        <f>Table1[[#This Row],[Unit Price]]*Table1[[#This Row],[Quantity]]</f>
        <v>1260000</v>
      </c>
      <c r="N969" s="9">
        <f>Table1[[#This Row],[Cost Price]]*Table1[[#This Row],[Quantity]]</f>
        <v>1008000</v>
      </c>
      <c r="O969" s="9">
        <f>Table1[[#This Row],[Revenue]]-Table1[[#This Row],[COGS]]</f>
        <v>252000</v>
      </c>
      <c r="P969" s="6">
        <v>968</v>
      </c>
    </row>
    <row r="970" spans="1:16">
      <c r="A970" s="7" t="s">
        <v>171</v>
      </c>
      <c r="B970" s="7" t="str">
        <f>TEXT(Table1[[#This Row],[Date]],"MMM")</f>
        <v>Mar</v>
      </c>
      <c r="C970" t="s">
        <v>35</v>
      </c>
      <c r="D970" t="s">
        <v>45</v>
      </c>
      <c r="E970" t="s">
        <v>41</v>
      </c>
      <c r="F970" t="s">
        <v>30</v>
      </c>
      <c r="G970" t="s">
        <v>71</v>
      </c>
      <c r="H970" t="s">
        <v>51</v>
      </c>
      <c r="I970" s="9">
        <v>250000</v>
      </c>
      <c r="J970">
        <v>6</v>
      </c>
      <c r="K970" t="s">
        <v>47</v>
      </c>
      <c r="L970" s="9">
        <f t="shared" si="15"/>
        <v>200000</v>
      </c>
      <c r="M970" s="9">
        <f>Table1[[#This Row],[Unit Price]]*Table1[[#This Row],[Quantity]]</f>
        <v>1500000</v>
      </c>
      <c r="N970" s="9">
        <f>Table1[[#This Row],[Cost Price]]*Table1[[#This Row],[Quantity]]</f>
        <v>1200000</v>
      </c>
      <c r="O970" s="9">
        <f>Table1[[#This Row],[Revenue]]-Table1[[#This Row],[COGS]]</f>
        <v>300000</v>
      </c>
      <c r="P970" s="6">
        <v>969</v>
      </c>
    </row>
    <row r="971" spans="1:16">
      <c r="A971" s="7" t="s">
        <v>100</v>
      </c>
      <c r="B971" s="7" t="str">
        <f>TEXT(Table1[[#This Row],[Date]],"MMM")</f>
        <v>Jan</v>
      </c>
      <c r="C971" t="s">
        <v>27</v>
      </c>
      <c r="D971" t="s">
        <v>28</v>
      </c>
      <c r="E971" t="s">
        <v>41</v>
      </c>
      <c r="F971" t="s">
        <v>30</v>
      </c>
      <c r="G971" t="s">
        <v>67</v>
      </c>
      <c r="H971" t="s">
        <v>51</v>
      </c>
      <c r="I971" s="9">
        <v>420000</v>
      </c>
      <c r="J971">
        <v>3</v>
      </c>
      <c r="K971" t="s">
        <v>33</v>
      </c>
      <c r="L971" s="9">
        <f t="shared" si="15"/>
        <v>336000</v>
      </c>
      <c r="M971" s="9">
        <f>Table1[[#This Row],[Unit Price]]*Table1[[#This Row],[Quantity]]</f>
        <v>1260000</v>
      </c>
      <c r="N971" s="9">
        <f>Table1[[#This Row],[Cost Price]]*Table1[[#This Row],[Quantity]]</f>
        <v>1008000</v>
      </c>
      <c r="O971" s="9">
        <f>Table1[[#This Row],[Revenue]]-Table1[[#This Row],[COGS]]</f>
        <v>252000</v>
      </c>
      <c r="P971" s="6">
        <v>970</v>
      </c>
    </row>
    <row r="972" spans="1:16">
      <c r="A972" s="7" t="s">
        <v>157</v>
      </c>
      <c r="B972" s="7" t="str">
        <f>TEXT(Table1[[#This Row],[Date]],"MMM")</f>
        <v>Apr</v>
      </c>
      <c r="C972" t="s">
        <v>27</v>
      </c>
      <c r="D972" t="s">
        <v>28</v>
      </c>
      <c r="E972" t="s">
        <v>29</v>
      </c>
      <c r="F972" t="s">
        <v>30</v>
      </c>
      <c r="G972" t="s">
        <v>38</v>
      </c>
      <c r="H972" t="s">
        <v>39</v>
      </c>
      <c r="I972" s="9">
        <v>30000</v>
      </c>
      <c r="J972">
        <v>1</v>
      </c>
      <c r="K972" t="s">
        <v>47</v>
      </c>
      <c r="L972" s="9">
        <f t="shared" si="15"/>
        <v>24000</v>
      </c>
      <c r="M972" s="9">
        <f>Table1[[#This Row],[Unit Price]]*Table1[[#This Row],[Quantity]]</f>
        <v>30000</v>
      </c>
      <c r="N972" s="9">
        <f>Table1[[#This Row],[Cost Price]]*Table1[[#This Row],[Quantity]]</f>
        <v>24000</v>
      </c>
      <c r="O972" s="9">
        <f>Table1[[#This Row],[Revenue]]-Table1[[#This Row],[COGS]]</f>
        <v>6000</v>
      </c>
      <c r="P972" s="6">
        <v>971</v>
      </c>
    </row>
    <row r="973" spans="1:16">
      <c r="A973" s="7" t="s">
        <v>146</v>
      </c>
      <c r="B973" s="7" t="str">
        <f>TEXT(Table1[[#This Row],[Date]],"MMM")</f>
        <v>Jan</v>
      </c>
      <c r="C973" t="s">
        <v>49</v>
      </c>
      <c r="D973" t="s">
        <v>28</v>
      </c>
      <c r="E973" t="s">
        <v>41</v>
      </c>
      <c r="F973" t="s">
        <v>37</v>
      </c>
      <c r="G973" t="s">
        <v>71</v>
      </c>
      <c r="H973" t="s">
        <v>51</v>
      </c>
      <c r="I973" s="9">
        <v>250000</v>
      </c>
      <c r="J973">
        <v>3</v>
      </c>
      <c r="K973" t="s">
        <v>33</v>
      </c>
      <c r="L973" s="9">
        <f t="shared" si="15"/>
        <v>200000</v>
      </c>
      <c r="M973" s="9">
        <f>Table1[[#This Row],[Unit Price]]*Table1[[#This Row],[Quantity]]</f>
        <v>750000</v>
      </c>
      <c r="N973" s="9">
        <f>Table1[[#This Row],[Cost Price]]*Table1[[#This Row],[Quantity]]</f>
        <v>600000</v>
      </c>
      <c r="O973" s="9">
        <f>Table1[[#This Row],[Revenue]]-Table1[[#This Row],[COGS]]</f>
        <v>150000</v>
      </c>
      <c r="P973" s="6">
        <v>972</v>
      </c>
    </row>
    <row r="974" spans="1:16">
      <c r="A974" s="7" t="s">
        <v>60</v>
      </c>
      <c r="B974" s="7" t="str">
        <f>TEXT(Table1[[#This Row],[Date]],"MMM")</f>
        <v>Mar</v>
      </c>
      <c r="C974" t="s">
        <v>35</v>
      </c>
      <c r="D974" t="s">
        <v>45</v>
      </c>
      <c r="E974" t="s">
        <v>29</v>
      </c>
      <c r="F974" t="s">
        <v>30</v>
      </c>
      <c r="G974" t="s">
        <v>56</v>
      </c>
      <c r="H974" t="s">
        <v>32</v>
      </c>
      <c r="I974" s="9">
        <v>320000</v>
      </c>
      <c r="J974">
        <v>10</v>
      </c>
      <c r="K974" t="s">
        <v>33</v>
      </c>
      <c r="L974" s="9">
        <f t="shared" si="15"/>
        <v>256000</v>
      </c>
      <c r="M974" s="9">
        <f>Table1[[#This Row],[Unit Price]]*Table1[[#This Row],[Quantity]]</f>
        <v>3200000</v>
      </c>
      <c r="N974" s="9">
        <f>Table1[[#This Row],[Cost Price]]*Table1[[#This Row],[Quantity]]</f>
        <v>2560000</v>
      </c>
      <c r="O974" s="9">
        <f>Table1[[#This Row],[Revenue]]-Table1[[#This Row],[COGS]]</f>
        <v>640000</v>
      </c>
      <c r="P974" s="6">
        <v>973</v>
      </c>
    </row>
    <row r="975" spans="1:16">
      <c r="A975" s="7" t="s">
        <v>142</v>
      </c>
      <c r="B975" s="7" t="str">
        <f>TEXT(Table1[[#This Row],[Date]],"MMM")</f>
        <v>Apr</v>
      </c>
      <c r="C975" t="s">
        <v>27</v>
      </c>
      <c r="D975" t="s">
        <v>28</v>
      </c>
      <c r="E975" t="s">
        <v>29</v>
      </c>
      <c r="F975" t="s">
        <v>37</v>
      </c>
      <c r="G975" t="s">
        <v>71</v>
      </c>
      <c r="H975" t="s">
        <v>51</v>
      </c>
      <c r="I975" s="9">
        <v>250000</v>
      </c>
      <c r="J975">
        <v>7</v>
      </c>
      <c r="K975" t="s">
        <v>42</v>
      </c>
      <c r="L975" s="9">
        <f t="shared" si="15"/>
        <v>200000</v>
      </c>
      <c r="M975" s="9">
        <f>Table1[[#This Row],[Unit Price]]*Table1[[#This Row],[Quantity]]</f>
        <v>1750000</v>
      </c>
      <c r="N975" s="9">
        <f>Table1[[#This Row],[Cost Price]]*Table1[[#This Row],[Quantity]]</f>
        <v>1400000</v>
      </c>
      <c r="O975" s="9">
        <f>Table1[[#This Row],[Revenue]]-Table1[[#This Row],[COGS]]</f>
        <v>350000</v>
      </c>
      <c r="P975" s="6">
        <v>974</v>
      </c>
    </row>
    <row r="976" spans="1:16">
      <c r="A976" s="7" t="s">
        <v>90</v>
      </c>
      <c r="B976" s="7" t="str">
        <f>TEXT(Table1[[#This Row],[Date]],"MMM")</f>
        <v>Feb</v>
      </c>
      <c r="C976" t="s">
        <v>49</v>
      </c>
      <c r="D976" t="s">
        <v>36</v>
      </c>
      <c r="E976" t="s">
        <v>41</v>
      </c>
      <c r="F976" t="s">
        <v>30</v>
      </c>
      <c r="G976" t="s">
        <v>56</v>
      </c>
      <c r="H976" t="s">
        <v>32</v>
      </c>
      <c r="I976" s="9">
        <v>320000</v>
      </c>
      <c r="J976">
        <v>2</v>
      </c>
      <c r="K976" t="s">
        <v>47</v>
      </c>
      <c r="L976" s="9">
        <f t="shared" si="15"/>
        <v>256000</v>
      </c>
      <c r="M976" s="9">
        <f>Table1[[#This Row],[Unit Price]]*Table1[[#This Row],[Quantity]]</f>
        <v>640000</v>
      </c>
      <c r="N976" s="9">
        <f>Table1[[#This Row],[Cost Price]]*Table1[[#This Row],[Quantity]]</f>
        <v>512000</v>
      </c>
      <c r="O976" s="9">
        <f>Table1[[#This Row],[Revenue]]-Table1[[#This Row],[COGS]]</f>
        <v>128000</v>
      </c>
      <c r="P976" s="6">
        <v>975</v>
      </c>
    </row>
    <row r="977" spans="1:16">
      <c r="A977" s="7" t="s">
        <v>121</v>
      </c>
      <c r="B977" s="7" t="str">
        <f>TEXT(Table1[[#This Row],[Date]],"MMM")</f>
        <v>Apr</v>
      </c>
      <c r="C977" t="s">
        <v>49</v>
      </c>
      <c r="D977" t="s">
        <v>28</v>
      </c>
      <c r="E977" t="s">
        <v>41</v>
      </c>
      <c r="F977" t="s">
        <v>37</v>
      </c>
      <c r="G977" t="s">
        <v>73</v>
      </c>
      <c r="H977" t="s">
        <v>39</v>
      </c>
      <c r="I977" s="9">
        <v>220000</v>
      </c>
      <c r="J977">
        <v>5</v>
      </c>
      <c r="K977" t="s">
        <v>58</v>
      </c>
      <c r="L977" s="9">
        <f t="shared" si="15"/>
        <v>176000</v>
      </c>
      <c r="M977" s="9">
        <f>Table1[[#This Row],[Unit Price]]*Table1[[#This Row],[Quantity]]</f>
        <v>1100000</v>
      </c>
      <c r="N977" s="9">
        <f>Table1[[#This Row],[Cost Price]]*Table1[[#This Row],[Quantity]]</f>
        <v>880000</v>
      </c>
      <c r="O977" s="9">
        <f>Table1[[#This Row],[Revenue]]-Table1[[#This Row],[COGS]]</f>
        <v>220000</v>
      </c>
      <c r="P977" s="6">
        <v>976</v>
      </c>
    </row>
    <row r="978" spans="1:16">
      <c r="A978" s="7" t="s">
        <v>148</v>
      </c>
      <c r="B978" s="7" t="str">
        <f>TEXT(Table1[[#This Row],[Date]],"MMM")</f>
        <v>Feb</v>
      </c>
      <c r="C978" t="s">
        <v>49</v>
      </c>
      <c r="D978" t="s">
        <v>53</v>
      </c>
      <c r="E978" t="s">
        <v>41</v>
      </c>
      <c r="F978" t="s">
        <v>37</v>
      </c>
      <c r="G978" t="s">
        <v>67</v>
      </c>
      <c r="H978" t="s">
        <v>51</v>
      </c>
      <c r="I978" s="9">
        <v>420000</v>
      </c>
      <c r="J978">
        <v>3</v>
      </c>
      <c r="K978" t="s">
        <v>58</v>
      </c>
      <c r="L978" s="9">
        <f t="shared" si="15"/>
        <v>336000</v>
      </c>
      <c r="M978" s="9">
        <f>Table1[[#This Row],[Unit Price]]*Table1[[#This Row],[Quantity]]</f>
        <v>1260000</v>
      </c>
      <c r="N978" s="9">
        <f>Table1[[#This Row],[Cost Price]]*Table1[[#This Row],[Quantity]]</f>
        <v>1008000</v>
      </c>
      <c r="O978" s="9">
        <f>Table1[[#This Row],[Revenue]]-Table1[[#This Row],[COGS]]</f>
        <v>252000</v>
      </c>
      <c r="P978" s="6">
        <v>977</v>
      </c>
    </row>
    <row r="979" spans="1:16">
      <c r="A979" s="7" t="s">
        <v>80</v>
      </c>
      <c r="B979" s="7" t="str">
        <f>TEXT(Table1[[#This Row],[Date]],"MMM")</f>
        <v>Feb</v>
      </c>
      <c r="C979" t="s">
        <v>49</v>
      </c>
      <c r="D979" t="s">
        <v>36</v>
      </c>
      <c r="E979" t="s">
        <v>41</v>
      </c>
      <c r="F979" t="s">
        <v>30</v>
      </c>
      <c r="G979" t="s">
        <v>73</v>
      </c>
      <c r="H979" t="s">
        <v>39</v>
      </c>
      <c r="I979" s="9">
        <v>220000</v>
      </c>
      <c r="J979">
        <v>3</v>
      </c>
      <c r="K979" t="s">
        <v>47</v>
      </c>
      <c r="L979" s="9">
        <f t="shared" si="15"/>
        <v>176000</v>
      </c>
      <c r="M979" s="9">
        <f>Table1[[#This Row],[Unit Price]]*Table1[[#This Row],[Quantity]]</f>
        <v>660000</v>
      </c>
      <c r="N979" s="9">
        <f>Table1[[#This Row],[Cost Price]]*Table1[[#This Row],[Quantity]]</f>
        <v>528000</v>
      </c>
      <c r="O979" s="9">
        <f>Table1[[#This Row],[Revenue]]-Table1[[#This Row],[COGS]]</f>
        <v>132000</v>
      </c>
      <c r="P979" s="6">
        <v>978</v>
      </c>
    </row>
    <row r="980" spans="1:16">
      <c r="A980" s="7" t="s">
        <v>114</v>
      </c>
      <c r="B980" s="7" t="str">
        <f>TEXT(Table1[[#This Row],[Date]],"MMM")</f>
        <v>Apr</v>
      </c>
      <c r="C980" t="s">
        <v>44</v>
      </c>
      <c r="D980" t="s">
        <v>28</v>
      </c>
      <c r="E980" t="s">
        <v>41</v>
      </c>
      <c r="F980" t="s">
        <v>30</v>
      </c>
      <c r="G980" t="s">
        <v>56</v>
      </c>
      <c r="H980" t="s">
        <v>32</v>
      </c>
      <c r="I980" s="9">
        <v>320000</v>
      </c>
      <c r="J980">
        <v>5</v>
      </c>
      <c r="K980" t="s">
        <v>42</v>
      </c>
      <c r="L980" s="9">
        <f t="shared" si="15"/>
        <v>256000</v>
      </c>
      <c r="M980" s="9">
        <f>Table1[[#This Row],[Unit Price]]*Table1[[#This Row],[Quantity]]</f>
        <v>1600000</v>
      </c>
      <c r="N980" s="9">
        <f>Table1[[#This Row],[Cost Price]]*Table1[[#This Row],[Quantity]]</f>
        <v>1280000</v>
      </c>
      <c r="O980" s="9">
        <f>Table1[[#This Row],[Revenue]]-Table1[[#This Row],[COGS]]</f>
        <v>320000</v>
      </c>
      <c r="P980" s="6">
        <v>979</v>
      </c>
    </row>
    <row r="981" spans="1:16">
      <c r="A981" s="7" t="s">
        <v>86</v>
      </c>
      <c r="B981" s="7" t="str">
        <f>TEXT(Table1[[#This Row],[Date]],"MMM")</f>
        <v>Feb</v>
      </c>
      <c r="C981" t="s">
        <v>35</v>
      </c>
      <c r="D981" t="s">
        <v>45</v>
      </c>
      <c r="E981" t="s">
        <v>29</v>
      </c>
      <c r="F981" t="s">
        <v>37</v>
      </c>
      <c r="G981" t="s">
        <v>31</v>
      </c>
      <c r="H981" t="s">
        <v>32</v>
      </c>
      <c r="I981" s="9">
        <v>85000</v>
      </c>
      <c r="J981">
        <v>8</v>
      </c>
      <c r="K981" t="s">
        <v>33</v>
      </c>
      <c r="L981" s="9">
        <f t="shared" si="15"/>
        <v>68000</v>
      </c>
      <c r="M981" s="9">
        <f>Table1[[#This Row],[Unit Price]]*Table1[[#This Row],[Quantity]]</f>
        <v>680000</v>
      </c>
      <c r="N981" s="9">
        <f>Table1[[#This Row],[Cost Price]]*Table1[[#This Row],[Quantity]]</f>
        <v>544000</v>
      </c>
      <c r="O981" s="9">
        <f>Table1[[#This Row],[Revenue]]-Table1[[#This Row],[COGS]]</f>
        <v>136000</v>
      </c>
      <c r="P981" s="6">
        <v>980</v>
      </c>
    </row>
    <row r="982" spans="1:16">
      <c r="A982" s="7" t="s">
        <v>86</v>
      </c>
      <c r="B982" s="7" t="str">
        <f>TEXT(Table1[[#This Row],[Date]],"MMM")</f>
        <v>Feb</v>
      </c>
      <c r="C982" t="s">
        <v>35</v>
      </c>
      <c r="D982" t="s">
        <v>53</v>
      </c>
      <c r="E982" t="s">
        <v>41</v>
      </c>
      <c r="F982" t="s">
        <v>37</v>
      </c>
      <c r="G982" t="s">
        <v>62</v>
      </c>
      <c r="H982" t="s">
        <v>51</v>
      </c>
      <c r="I982" s="9">
        <v>150000</v>
      </c>
      <c r="J982">
        <v>9</v>
      </c>
      <c r="K982" t="s">
        <v>69</v>
      </c>
      <c r="L982" s="9">
        <f t="shared" si="15"/>
        <v>120000</v>
      </c>
      <c r="M982" s="9">
        <f>Table1[[#This Row],[Unit Price]]*Table1[[#This Row],[Quantity]]</f>
        <v>1350000</v>
      </c>
      <c r="N982" s="9">
        <f>Table1[[#This Row],[Cost Price]]*Table1[[#This Row],[Quantity]]</f>
        <v>1080000</v>
      </c>
      <c r="O982" s="9">
        <f>Table1[[#This Row],[Revenue]]-Table1[[#This Row],[COGS]]</f>
        <v>270000</v>
      </c>
      <c r="P982" s="6">
        <v>981</v>
      </c>
    </row>
    <row r="983" spans="1:16">
      <c r="A983" s="7" t="s">
        <v>72</v>
      </c>
      <c r="B983" s="7" t="str">
        <f>TEXT(Table1[[#This Row],[Date]],"MMM")</f>
        <v>Feb</v>
      </c>
      <c r="C983" t="s">
        <v>27</v>
      </c>
      <c r="D983" t="s">
        <v>28</v>
      </c>
      <c r="E983" t="s">
        <v>41</v>
      </c>
      <c r="F983" t="s">
        <v>30</v>
      </c>
      <c r="G983" t="s">
        <v>71</v>
      </c>
      <c r="H983" t="s">
        <v>51</v>
      </c>
      <c r="I983" s="9">
        <v>250000</v>
      </c>
      <c r="J983">
        <v>4</v>
      </c>
      <c r="K983" t="s">
        <v>58</v>
      </c>
      <c r="L983" s="9">
        <f t="shared" si="15"/>
        <v>200000</v>
      </c>
      <c r="M983" s="9">
        <f>Table1[[#This Row],[Unit Price]]*Table1[[#This Row],[Quantity]]</f>
        <v>1000000</v>
      </c>
      <c r="N983" s="9">
        <f>Table1[[#This Row],[Cost Price]]*Table1[[#This Row],[Quantity]]</f>
        <v>800000</v>
      </c>
      <c r="O983" s="9">
        <f>Table1[[#This Row],[Revenue]]-Table1[[#This Row],[COGS]]</f>
        <v>200000</v>
      </c>
      <c r="P983" s="6">
        <v>982</v>
      </c>
    </row>
    <row r="984" spans="1:16">
      <c r="A984" s="7" t="s">
        <v>95</v>
      </c>
      <c r="B984" s="7" t="str">
        <f>TEXT(Table1[[#This Row],[Date]],"MMM")</f>
        <v>Feb</v>
      </c>
      <c r="C984" t="s">
        <v>49</v>
      </c>
      <c r="D984" t="s">
        <v>36</v>
      </c>
      <c r="E984" t="s">
        <v>29</v>
      </c>
      <c r="F984" t="s">
        <v>37</v>
      </c>
      <c r="G984" t="s">
        <v>73</v>
      </c>
      <c r="H984" t="s">
        <v>39</v>
      </c>
      <c r="I984" s="9">
        <v>220000</v>
      </c>
      <c r="J984">
        <v>4</v>
      </c>
      <c r="K984" t="s">
        <v>58</v>
      </c>
      <c r="L984" s="9">
        <f t="shared" si="15"/>
        <v>176000</v>
      </c>
      <c r="M984" s="9">
        <f>Table1[[#This Row],[Unit Price]]*Table1[[#This Row],[Quantity]]</f>
        <v>880000</v>
      </c>
      <c r="N984" s="9">
        <f>Table1[[#This Row],[Cost Price]]*Table1[[#This Row],[Quantity]]</f>
        <v>704000</v>
      </c>
      <c r="O984" s="9">
        <f>Table1[[#This Row],[Revenue]]-Table1[[#This Row],[COGS]]</f>
        <v>176000</v>
      </c>
      <c r="P984" s="6">
        <v>983</v>
      </c>
    </row>
    <row r="985" spans="1:16">
      <c r="A985" s="7" t="s">
        <v>137</v>
      </c>
      <c r="B985" s="7" t="str">
        <f>TEXT(Table1[[#This Row],[Date]],"MMM")</f>
        <v>Apr</v>
      </c>
      <c r="C985" t="s">
        <v>49</v>
      </c>
      <c r="D985" t="s">
        <v>28</v>
      </c>
      <c r="E985" t="s">
        <v>41</v>
      </c>
      <c r="F985" t="s">
        <v>37</v>
      </c>
      <c r="G985" t="s">
        <v>31</v>
      </c>
      <c r="H985" t="s">
        <v>32</v>
      </c>
      <c r="I985" s="9">
        <v>85000</v>
      </c>
      <c r="J985">
        <v>2</v>
      </c>
      <c r="K985" t="s">
        <v>33</v>
      </c>
      <c r="L985" s="9">
        <f t="shared" si="15"/>
        <v>68000</v>
      </c>
      <c r="M985" s="9">
        <f>Table1[[#This Row],[Unit Price]]*Table1[[#This Row],[Quantity]]</f>
        <v>170000</v>
      </c>
      <c r="N985" s="9">
        <f>Table1[[#This Row],[Cost Price]]*Table1[[#This Row],[Quantity]]</f>
        <v>136000</v>
      </c>
      <c r="O985" s="9">
        <f>Table1[[#This Row],[Revenue]]-Table1[[#This Row],[COGS]]</f>
        <v>34000</v>
      </c>
      <c r="P985" s="6">
        <v>984</v>
      </c>
    </row>
    <row r="986" spans="1:16">
      <c r="A986" s="7" t="s">
        <v>159</v>
      </c>
      <c r="B986" s="7" t="str">
        <f>TEXT(Table1[[#This Row],[Date]],"MMM")</f>
        <v>Feb</v>
      </c>
      <c r="C986" t="s">
        <v>35</v>
      </c>
      <c r="D986" t="s">
        <v>28</v>
      </c>
      <c r="E986" t="s">
        <v>29</v>
      </c>
      <c r="F986" t="s">
        <v>30</v>
      </c>
      <c r="G986" t="s">
        <v>71</v>
      </c>
      <c r="H986" t="s">
        <v>51</v>
      </c>
      <c r="I986" s="9">
        <v>250000</v>
      </c>
      <c r="J986">
        <v>3</v>
      </c>
      <c r="K986" t="s">
        <v>58</v>
      </c>
      <c r="L986" s="9">
        <f t="shared" si="15"/>
        <v>200000</v>
      </c>
      <c r="M986" s="9">
        <f>Table1[[#This Row],[Unit Price]]*Table1[[#This Row],[Quantity]]</f>
        <v>750000</v>
      </c>
      <c r="N986" s="9">
        <f>Table1[[#This Row],[Cost Price]]*Table1[[#This Row],[Quantity]]</f>
        <v>600000</v>
      </c>
      <c r="O986" s="9">
        <f>Table1[[#This Row],[Revenue]]-Table1[[#This Row],[COGS]]</f>
        <v>150000</v>
      </c>
      <c r="P986" s="6">
        <v>985</v>
      </c>
    </row>
    <row r="987" spans="1:16">
      <c r="A987" s="7" t="s">
        <v>150</v>
      </c>
      <c r="B987" s="7" t="str">
        <f>TEXT(Table1[[#This Row],[Date]],"MMM")</f>
        <v>Jan</v>
      </c>
      <c r="C987" t="s">
        <v>49</v>
      </c>
      <c r="D987" t="s">
        <v>45</v>
      </c>
      <c r="E987" t="s">
        <v>41</v>
      </c>
      <c r="F987" t="s">
        <v>30</v>
      </c>
      <c r="G987" t="s">
        <v>62</v>
      </c>
      <c r="H987" t="s">
        <v>51</v>
      </c>
      <c r="I987" s="9">
        <v>150000</v>
      </c>
      <c r="J987">
        <v>4</v>
      </c>
      <c r="K987" t="s">
        <v>58</v>
      </c>
      <c r="L987" s="9">
        <f t="shared" si="15"/>
        <v>120000</v>
      </c>
      <c r="M987" s="9">
        <f>Table1[[#This Row],[Unit Price]]*Table1[[#This Row],[Quantity]]</f>
        <v>600000</v>
      </c>
      <c r="N987" s="9">
        <f>Table1[[#This Row],[Cost Price]]*Table1[[#This Row],[Quantity]]</f>
        <v>480000</v>
      </c>
      <c r="O987" s="9">
        <f>Table1[[#This Row],[Revenue]]-Table1[[#This Row],[COGS]]</f>
        <v>120000</v>
      </c>
      <c r="P987" s="6">
        <v>986</v>
      </c>
    </row>
    <row r="988" spans="1:16">
      <c r="A988" s="7" t="s">
        <v>154</v>
      </c>
      <c r="B988" s="7" t="str">
        <f>TEXT(Table1[[#This Row],[Date]],"MMM")</f>
        <v>Feb</v>
      </c>
      <c r="C988" t="s">
        <v>49</v>
      </c>
      <c r="D988" t="s">
        <v>28</v>
      </c>
      <c r="E988" t="s">
        <v>29</v>
      </c>
      <c r="F988" t="s">
        <v>30</v>
      </c>
      <c r="G988" t="s">
        <v>31</v>
      </c>
      <c r="H988" t="s">
        <v>32</v>
      </c>
      <c r="I988" s="9">
        <v>85000</v>
      </c>
      <c r="J988">
        <v>2</v>
      </c>
      <c r="K988" t="s">
        <v>33</v>
      </c>
      <c r="L988" s="9">
        <f t="shared" si="15"/>
        <v>68000</v>
      </c>
      <c r="M988" s="9">
        <f>Table1[[#This Row],[Unit Price]]*Table1[[#This Row],[Quantity]]</f>
        <v>170000</v>
      </c>
      <c r="N988" s="9">
        <f>Table1[[#This Row],[Cost Price]]*Table1[[#This Row],[Quantity]]</f>
        <v>136000</v>
      </c>
      <c r="O988" s="9">
        <f>Table1[[#This Row],[Revenue]]-Table1[[#This Row],[COGS]]</f>
        <v>34000</v>
      </c>
      <c r="P988" s="6">
        <v>987</v>
      </c>
    </row>
    <row r="989" spans="1:16">
      <c r="A989" s="7" t="s">
        <v>98</v>
      </c>
      <c r="B989" s="7" t="str">
        <f>TEXT(Table1[[#This Row],[Date]],"MMM")</f>
        <v>Jan</v>
      </c>
      <c r="C989" t="s">
        <v>27</v>
      </c>
      <c r="D989" t="s">
        <v>45</v>
      </c>
      <c r="E989" t="s">
        <v>41</v>
      </c>
      <c r="F989" t="s">
        <v>37</v>
      </c>
      <c r="G989" t="s">
        <v>62</v>
      </c>
      <c r="H989" t="s">
        <v>51</v>
      </c>
      <c r="I989" s="9">
        <v>150000</v>
      </c>
      <c r="J989">
        <v>4</v>
      </c>
      <c r="K989" t="s">
        <v>47</v>
      </c>
      <c r="L989" s="9">
        <f t="shared" si="15"/>
        <v>120000</v>
      </c>
      <c r="M989" s="9">
        <f>Table1[[#This Row],[Unit Price]]*Table1[[#This Row],[Quantity]]</f>
        <v>600000</v>
      </c>
      <c r="N989" s="9">
        <f>Table1[[#This Row],[Cost Price]]*Table1[[#This Row],[Quantity]]</f>
        <v>480000</v>
      </c>
      <c r="O989" s="9">
        <f>Table1[[#This Row],[Revenue]]-Table1[[#This Row],[COGS]]</f>
        <v>120000</v>
      </c>
      <c r="P989" s="6">
        <v>988</v>
      </c>
    </row>
    <row r="990" spans="1:16">
      <c r="A990" s="7" t="s">
        <v>86</v>
      </c>
      <c r="B990" s="7" t="str">
        <f>TEXT(Table1[[#This Row],[Date]],"MMM")</f>
        <v>Feb</v>
      </c>
      <c r="C990" t="s">
        <v>49</v>
      </c>
      <c r="D990" t="s">
        <v>28</v>
      </c>
      <c r="E990" t="s">
        <v>29</v>
      </c>
      <c r="F990" t="s">
        <v>30</v>
      </c>
      <c r="G990" t="s">
        <v>62</v>
      </c>
      <c r="H990" t="s">
        <v>51</v>
      </c>
      <c r="I990" s="9">
        <v>150000</v>
      </c>
      <c r="J990">
        <v>3</v>
      </c>
      <c r="K990" t="s">
        <v>42</v>
      </c>
      <c r="L990" s="9">
        <f t="shared" si="15"/>
        <v>120000</v>
      </c>
      <c r="M990" s="9">
        <f>Table1[[#This Row],[Unit Price]]*Table1[[#This Row],[Quantity]]</f>
        <v>450000</v>
      </c>
      <c r="N990" s="9">
        <f>Table1[[#This Row],[Cost Price]]*Table1[[#This Row],[Quantity]]</f>
        <v>360000</v>
      </c>
      <c r="O990" s="9">
        <f>Table1[[#This Row],[Revenue]]-Table1[[#This Row],[COGS]]</f>
        <v>90000</v>
      </c>
      <c r="P990" s="6">
        <v>989</v>
      </c>
    </row>
    <row r="991" spans="1:16">
      <c r="A991" s="7" t="s">
        <v>133</v>
      </c>
      <c r="B991" s="7" t="str">
        <f>TEXT(Table1[[#This Row],[Date]],"MMM")</f>
        <v>Jan</v>
      </c>
      <c r="C991" t="s">
        <v>49</v>
      </c>
      <c r="D991" t="s">
        <v>28</v>
      </c>
      <c r="E991" t="s">
        <v>41</v>
      </c>
      <c r="F991" t="s">
        <v>30</v>
      </c>
      <c r="G991" t="s">
        <v>38</v>
      </c>
      <c r="H991" t="s">
        <v>39</v>
      </c>
      <c r="I991" s="9">
        <v>30000</v>
      </c>
      <c r="J991">
        <v>3</v>
      </c>
      <c r="K991" t="s">
        <v>42</v>
      </c>
      <c r="L991" s="9">
        <f t="shared" si="15"/>
        <v>24000</v>
      </c>
      <c r="M991" s="9">
        <f>Table1[[#This Row],[Unit Price]]*Table1[[#This Row],[Quantity]]</f>
        <v>90000</v>
      </c>
      <c r="N991" s="9">
        <f>Table1[[#This Row],[Cost Price]]*Table1[[#This Row],[Quantity]]</f>
        <v>72000</v>
      </c>
      <c r="O991" s="9">
        <f>Table1[[#This Row],[Revenue]]-Table1[[#This Row],[COGS]]</f>
        <v>18000</v>
      </c>
      <c r="P991" s="6">
        <v>990</v>
      </c>
    </row>
    <row r="992" spans="1:16">
      <c r="A992" s="7" t="s">
        <v>43</v>
      </c>
      <c r="B992" s="7" t="str">
        <f>TEXT(Table1[[#This Row],[Date]],"MMM")</f>
        <v>Apr</v>
      </c>
      <c r="C992" t="s">
        <v>49</v>
      </c>
      <c r="D992" t="s">
        <v>36</v>
      </c>
      <c r="E992" t="s">
        <v>41</v>
      </c>
      <c r="F992" t="s">
        <v>37</v>
      </c>
      <c r="G992" t="s">
        <v>56</v>
      </c>
      <c r="H992" t="s">
        <v>32</v>
      </c>
      <c r="I992" s="9">
        <v>320000</v>
      </c>
      <c r="J992">
        <v>5</v>
      </c>
      <c r="K992" t="s">
        <v>69</v>
      </c>
      <c r="L992" s="9">
        <f t="shared" si="15"/>
        <v>256000</v>
      </c>
      <c r="M992" s="9">
        <f>Table1[[#This Row],[Unit Price]]*Table1[[#This Row],[Quantity]]</f>
        <v>1600000</v>
      </c>
      <c r="N992" s="9">
        <f>Table1[[#This Row],[Cost Price]]*Table1[[#This Row],[Quantity]]</f>
        <v>1280000</v>
      </c>
      <c r="O992" s="9">
        <f>Table1[[#This Row],[Revenue]]-Table1[[#This Row],[COGS]]</f>
        <v>320000</v>
      </c>
      <c r="P992" s="6">
        <v>991</v>
      </c>
    </row>
    <row r="993" spans="1:16">
      <c r="A993" s="7" t="s">
        <v>43</v>
      </c>
      <c r="B993" s="7" t="str">
        <f>TEXT(Table1[[#This Row],[Date]],"MMM")</f>
        <v>Apr</v>
      </c>
      <c r="C993" t="s">
        <v>35</v>
      </c>
      <c r="D993" t="s">
        <v>53</v>
      </c>
      <c r="E993" t="s">
        <v>41</v>
      </c>
      <c r="F993" t="s">
        <v>30</v>
      </c>
      <c r="G993" t="s">
        <v>71</v>
      </c>
      <c r="H993" t="s">
        <v>51</v>
      </c>
      <c r="I993" s="9">
        <v>250000</v>
      </c>
      <c r="J993">
        <v>3</v>
      </c>
      <c r="K993" t="s">
        <v>33</v>
      </c>
      <c r="L993" s="9">
        <f t="shared" si="15"/>
        <v>200000</v>
      </c>
      <c r="M993" s="9">
        <f>Table1[[#This Row],[Unit Price]]*Table1[[#This Row],[Quantity]]</f>
        <v>750000</v>
      </c>
      <c r="N993" s="9">
        <f>Table1[[#This Row],[Cost Price]]*Table1[[#This Row],[Quantity]]</f>
        <v>600000</v>
      </c>
      <c r="O993" s="9">
        <f>Table1[[#This Row],[Revenue]]-Table1[[#This Row],[COGS]]</f>
        <v>150000</v>
      </c>
      <c r="P993" s="6">
        <v>992</v>
      </c>
    </row>
    <row r="994" spans="1:16">
      <c r="A994" s="7" t="s">
        <v>79</v>
      </c>
      <c r="B994" s="7" t="str">
        <f>TEXT(Table1[[#This Row],[Date]],"MMM")</f>
        <v>Feb</v>
      </c>
      <c r="C994" t="s">
        <v>35</v>
      </c>
      <c r="D994" t="s">
        <v>45</v>
      </c>
      <c r="E994" t="s">
        <v>41</v>
      </c>
      <c r="F994" t="s">
        <v>37</v>
      </c>
      <c r="G994" t="s">
        <v>46</v>
      </c>
      <c r="H994" t="s">
        <v>39</v>
      </c>
      <c r="I994" s="9">
        <v>60000</v>
      </c>
      <c r="J994">
        <v>10</v>
      </c>
      <c r="K994" t="s">
        <v>69</v>
      </c>
      <c r="L994" s="9">
        <f t="shared" si="15"/>
        <v>48000</v>
      </c>
      <c r="M994" s="9">
        <f>Table1[[#This Row],[Unit Price]]*Table1[[#This Row],[Quantity]]</f>
        <v>600000</v>
      </c>
      <c r="N994" s="9">
        <f>Table1[[#This Row],[Cost Price]]*Table1[[#This Row],[Quantity]]</f>
        <v>480000</v>
      </c>
      <c r="O994" s="9">
        <f>Table1[[#This Row],[Revenue]]-Table1[[#This Row],[COGS]]</f>
        <v>120000</v>
      </c>
      <c r="P994" s="6">
        <v>993</v>
      </c>
    </row>
    <row r="995" spans="1:16">
      <c r="A995" s="7" t="s">
        <v>79</v>
      </c>
      <c r="B995" s="7" t="str">
        <f>TEXT(Table1[[#This Row],[Date]],"MMM")</f>
        <v>Feb</v>
      </c>
      <c r="C995" t="s">
        <v>49</v>
      </c>
      <c r="D995" t="s">
        <v>28</v>
      </c>
      <c r="E995" t="s">
        <v>29</v>
      </c>
      <c r="F995" t="s">
        <v>37</v>
      </c>
      <c r="G995" t="s">
        <v>46</v>
      </c>
      <c r="H995" t="s">
        <v>39</v>
      </c>
      <c r="I995" s="9">
        <v>60000</v>
      </c>
      <c r="J995">
        <v>3</v>
      </c>
      <c r="K995" t="s">
        <v>65</v>
      </c>
      <c r="L995" s="9">
        <f t="shared" si="15"/>
        <v>48000</v>
      </c>
      <c r="M995" s="9">
        <f>Table1[[#This Row],[Unit Price]]*Table1[[#This Row],[Quantity]]</f>
        <v>180000</v>
      </c>
      <c r="N995" s="9">
        <f>Table1[[#This Row],[Cost Price]]*Table1[[#This Row],[Quantity]]</f>
        <v>144000</v>
      </c>
      <c r="O995" s="9">
        <f>Table1[[#This Row],[Revenue]]-Table1[[#This Row],[COGS]]</f>
        <v>36000</v>
      </c>
      <c r="P995" s="6">
        <v>994</v>
      </c>
    </row>
    <row r="996" spans="1:16">
      <c r="A996" s="7" t="s">
        <v>85</v>
      </c>
      <c r="B996" s="7" t="str">
        <f>TEXT(Table1[[#This Row],[Date]],"MMM")</f>
        <v>Feb</v>
      </c>
      <c r="C996" t="s">
        <v>35</v>
      </c>
      <c r="D996" t="s">
        <v>36</v>
      </c>
      <c r="E996" t="s">
        <v>41</v>
      </c>
      <c r="F996" t="s">
        <v>37</v>
      </c>
      <c r="G996" t="s">
        <v>31</v>
      </c>
      <c r="H996" t="s">
        <v>32</v>
      </c>
      <c r="I996" s="9">
        <v>85000</v>
      </c>
      <c r="J996">
        <v>9</v>
      </c>
      <c r="K996" t="s">
        <v>58</v>
      </c>
      <c r="L996" s="9">
        <f t="shared" si="15"/>
        <v>68000</v>
      </c>
      <c r="M996" s="9">
        <f>Table1[[#This Row],[Unit Price]]*Table1[[#This Row],[Quantity]]</f>
        <v>765000</v>
      </c>
      <c r="N996" s="9">
        <f>Table1[[#This Row],[Cost Price]]*Table1[[#This Row],[Quantity]]</f>
        <v>612000</v>
      </c>
      <c r="O996" s="9">
        <f>Table1[[#This Row],[Revenue]]-Table1[[#This Row],[COGS]]</f>
        <v>153000</v>
      </c>
      <c r="P996" s="6">
        <v>995</v>
      </c>
    </row>
    <row r="997" spans="1:16">
      <c r="A997" s="7" t="s">
        <v>131</v>
      </c>
      <c r="B997" s="7" t="str">
        <f>TEXT(Table1[[#This Row],[Date]],"MMM")</f>
        <v>Mar</v>
      </c>
      <c r="C997" t="s">
        <v>35</v>
      </c>
      <c r="D997" t="s">
        <v>53</v>
      </c>
      <c r="E997" t="s">
        <v>41</v>
      </c>
      <c r="F997" t="s">
        <v>37</v>
      </c>
      <c r="G997" t="s">
        <v>67</v>
      </c>
      <c r="H997" t="s">
        <v>51</v>
      </c>
      <c r="I997" s="9">
        <v>420000</v>
      </c>
      <c r="J997">
        <v>4</v>
      </c>
      <c r="K997" t="s">
        <v>58</v>
      </c>
      <c r="L997" s="9">
        <f t="shared" si="15"/>
        <v>336000</v>
      </c>
      <c r="M997" s="9">
        <f>Table1[[#This Row],[Unit Price]]*Table1[[#This Row],[Quantity]]</f>
        <v>1680000</v>
      </c>
      <c r="N997" s="9">
        <f>Table1[[#This Row],[Cost Price]]*Table1[[#This Row],[Quantity]]</f>
        <v>1344000</v>
      </c>
      <c r="O997" s="9">
        <f>Table1[[#This Row],[Revenue]]-Table1[[#This Row],[COGS]]</f>
        <v>336000</v>
      </c>
      <c r="P997" s="6">
        <v>996</v>
      </c>
    </row>
    <row r="998" spans="1:16">
      <c r="A998" s="7" t="s">
        <v>84</v>
      </c>
      <c r="B998" s="7" t="str">
        <f>TEXT(Table1[[#This Row],[Date]],"MMM")</f>
        <v>Jan</v>
      </c>
      <c r="C998" t="s">
        <v>49</v>
      </c>
      <c r="D998" t="s">
        <v>45</v>
      </c>
      <c r="E998" t="s">
        <v>41</v>
      </c>
      <c r="F998" t="s">
        <v>30</v>
      </c>
      <c r="G998" t="s">
        <v>62</v>
      </c>
      <c r="H998" t="s">
        <v>51</v>
      </c>
      <c r="I998" s="9">
        <v>150000</v>
      </c>
      <c r="J998">
        <v>6</v>
      </c>
      <c r="K998" t="s">
        <v>65</v>
      </c>
      <c r="L998" s="9">
        <f t="shared" si="15"/>
        <v>120000</v>
      </c>
      <c r="M998" s="9">
        <f>Table1[[#This Row],[Unit Price]]*Table1[[#This Row],[Quantity]]</f>
        <v>900000</v>
      </c>
      <c r="N998" s="9">
        <f>Table1[[#This Row],[Cost Price]]*Table1[[#This Row],[Quantity]]</f>
        <v>720000</v>
      </c>
      <c r="O998" s="9">
        <f>Table1[[#This Row],[Revenue]]-Table1[[#This Row],[COGS]]</f>
        <v>180000</v>
      </c>
      <c r="P998" s="6">
        <v>997</v>
      </c>
    </row>
    <row r="999" spans="1:16">
      <c r="A999" s="7" t="s">
        <v>163</v>
      </c>
      <c r="B999" s="7" t="str">
        <f>TEXT(Table1[[#This Row],[Date]],"MMM")</f>
        <v>Apr</v>
      </c>
      <c r="C999" t="s">
        <v>49</v>
      </c>
      <c r="D999" t="s">
        <v>45</v>
      </c>
      <c r="E999" t="s">
        <v>41</v>
      </c>
      <c r="F999" t="s">
        <v>30</v>
      </c>
      <c r="G999" t="s">
        <v>56</v>
      </c>
      <c r="H999" t="s">
        <v>32</v>
      </c>
      <c r="I999" s="9">
        <v>320000</v>
      </c>
      <c r="J999">
        <v>3</v>
      </c>
      <c r="K999" t="s">
        <v>58</v>
      </c>
      <c r="L999" s="9">
        <f t="shared" si="15"/>
        <v>256000</v>
      </c>
      <c r="M999" s="9">
        <f>Table1[[#This Row],[Unit Price]]*Table1[[#This Row],[Quantity]]</f>
        <v>960000</v>
      </c>
      <c r="N999" s="9">
        <f>Table1[[#This Row],[Cost Price]]*Table1[[#This Row],[Quantity]]</f>
        <v>768000</v>
      </c>
      <c r="O999" s="9">
        <f>Table1[[#This Row],[Revenue]]-Table1[[#This Row],[COGS]]</f>
        <v>192000</v>
      </c>
      <c r="P999" s="6">
        <v>998</v>
      </c>
    </row>
    <row r="1000" spans="1:16">
      <c r="A1000" s="7" t="s">
        <v>109</v>
      </c>
      <c r="B1000" s="7" t="str">
        <f>TEXT(Table1[[#This Row],[Date]],"MMM")</f>
        <v>Mar</v>
      </c>
      <c r="C1000" t="s">
        <v>44</v>
      </c>
      <c r="D1000" t="s">
        <v>53</v>
      </c>
      <c r="E1000" t="s">
        <v>29</v>
      </c>
      <c r="F1000" t="s">
        <v>37</v>
      </c>
      <c r="G1000" t="s">
        <v>50</v>
      </c>
      <c r="H1000" t="s">
        <v>51</v>
      </c>
      <c r="I1000" s="9">
        <v>300000</v>
      </c>
      <c r="J1000">
        <v>2</v>
      </c>
      <c r="K1000" t="s">
        <v>33</v>
      </c>
      <c r="L1000" s="9">
        <f t="shared" si="15"/>
        <v>240000</v>
      </c>
      <c r="M1000" s="9">
        <f>Table1[[#This Row],[Unit Price]]*Table1[[#This Row],[Quantity]]</f>
        <v>600000</v>
      </c>
      <c r="N1000" s="9">
        <f>Table1[[#This Row],[Cost Price]]*Table1[[#This Row],[Quantity]]</f>
        <v>480000</v>
      </c>
      <c r="O1000" s="9">
        <f>Table1[[#This Row],[Revenue]]-Table1[[#This Row],[COGS]]</f>
        <v>120000</v>
      </c>
      <c r="P1000" s="6">
        <v>999</v>
      </c>
    </row>
    <row r="1001" spans="1:16">
      <c r="A1001" s="7" t="s">
        <v>97</v>
      </c>
      <c r="B1001" s="7" t="str">
        <f>TEXT(Table1[[#This Row],[Date]],"MMM")</f>
        <v>Jan</v>
      </c>
      <c r="C1001" t="s">
        <v>35</v>
      </c>
      <c r="D1001" t="s">
        <v>45</v>
      </c>
      <c r="E1001" t="s">
        <v>41</v>
      </c>
      <c r="F1001" t="s">
        <v>30</v>
      </c>
      <c r="G1001" t="s">
        <v>62</v>
      </c>
      <c r="H1001" t="s">
        <v>51</v>
      </c>
      <c r="I1001" s="9">
        <v>150000</v>
      </c>
      <c r="J1001">
        <v>10</v>
      </c>
      <c r="K1001" t="s">
        <v>65</v>
      </c>
      <c r="L1001" s="9">
        <f t="shared" si="15"/>
        <v>120000</v>
      </c>
      <c r="M1001" s="9">
        <f>Table1[[#This Row],[Unit Price]]*Table1[[#This Row],[Quantity]]</f>
        <v>1500000</v>
      </c>
      <c r="N1001" s="9">
        <f>Table1[[#This Row],[Cost Price]]*Table1[[#This Row],[Quantity]]</f>
        <v>1200000</v>
      </c>
      <c r="O1001" s="9">
        <f>Table1[[#This Row],[Revenue]]-Table1[[#This Row],[COGS]]</f>
        <v>300000</v>
      </c>
      <c r="P1001" s="6">
        <v>1000</v>
      </c>
    </row>
    <row r="1002" spans="1:16">
      <c r="A1002" s="7" t="s">
        <v>112</v>
      </c>
      <c r="B1002" s="7" t="str">
        <f>TEXT(Table1[[#This Row],[Date]],"MMM")</f>
        <v>Feb</v>
      </c>
      <c r="C1002" t="s">
        <v>35</v>
      </c>
      <c r="D1002" t="s">
        <v>53</v>
      </c>
      <c r="E1002" t="s">
        <v>29</v>
      </c>
      <c r="F1002" t="s">
        <v>37</v>
      </c>
      <c r="G1002" t="s">
        <v>67</v>
      </c>
      <c r="H1002" t="s">
        <v>51</v>
      </c>
      <c r="I1002" s="9">
        <v>420000</v>
      </c>
      <c r="J1002">
        <v>10</v>
      </c>
      <c r="K1002" t="s">
        <v>47</v>
      </c>
      <c r="L1002" s="9">
        <f t="shared" si="15"/>
        <v>336000</v>
      </c>
      <c r="M1002" s="9">
        <f>Table1[[#This Row],[Unit Price]]*Table1[[#This Row],[Quantity]]</f>
        <v>4200000</v>
      </c>
      <c r="N1002" s="9">
        <f>Table1[[#This Row],[Cost Price]]*Table1[[#This Row],[Quantity]]</f>
        <v>3360000</v>
      </c>
      <c r="O1002" s="9">
        <f>Table1[[#This Row],[Revenue]]-Table1[[#This Row],[COGS]]</f>
        <v>840000</v>
      </c>
      <c r="P1002" s="6">
        <v>1001</v>
      </c>
    </row>
    <row r="1003" spans="1:16">
      <c r="A1003" s="7" t="s">
        <v>52</v>
      </c>
      <c r="B1003" s="7" t="str">
        <f>TEXT(Table1[[#This Row],[Date]],"MMM")</f>
        <v>Mar</v>
      </c>
      <c r="C1003" t="s">
        <v>49</v>
      </c>
      <c r="D1003" t="s">
        <v>53</v>
      </c>
      <c r="E1003" t="s">
        <v>41</v>
      </c>
      <c r="F1003" t="s">
        <v>37</v>
      </c>
      <c r="G1003" t="s">
        <v>54</v>
      </c>
      <c r="H1003" t="s">
        <v>39</v>
      </c>
      <c r="I1003" s="9">
        <v>180000</v>
      </c>
      <c r="J1003">
        <v>5</v>
      </c>
      <c r="K1003" t="s">
        <v>65</v>
      </c>
      <c r="L1003" s="9">
        <f t="shared" si="15"/>
        <v>144000</v>
      </c>
      <c r="M1003" s="9">
        <f>Table1[[#This Row],[Unit Price]]*Table1[[#This Row],[Quantity]]</f>
        <v>900000</v>
      </c>
      <c r="N1003" s="9">
        <f>Table1[[#This Row],[Cost Price]]*Table1[[#This Row],[Quantity]]</f>
        <v>720000</v>
      </c>
      <c r="O1003" s="9">
        <f>Table1[[#This Row],[Revenue]]-Table1[[#This Row],[COGS]]</f>
        <v>180000</v>
      </c>
      <c r="P1003" s="6">
        <v>1002</v>
      </c>
    </row>
    <row r="1004" spans="1:16">
      <c r="A1004" s="7" t="s">
        <v>133</v>
      </c>
      <c r="B1004" s="7" t="str">
        <f>TEXT(Table1[[#This Row],[Date]],"MMM")</f>
        <v>Jan</v>
      </c>
      <c r="C1004" t="s">
        <v>35</v>
      </c>
      <c r="D1004" t="s">
        <v>53</v>
      </c>
      <c r="E1004" t="s">
        <v>41</v>
      </c>
      <c r="F1004" t="s">
        <v>37</v>
      </c>
      <c r="G1004" t="s">
        <v>71</v>
      </c>
      <c r="H1004" t="s">
        <v>51</v>
      </c>
      <c r="I1004" s="9">
        <v>250000</v>
      </c>
      <c r="J1004">
        <v>7</v>
      </c>
      <c r="K1004" t="s">
        <v>47</v>
      </c>
      <c r="L1004" s="9">
        <f t="shared" si="15"/>
        <v>200000</v>
      </c>
      <c r="M1004" s="9">
        <f>Table1[[#This Row],[Unit Price]]*Table1[[#This Row],[Quantity]]</f>
        <v>1750000</v>
      </c>
      <c r="N1004" s="9">
        <f>Table1[[#This Row],[Cost Price]]*Table1[[#This Row],[Quantity]]</f>
        <v>1400000</v>
      </c>
      <c r="O1004" s="9">
        <f>Table1[[#This Row],[Revenue]]-Table1[[#This Row],[COGS]]</f>
        <v>350000</v>
      </c>
      <c r="P1004" s="6">
        <v>1003</v>
      </c>
    </row>
    <row r="1005" spans="1:16">
      <c r="A1005" s="7" t="s">
        <v>140</v>
      </c>
      <c r="B1005" s="7" t="str">
        <f>TEXT(Table1[[#This Row],[Date]],"MMM")</f>
        <v>Apr</v>
      </c>
      <c r="C1005" t="s">
        <v>27</v>
      </c>
      <c r="D1005" t="s">
        <v>36</v>
      </c>
      <c r="E1005" t="s">
        <v>29</v>
      </c>
      <c r="F1005" t="s">
        <v>37</v>
      </c>
      <c r="G1005" t="s">
        <v>56</v>
      </c>
      <c r="H1005" t="s">
        <v>32</v>
      </c>
      <c r="I1005" s="9">
        <v>320000</v>
      </c>
      <c r="J1005">
        <v>4</v>
      </c>
      <c r="K1005" t="s">
        <v>42</v>
      </c>
      <c r="L1005" s="9">
        <f t="shared" si="15"/>
        <v>256000</v>
      </c>
      <c r="M1005" s="9">
        <f>Table1[[#This Row],[Unit Price]]*Table1[[#This Row],[Quantity]]</f>
        <v>1280000</v>
      </c>
      <c r="N1005" s="9">
        <f>Table1[[#This Row],[Cost Price]]*Table1[[#This Row],[Quantity]]</f>
        <v>1024000</v>
      </c>
      <c r="O1005" s="9">
        <f>Table1[[#This Row],[Revenue]]-Table1[[#This Row],[COGS]]</f>
        <v>256000</v>
      </c>
      <c r="P1005" s="6">
        <v>1004</v>
      </c>
    </row>
    <row r="1006" spans="1:16">
      <c r="A1006" s="7" t="s">
        <v>175</v>
      </c>
      <c r="B1006" s="7" t="str">
        <f>TEXT(Table1[[#This Row],[Date]],"MMM")</f>
        <v>Jan</v>
      </c>
      <c r="C1006" t="s">
        <v>35</v>
      </c>
      <c r="D1006" t="s">
        <v>36</v>
      </c>
      <c r="E1006" t="s">
        <v>29</v>
      </c>
      <c r="F1006" t="s">
        <v>30</v>
      </c>
      <c r="G1006" t="s">
        <v>38</v>
      </c>
      <c r="H1006" t="s">
        <v>39</v>
      </c>
      <c r="I1006" s="9">
        <v>30000</v>
      </c>
      <c r="J1006">
        <v>2</v>
      </c>
      <c r="K1006" t="s">
        <v>33</v>
      </c>
      <c r="L1006" s="9">
        <f t="shared" si="15"/>
        <v>24000</v>
      </c>
      <c r="M1006" s="9">
        <f>Table1[[#This Row],[Unit Price]]*Table1[[#This Row],[Quantity]]</f>
        <v>60000</v>
      </c>
      <c r="N1006" s="9">
        <f>Table1[[#This Row],[Cost Price]]*Table1[[#This Row],[Quantity]]</f>
        <v>48000</v>
      </c>
      <c r="O1006" s="9">
        <f>Table1[[#This Row],[Revenue]]-Table1[[#This Row],[COGS]]</f>
        <v>12000</v>
      </c>
      <c r="P1006" s="6">
        <v>1005</v>
      </c>
    </row>
    <row r="1007" spans="1:16">
      <c r="A1007" s="7" t="s">
        <v>63</v>
      </c>
      <c r="B1007" s="7" t="str">
        <f>TEXT(Table1[[#This Row],[Date]],"MMM")</f>
        <v>Jan</v>
      </c>
      <c r="C1007" t="s">
        <v>49</v>
      </c>
      <c r="D1007" t="s">
        <v>53</v>
      </c>
      <c r="E1007" t="s">
        <v>29</v>
      </c>
      <c r="F1007" t="s">
        <v>30</v>
      </c>
      <c r="G1007" t="s">
        <v>62</v>
      </c>
      <c r="H1007" t="s">
        <v>51</v>
      </c>
      <c r="I1007" s="9">
        <v>150000</v>
      </c>
      <c r="J1007">
        <v>4</v>
      </c>
      <c r="K1007" t="s">
        <v>33</v>
      </c>
      <c r="L1007" s="9">
        <f t="shared" si="15"/>
        <v>120000</v>
      </c>
      <c r="M1007" s="9">
        <f>Table1[[#This Row],[Unit Price]]*Table1[[#This Row],[Quantity]]</f>
        <v>600000</v>
      </c>
      <c r="N1007" s="9">
        <f>Table1[[#This Row],[Cost Price]]*Table1[[#This Row],[Quantity]]</f>
        <v>480000</v>
      </c>
      <c r="O1007" s="9">
        <f>Table1[[#This Row],[Revenue]]-Table1[[#This Row],[COGS]]</f>
        <v>120000</v>
      </c>
      <c r="P1007" s="6">
        <v>1006</v>
      </c>
    </row>
    <row r="1008" spans="1:16">
      <c r="A1008" s="7" t="s">
        <v>138</v>
      </c>
      <c r="B1008" s="7" t="str">
        <f>TEXT(Table1[[#This Row],[Date]],"MMM")</f>
        <v>Apr</v>
      </c>
      <c r="C1008" t="s">
        <v>49</v>
      </c>
      <c r="D1008" t="s">
        <v>45</v>
      </c>
      <c r="E1008" t="s">
        <v>41</v>
      </c>
      <c r="F1008" t="s">
        <v>37</v>
      </c>
      <c r="G1008" t="s">
        <v>46</v>
      </c>
      <c r="H1008" t="s">
        <v>39</v>
      </c>
      <c r="I1008" s="9">
        <v>60000</v>
      </c>
      <c r="J1008">
        <v>4</v>
      </c>
      <c r="K1008" t="s">
        <v>47</v>
      </c>
      <c r="L1008" s="9">
        <f t="shared" si="15"/>
        <v>48000</v>
      </c>
      <c r="M1008" s="9">
        <f>Table1[[#This Row],[Unit Price]]*Table1[[#This Row],[Quantity]]</f>
        <v>240000</v>
      </c>
      <c r="N1008" s="9">
        <f>Table1[[#This Row],[Cost Price]]*Table1[[#This Row],[Quantity]]</f>
        <v>192000</v>
      </c>
      <c r="O1008" s="9">
        <f>Table1[[#This Row],[Revenue]]-Table1[[#This Row],[COGS]]</f>
        <v>48000</v>
      </c>
      <c r="P1008" s="6">
        <v>1007</v>
      </c>
    </row>
    <row r="1009" spans="1:16">
      <c r="A1009" s="7" t="s">
        <v>160</v>
      </c>
      <c r="B1009" s="7" t="str">
        <f>TEXT(Table1[[#This Row],[Date]],"MMM")</f>
        <v>Jan</v>
      </c>
      <c r="C1009" t="s">
        <v>35</v>
      </c>
      <c r="D1009" t="s">
        <v>53</v>
      </c>
      <c r="E1009" t="s">
        <v>29</v>
      </c>
      <c r="F1009" t="s">
        <v>37</v>
      </c>
      <c r="G1009" t="s">
        <v>56</v>
      </c>
      <c r="H1009" t="s">
        <v>32</v>
      </c>
      <c r="I1009" s="9">
        <v>320000</v>
      </c>
      <c r="J1009">
        <v>4</v>
      </c>
      <c r="K1009" t="s">
        <v>65</v>
      </c>
      <c r="L1009" s="9">
        <f t="shared" si="15"/>
        <v>256000</v>
      </c>
      <c r="M1009" s="9">
        <f>Table1[[#This Row],[Unit Price]]*Table1[[#This Row],[Quantity]]</f>
        <v>1280000</v>
      </c>
      <c r="N1009" s="9">
        <f>Table1[[#This Row],[Cost Price]]*Table1[[#This Row],[Quantity]]</f>
        <v>1024000</v>
      </c>
      <c r="O1009" s="9">
        <f>Table1[[#This Row],[Revenue]]-Table1[[#This Row],[COGS]]</f>
        <v>256000</v>
      </c>
      <c r="P1009" s="6">
        <v>1008</v>
      </c>
    </row>
    <row r="1010" spans="1:16">
      <c r="A1010" s="7" t="s">
        <v>140</v>
      </c>
      <c r="B1010" s="7" t="str">
        <f>TEXT(Table1[[#This Row],[Date]],"MMM")</f>
        <v>Apr</v>
      </c>
      <c r="C1010" t="s">
        <v>49</v>
      </c>
      <c r="D1010" t="s">
        <v>36</v>
      </c>
      <c r="E1010" t="s">
        <v>29</v>
      </c>
      <c r="F1010" t="s">
        <v>30</v>
      </c>
      <c r="G1010" t="s">
        <v>46</v>
      </c>
      <c r="H1010" t="s">
        <v>39</v>
      </c>
      <c r="I1010" s="9">
        <v>60000</v>
      </c>
      <c r="J1010">
        <v>2</v>
      </c>
      <c r="K1010" t="s">
        <v>42</v>
      </c>
      <c r="L1010" s="9">
        <f t="shared" si="15"/>
        <v>48000</v>
      </c>
      <c r="M1010" s="9">
        <f>Table1[[#This Row],[Unit Price]]*Table1[[#This Row],[Quantity]]</f>
        <v>120000</v>
      </c>
      <c r="N1010" s="9">
        <f>Table1[[#This Row],[Cost Price]]*Table1[[#This Row],[Quantity]]</f>
        <v>96000</v>
      </c>
      <c r="O1010" s="9">
        <f>Table1[[#This Row],[Revenue]]-Table1[[#This Row],[COGS]]</f>
        <v>24000</v>
      </c>
      <c r="P1010" s="6">
        <v>1009</v>
      </c>
    </row>
    <row r="1011" spans="1:16">
      <c r="A1011" s="7" t="s">
        <v>43</v>
      </c>
      <c r="B1011" s="7" t="str">
        <f>TEXT(Table1[[#This Row],[Date]],"MMM")</f>
        <v>Apr</v>
      </c>
      <c r="C1011" t="s">
        <v>27</v>
      </c>
      <c r="D1011" t="s">
        <v>28</v>
      </c>
      <c r="E1011" t="s">
        <v>41</v>
      </c>
      <c r="F1011" t="s">
        <v>30</v>
      </c>
      <c r="G1011" t="s">
        <v>38</v>
      </c>
      <c r="H1011" t="s">
        <v>39</v>
      </c>
      <c r="I1011" s="9">
        <v>30000</v>
      </c>
      <c r="J1011">
        <v>7</v>
      </c>
      <c r="K1011" t="s">
        <v>58</v>
      </c>
      <c r="L1011" s="9">
        <f t="shared" si="15"/>
        <v>24000</v>
      </c>
      <c r="M1011" s="9">
        <f>Table1[[#This Row],[Unit Price]]*Table1[[#This Row],[Quantity]]</f>
        <v>210000</v>
      </c>
      <c r="N1011" s="9">
        <f>Table1[[#This Row],[Cost Price]]*Table1[[#This Row],[Quantity]]</f>
        <v>168000</v>
      </c>
      <c r="O1011" s="9">
        <f>Table1[[#This Row],[Revenue]]-Table1[[#This Row],[COGS]]</f>
        <v>42000</v>
      </c>
      <c r="P1011" s="6">
        <v>1010</v>
      </c>
    </row>
    <row r="1012" spans="1:16">
      <c r="A1012" s="7" t="s">
        <v>134</v>
      </c>
      <c r="B1012" s="7" t="str">
        <f>TEXT(Table1[[#This Row],[Date]],"MMM")</f>
        <v>Jan</v>
      </c>
      <c r="C1012" t="s">
        <v>35</v>
      </c>
      <c r="D1012" t="s">
        <v>28</v>
      </c>
      <c r="E1012" t="s">
        <v>29</v>
      </c>
      <c r="F1012" t="s">
        <v>37</v>
      </c>
      <c r="G1012" t="s">
        <v>71</v>
      </c>
      <c r="H1012" t="s">
        <v>51</v>
      </c>
      <c r="I1012" s="9">
        <v>250000</v>
      </c>
      <c r="J1012">
        <v>6</v>
      </c>
      <c r="K1012" t="s">
        <v>58</v>
      </c>
      <c r="L1012" s="9">
        <f t="shared" si="15"/>
        <v>200000</v>
      </c>
      <c r="M1012" s="9">
        <f>Table1[[#This Row],[Unit Price]]*Table1[[#This Row],[Quantity]]</f>
        <v>1500000</v>
      </c>
      <c r="N1012" s="9">
        <f>Table1[[#This Row],[Cost Price]]*Table1[[#This Row],[Quantity]]</f>
        <v>1200000</v>
      </c>
      <c r="O1012" s="9">
        <f>Table1[[#This Row],[Revenue]]-Table1[[#This Row],[COGS]]</f>
        <v>300000</v>
      </c>
      <c r="P1012" s="6">
        <v>1011</v>
      </c>
    </row>
    <row r="1013" spans="1:16">
      <c r="A1013" s="7" t="s">
        <v>82</v>
      </c>
      <c r="B1013" s="7" t="str">
        <f>TEXT(Table1[[#This Row],[Date]],"MMM")</f>
        <v>Mar</v>
      </c>
      <c r="C1013" t="s">
        <v>49</v>
      </c>
      <c r="D1013" t="s">
        <v>45</v>
      </c>
      <c r="E1013" t="s">
        <v>29</v>
      </c>
      <c r="F1013" t="s">
        <v>30</v>
      </c>
      <c r="G1013" t="s">
        <v>73</v>
      </c>
      <c r="H1013" t="s">
        <v>39</v>
      </c>
      <c r="I1013" s="9">
        <v>220000</v>
      </c>
      <c r="J1013">
        <v>9</v>
      </c>
      <c r="K1013" t="s">
        <v>33</v>
      </c>
      <c r="L1013" s="9">
        <f t="shared" si="15"/>
        <v>176000</v>
      </c>
      <c r="M1013" s="9">
        <f>Table1[[#This Row],[Unit Price]]*Table1[[#This Row],[Quantity]]</f>
        <v>1980000</v>
      </c>
      <c r="N1013" s="9">
        <f>Table1[[#This Row],[Cost Price]]*Table1[[#This Row],[Quantity]]</f>
        <v>1584000</v>
      </c>
      <c r="O1013" s="9">
        <f>Table1[[#This Row],[Revenue]]-Table1[[#This Row],[COGS]]</f>
        <v>396000</v>
      </c>
      <c r="P1013" s="6">
        <v>1012</v>
      </c>
    </row>
    <row r="1014" spans="1:16">
      <c r="A1014" s="7" t="s">
        <v>152</v>
      </c>
      <c r="B1014" s="7" t="str">
        <f>TEXT(Table1[[#This Row],[Date]],"MMM")</f>
        <v>Jan</v>
      </c>
      <c r="C1014" t="s">
        <v>35</v>
      </c>
      <c r="D1014" t="s">
        <v>45</v>
      </c>
      <c r="E1014" t="s">
        <v>41</v>
      </c>
      <c r="F1014" t="s">
        <v>30</v>
      </c>
      <c r="G1014" t="s">
        <v>50</v>
      </c>
      <c r="H1014" t="s">
        <v>51</v>
      </c>
      <c r="I1014" s="9">
        <v>300000</v>
      </c>
      <c r="J1014">
        <v>2</v>
      </c>
      <c r="K1014" t="s">
        <v>42</v>
      </c>
      <c r="L1014" s="9">
        <f t="shared" si="15"/>
        <v>240000</v>
      </c>
      <c r="M1014" s="9">
        <f>Table1[[#This Row],[Unit Price]]*Table1[[#This Row],[Quantity]]</f>
        <v>600000</v>
      </c>
      <c r="N1014" s="9">
        <f>Table1[[#This Row],[Cost Price]]*Table1[[#This Row],[Quantity]]</f>
        <v>480000</v>
      </c>
      <c r="O1014" s="9">
        <f>Table1[[#This Row],[Revenue]]-Table1[[#This Row],[COGS]]</f>
        <v>120000</v>
      </c>
      <c r="P1014" s="6">
        <v>1013</v>
      </c>
    </row>
    <row r="1015" spans="1:16">
      <c r="A1015" s="7" t="s">
        <v>128</v>
      </c>
      <c r="B1015" s="7" t="str">
        <f>TEXT(Table1[[#This Row],[Date]],"MMM")</f>
        <v>Mar</v>
      </c>
      <c r="C1015" t="s">
        <v>27</v>
      </c>
      <c r="D1015" t="s">
        <v>45</v>
      </c>
      <c r="E1015" t="s">
        <v>29</v>
      </c>
      <c r="F1015" t="s">
        <v>37</v>
      </c>
      <c r="G1015" t="s">
        <v>67</v>
      </c>
      <c r="H1015" t="s">
        <v>51</v>
      </c>
      <c r="I1015" s="9">
        <v>420000</v>
      </c>
      <c r="J1015">
        <v>2</v>
      </c>
      <c r="K1015" t="s">
        <v>42</v>
      </c>
      <c r="L1015" s="9">
        <f t="shared" si="15"/>
        <v>336000</v>
      </c>
      <c r="M1015" s="9">
        <f>Table1[[#This Row],[Unit Price]]*Table1[[#This Row],[Quantity]]</f>
        <v>840000</v>
      </c>
      <c r="N1015" s="9">
        <f>Table1[[#This Row],[Cost Price]]*Table1[[#This Row],[Quantity]]</f>
        <v>672000</v>
      </c>
      <c r="O1015" s="9">
        <f>Table1[[#This Row],[Revenue]]-Table1[[#This Row],[COGS]]</f>
        <v>168000</v>
      </c>
      <c r="P1015" s="6">
        <v>1014</v>
      </c>
    </row>
    <row r="1016" spans="1:16">
      <c r="A1016" s="7" t="s">
        <v>75</v>
      </c>
      <c r="B1016" s="7" t="str">
        <f>TEXT(Table1[[#This Row],[Date]],"MMM")</f>
        <v>Mar</v>
      </c>
      <c r="C1016" t="s">
        <v>44</v>
      </c>
      <c r="D1016" t="s">
        <v>36</v>
      </c>
      <c r="E1016" t="s">
        <v>29</v>
      </c>
      <c r="F1016" t="s">
        <v>37</v>
      </c>
      <c r="G1016" t="s">
        <v>73</v>
      </c>
      <c r="H1016" t="s">
        <v>39</v>
      </c>
      <c r="I1016" s="9">
        <v>220000</v>
      </c>
      <c r="J1016">
        <v>3</v>
      </c>
      <c r="K1016" t="s">
        <v>58</v>
      </c>
      <c r="L1016" s="9">
        <f t="shared" si="15"/>
        <v>176000</v>
      </c>
      <c r="M1016" s="9">
        <f>Table1[[#This Row],[Unit Price]]*Table1[[#This Row],[Quantity]]</f>
        <v>660000</v>
      </c>
      <c r="N1016" s="9">
        <f>Table1[[#This Row],[Cost Price]]*Table1[[#This Row],[Quantity]]</f>
        <v>528000</v>
      </c>
      <c r="O1016" s="9">
        <f>Table1[[#This Row],[Revenue]]-Table1[[#This Row],[COGS]]</f>
        <v>132000</v>
      </c>
      <c r="P1016" s="6">
        <v>1015</v>
      </c>
    </row>
    <row r="1017" spans="1:16">
      <c r="A1017" s="7" t="s">
        <v>60</v>
      </c>
      <c r="B1017" s="7" t="str">
        <f>TEXT(Table1[[#This Row],[Date]],"MMM")</f>
        <v>Mar</v>
      </c>
      <c r="C1017" t="s">
        <v>44</v>
      </c>
      <c r="D1017" t="s">
        <v>28</v>
      </c>
      <c r="E1017" t="s">
        <v>41</v>
      </c>
      <c r="F1017" t="s">
        <v>30</v>
      </c>
      <c r="G1017" t="s">
        <v>73</v>
      </c>
      <c r="H1017" t="s">
        <v>39</v>
      </c>
      <c r="I1017" s="9">
        <v>220000</v>
      </c>
      <c r="J1017">
        <v>10</v>
      </c>
      <c r="K1017" t="s">
        <v>58</v>
      </c>
      <c r="L1017" s="9">
        <f t="shared" si="15"/>
        <v>176000</v>
      </c>
      <c r="M1017" s="9">
        <f>Table1[[#This Row],[Unit Price]]*Table1[[#This Row],[Quantity]]</f>
        <v>2200000</v>
      </c>
      <c r="N1017" s="9">
        <f>Table1[[#This Row],[Cost Price]]*Table1[[#This Row],[Quantity]]</f>
        <v>1760000</v>
      </c>
      <c r="O1017" s="9">
        <f>Table1[[#This Row],[Revenue]]-Table1[[#This Row],[COGS]]</f>
        <v>440000</v>
      </c>
      <c r="P1017" s="6">
        <v>1016</v>
      </c>
    </row>
    <row r="1018" spans="1:16">
      <c r="A1018" s="7" t="s">
        <v>88</v>
      </c>
      <c r="B1018" s="7" t="str">
        <f>TEXT(Table1[[#This Row],[Date]],"MMM")</f>
        <v>Feb</v>
      </c>
      <c r="C1018" t="s">
        <v>44</v>
      </c>
      <c r="D1018" t="s">
        <v>53</v>
      </c>
      <c r="E1018" t="s">
        <v>41</v>
      </c>
      <c r="F1018" t="s">
        <v>37</v>
      </c>
      <c r="G1018" t="s">
        <v>71</v>
      </c>
      <c r="H1018" t="s">
        <v>51</v>
      </c>
      <c r="I1018" s="9">
        <v>250000</v>
      </c>
      <c r="J1018">
        <v>8</v>
      </c>
      <c r="K1018" t="s">
        <v>33</v>
      </c>
      <c r="L1018" s="9">
        <f t="shared" si="15"/>
        <v>200000</v>
      </c>
      <c r="M1018" s="9">
        <f>Table1[[#This Row],[Unit Price]]*Table1[[#This Row],[Quantity]]</f>
        <v>2000000</v>
      </c>
      <c r="N1018" s="9">
        <f>Table1[[#This Row],[Cost Price]]*Table1[[#This Row],[Quantity]]</f>
        <v>1600000</v>
      </c>
      <c r="O1018" s="9">
        <f>Table1[[#This Row],[Revenue]]-Table1[[#This Row],[COGS]]</f>
        <v>400000</v>
      </c>
      <c r="P1018" s="6">
        <v>1017</v>
      </c>
    </row>
    <row r="1019" spans="1:16">
      <c r="A1019" s="7" t="s">
        <v>85</v>
      </c>
      <c r="B1019" s="7" t="str">
        <f>TEXT(Table1[[#This Row],[Date]],"MMM")</f>
        <v>Feb</v>
      </c>
      <c r="C1019" t="s">
        <v>35</v>
      </c>
      <c r="D1019" t="s">
        <v>53</v>
      </c>
      <c r="E1019" t="s">
        <v>29</v>
      </c>
      <c r="F1019" t="s">
        <v>30</v>
      </c>
      <c r="G1019" t="s">
        <v>46</v>
      </c>
      <c r="H1019" t="s">
        <v>39</v>
      </c>
      <c r="I1019" s="9">
        <v>60000</v>
      </c>
      <c r="J1019">
        <v>6</v>
      </c>
      <c r="K1019" t="s">
        <v>47</v>
      </c>
      <c r="L1019" s="9">
        <f t="shared" si="15"/>
        <v>48000</v>
      </c>
      <c r="M1019" s="9">
        <f>Table1[[#This Row],[Unit Price]]*Table1[[#This Row],[Quantity]]</f>
        <v>360000</v>
      </c>
      <c r="N1019" s="9">
        <f>Table1[[#This Row],[Cost Price]]*Table1[[#This Row],[Quantity]]</f>
        <v>288000</v>
      </c>
      <c r="O1019" s="9">
        <f>Table1[[#This Row],[Revenue]]-Table1[[#This Row],[COGS]]</f>
        <v>72000</v>
      </c>
      <c r="P1019" s="6">
        <v>1018</v>
      </c>
    </row>
    <row r="1020" spans="1:16">
      <c r="A1020" s="7" t="s">
        <v>124</v>
      </c>
      <c r="B1020" s="7" t="str">
        <f>TEXT(Table1[[#This Row],[Date]],"MMM")</f>
        <v>Feb</v>
      </c>
      <c r="C1020" t="s">
        <v>35</v>
      </c>
      <c r="D1020" t="s">
        <v>36</v>
      </c>
      <c r="E1020" t="s">
        <v>29</v>
      </c>
      <c r="F1020" t="s">
        <v>30</v>
      </c>
      <c r="G1020" t="s">
        <v>56</v>
      </c>
      <c r="H1020" t="s">
        <v>32</v>
      </c>
      <c r="I1020" s="9">
        <v>320000</v>
      </c>
      <c r="J1020">
        <v>4</v>
      </c>
      <c r="K1020" t="s">
        <v>69</v>
      </c>
      <c r="L1020" s="9">
        <f t="shared" si="15"/>
        <v>256000</v>
      </c>
      <c r="M1020" s="9">
        <f>Table1[[#This Row],[Unit Price]]*Table1[[#This Row],[Quantity]]</f>
        <v>1280000</v>
      </c>
      <c r="N1020" s="9">
        <f>Table1[[#This Row],[Cost Price]]*Table1[[#This Row],[Quantity]]</f>
        <v>1024000</v>
      </c>
      <c r="O1020" s="9">
        <f>Table1[[#This Row],[Revenue]]-Table1[[#This Row],[COGS]]</f>
        <v>256000</v>
      </c>
      <c r="P1020" s="6">
        <v>1019</v>
      </c>
    </row>
    <row r="1021" spans="1:16">
      <c r="A1021" s="7" t="s">
        <v>63</v>
      </c>
      <c r="B1021" s="7" t="str">
        <f>TEXT(Table1[[#This Row],[Date]],"MMM")</f>
        <v>Jan</v>
      </c>
      <c r="C1021" t="s">
        <v>35</v>
      </c>
      <c r="D1021" t="s">
        <v>28</v>
      </c>
      <c r="E1021" t="s">
        <v>29</v>
      </c>
      <c r="F1021" t="s">
        <v>37</v>
      </c>
      <c r="G1021" t="s">
        <v>54</v>
      </c>
      <c r="H1021" t="s">
        <v>39</v>
      </c>
      <c r="I1021" s="9">
        <v>180000</v>
      </c>
      <c r="J1021">
        <v>7</v>
      </c>
      <c r="K1021" t="s">
        <v>69</v>
      </c>
      <c r="L1021" s="9">
        <f t="shared" si="15"/>
        <v>144000</v>
      </c>
      <c r="M1021" s="9">
        <f>Table1[[#This Row],[Unit Price]]*Table1[[#This Row],[Quantity]]</f>
        <v>1260000</v>
      </c>
      <c r="N1021" s="9">
        <f>Table1[[#This Row],[Cost Price]]*Table1[[#This Row],[Quantity]]</f>
        <v>1008000</v>
      </c>
      <c r="O1021" s="9">
        <f>Table1[[#This Row],[Revenue]]-Table1[[#This Row],[COGS]]</f>
        <v>252000</v>
      </c>
      <c r="P1021" s="6">
        <v>1020</v>
      </c>
    </row>
    <row r="1022" spans="1:16">
      <c r="A1022" s="7" t="s">
        <v>176</v>
      </c>
      <c r="B1022" s="7" t="str">
        <f>TEXT(Table1[[#This Row],[Date]],"MMM")</f>
        <v>Jan</v>
      </c>
      <c r="C1022" t="s">
        <v>35</v>
      </c>
      <c r="D1022" t="s">
        <v>28</v>
      </c>
      <c r="E1022" t="s">
        <v>29</v>
      </c>
      <c r="F1022" t="s">
        <v>30</v>
      </c>
      <c r="G1022" t="s">
        <v>46</v>
      </c>
      <c r="H1022" t="s">
        <v>39</v>
      </c>
      <c r="I1022" s="9">
        <v>60000</v>
      </c>
      <c r="J1022">
        <v>7</v>
      </c>
      <c r="K1022" t="s">
        <v>33</v>
      </c>
      <c r="L1022" s="9">
        <f t="shared" si="15"/>
        <v>48000</v>
      </c>
      <c r="M1022" s="9">
        <f>Table1[[#This Row],[Unit Price]]*Table1[[#This Row],[Quantity]]</f>
        <v>420000</v>
      </c>
      <c r="N1022" s="9">
        <f>Table1[[#This Row],[Cost Price]]*Table1[[#This Row],[Quantity]]</f>
        <v>336000</v>
      </c>
      <c r="O1022" s="9">
        <f>Table1[[#This Row],[Revenue]]-Table1[[#This Row],[COGS]]</f>
        <v>84000</v>
      </c>
      <c r="P1022" s="6">
        <v>1021</v>
      </c>
    </row>
    <row r="1023" spans="1:16">
      <c r="A1023" s="7" t="s">
        <v>176</v>
      </c>
      <c r="B1023" s="7" t="str">
        <f>TEXT(Table1[[#This Row],[Date]],"MMM")</f>
        <v>Jan</v>
      </c>
      <c r="C1023" t="s">
        <v>44</v>
      </c>
      <c r="D1023" t="s">
        <v>53</v>
      </c>
      <c r="E1023" t="s">
        <v>29</v>
      </c>
      <c r="F1023" t="s">
        <v>30</v>
      </c>
      <c r="G1023" t="s">
        <v>54</v>
      </c>
      <c r="H1023" t="s">
        <v>39</v>
      </c>
      <c r="I1023" s="9">
        <v>180000</v>
      </c>
      <c r="J1023">
        <v>9</v>
      </c>
      <c r="K1023" t="s">
        <v>42</v>
      </c>
      <c r="L1023" s="9">
        <f t="shared" si="15"/>
        <v>144000</v>
      </c>
      <c r="M1023" s="9">
        <f>Table1[[#This Row],[Unit Price]]*Table1[[#This Row],[Quantity]]</f>
        <v>1620000</v>
      </c>
      <c r="N1023" s="9">
        <f>Table1[[#This Row],[Cost Price]]*Table1[[#This Row],[Quantity]]</f>
        <v>1296000</v>
      </c>
      <c r="O1023" s="9">
        <f>Table1[[#This Row],[Revenue]]-Table1[[#This Row],[COGS]]</f>
        <v>324000</v>
      </c>
      <c r="P1023" s="6">
        <v>1022</v>
      </c>
    </row>
    <row r="1024" spans="1:16">
      <c r="A1024" s="7" t="s">
        <v>92</v>
      </c>
      <c r="B1024" s="7" t="str">
        <f>TEXT(Table1[[#This Row],[Date]],"MMM")</f>
        <v>Jan</v>
      </c>
      <c r="C1024" t="s">
        <v>49</v>
      </c>
      <c r="D1024" t="s">
        <v>28</v>
      </c>
      <c r="E1024" t="s">
        <v>41</v>
      </c>
      <c r="F1024" t="s">
        <v>30</v>
      </c>
      <c r="G1024" t="s">
        <v>38</v>
      </c>
      <c r="H1024" t="s">
        <v>39</v>
      </c>
      <c r="I1024" s="9">
        <v>30000</v>
      </c>
      <c r="J1024">
        <v>6</v>
      </c>
      <c r="K1024" t="s">
        <v>42</v>
      </c>
      <c r="L1024" s="9">
        <f t="shared" si="15"/>
        <v>24000</v>
      </c>
      <c r="M1024" s="9">
        <f>Table1[[#This Row],[Unit Price]]*Table1[[#This Row],[Quantity]]</f>
        <v>180000</v>
      </c>
      <c r="N1024" s="9">
        <f>Table1[[#This Row],[Cost Price]]*Table1[[#This Row],[Quantity]]</f>
        <v>144000</v>
      </c>
      <c r="O1024" s="9">
        <f>Table1[[#This Row],[Revenue]]-Table1[[#This Row],[COGS]]</f>
        <v>36000</v>
      </c>
      <c r="P1024" s="6">
        <v>1023</v>
      </c>
    </row>
    <row r="1025" spans="1:16">
      <c r="A1025" s="7" t="s">
        <v>130</v>
      </c>
      <c r="B1025" s="7" t="str">
        <f>TEXT(Table1[[#This Row],[Date]],"MMM")</f>
        <v>Jan</v>
      </c>
      <c r="C1025" t="s">
        <v>44</v>
      </c>
      <c r="D1025" t="s">
        <v>36</v>
      </c>
      <c r="E1025" t="s">
        <v>29</v>
      </c>
      <c r="F1025" t="s">
        <v>30</v>
      </c>
      <c r="G1025" t="s">
        <v>50</v>
      </c>
      <c r="H1025" t="s">
        <v>51</v>
      </c>
      <c r="I1025" s="9">
        <v>300000</v>
      </c>
      <c r="J1025">
        <v>10</v>
      </c>
      <c r="K1025" t="s">
        <v>65</v>
      </c>
      <c r="L1025" s="9">
        <f t="shared" si="15"/>
        <v>240000</v>
      </c>
      <c r="M1025" s="9">
        <f>Table1[[#This Row],[Unit Price]]*Table1[[#This Row],[Quantity]]</f>
        <v>3000000</v>
      </c>
      <c r="N1025" s="9">
        <f>Table1[[#This Row],[Cost Price]]*Table1[[#This Row],[Quantity]]</f>
        <v>2400000</v>
      </c>
      <c r="O1025" s="9">
        <f>Table1[[#This Row],[Revenue]]-Table1[[#This Row],[COGS]]</f>
        <v>600000</v>
      </c>
      <c r="P1025" s="6">
        <v>1024</v>
      </c>
    </row>
    <row r="1026" spans="1:16">
      <c r="A1026" s="7" t="s">
        <v>130</v>
      </c>
      <c r="B1026" s="7" t="str">
        <f>TEXT(Table1[[#This Row],[Date]],"MMM")</f>
        <v>Jan</v>
      </c>
      <c r="C1026" t="s">
        <v>44</v>
      </c>
      <c r="D1026" t="s">
        <v>53</v>
      </c>
      <c r="E1026" t="s">
        <v>41</v>
      </c>
      <c r="F1026" t="s">
        <v>30</v>
      </c>
      <c r="G1026" t="s">
        <v>38</v>
      </c>
      <c r="H1026" t="s">
        <v>39</v>
      </c>
      <c r="I1026" s="9">
        <v>30000</v>
      </c>
      <c r="J1026">
        <v>2</v>
      </c>
      <c r="K1026" t="s">
        <v>47</v>
      </c>
      <c r="L1026" s="9">
        <f t="shared" ref="L1026:L1089" si="16">I1026-I1026*0.2</f>
        <v>24000</v>
      </c>
      <c r="M1026" s="9">
        <f>Table1[[#This Row],[Unit Price]]*Table1[[#This Row],[Quantity]]</f>
        <v>60000</v>
      </c>
      <c r="N1026" s="9">
        <f>Table1[[#This Row],[Cost Price]]*Table1[[#This Row],[Quantity]]</f>
        <v>48000</v>
      </c>
      <c r="O1026" s="9">
        <f>Table1[[#This Row],[Revenue]]-Table1[[#This Row],[COGS]]</f>
        <v>12000</v>
      </c>
      <c r="P1026" s="6">
        <v>1025</v>
      </c>
    </row>
    <row r="1027" spans="1:16">
      <c r="A1027" s="7" t="s">
        <v>104</v>
      </c>
      <c r="B1027" s="7" t="str">
        <f>TEXT(Table1[[#This Row],[Date]],"MMM")</f>
        <v>Mar</v>
      </c>
      <c r="C1027" t="s">
        <v>35</v>
      </c>
      <c r="D1027" t="s">
        <v>45</v>
      </c>
      <c r="E1027" t="s">
        <v>41</v>
      </c>
      <c r="F1027" t="s">
        <v>30</v>
      </c>
      <c r="G1027" t="s">
        <v>38</v>
      </c>
      <c r="H1027" t="s">
        <v>39</v>
      </c>
      <c r="I1027" s="9">
        <v>30000</v>
      </c>
      <c r="J1027">
        <v>8</v>
      </c>
      <c r="K1027" t="s">
        <v>69</v>
      </c>
      <c r="L1027" s="9">
        <f t="shared" si="16"/>
        <v>24000</v>
      </c>
      <c r="M1027" s="9">
        <f>Table1[[#This Row],[Unit Price]]*Table1[[#This Row],[Quantity]]</f>
        <v>240000</v>
      </c>
      <c r="N1027" s="9">
        <f>Table1[[#This Row],[Cost Price]]*Table1[[#This Row],[Quantity]]</f>
        <v>192000</v>
      </c>
      <c r="O1027" s="9">
        <f>Table1[[#This Row],[Revenue]]-Table1[[#This Row],[COGS]]</f>
        <v>48000</v>
      </c>
      <c r="P1027" s="6">
        <v>1026</v>
      </c>
    </row>
    <row r="1028" spans="1:16">
      <c r="A1028" s="7" t="s">
        <v>101</v>
      </c>
      <c r="B1028" s="7" t="str">
        <f>TEXT(Table1[[#This Row],[Date]],"MMM")</f>
        <v>Jan</v>
      </c>
      <c r="C1028" t="s">
        <v>44</v>
      </c>
      <c r="D1028" t="s">
        <v>45</v>
      </c>
      <c r="E1028" t="s">
        <v>41</v>
      </c>
      <c r="F1028" t="s">
        <v>37</v>
      </c>
      <c r="G1028" t="s">
        <v>38</v>
      </c>
      <c r="H1028" t="s">
        <v>39</v>
      </c>
      <c r="I1028" s="9">
        <v>30000</v>
      </c>
      <c r="J1028">
        <v>9</v>
      </c>
      <c r="K1028" t="s">
        <v>47</v>
      </c>
      <c r="L1028" s="9">
        <f t="shared" si="16"/>
        <v>24000</v>
      </c>
      <c r="M1028" s="9">
        <f>Table1[[#This Row],[Unit Price]]*Table1[[#This Row],[Quantity]]</f>
        <v>270000</v>
      </c>
      <c r="N1028" s="9">
        <f>Table1[[#This Row],[Cost Price]]*Table1[[#This Row],[Quantity]]</f>
        <v>216000</v>
      </c>
      <c r="O1028" s="9">
        <f>Table1[[#This Row],[Revenue]]-Table1[[#This Row],[COGS]]</f>
        <v>54000</v>
      </c>
      <c r="P1028" s="6">
        <v>1027</v>
      </c>
    </row>
    <row r="1029" spans="1:16">
      <c r="A1029" s="7" t="s">
        <v>105</v>
      </c>
      <c r="B1029" s="7" t="str">
        <f>TEXT(Table1[[#This Row],[Date]],"MMM")</f>
        <v>Mar</v>
      </c>
      <c r="C1029" t="s">
        <v>49</v>
      </c>
      <c r="D1029" t="s">
        <v>28</v>
      </c>
      <c r="E1029" t="s">
        <v>29</v>
      </c>
      <c r="F1029" t="s">
        <v>37</v>
      </c>
      <c r="G1029" t="s">
        <v>73</v>
      </c>
      <c r="H1029" t="s">
        <v>39</v>
      </c>
      <c r="I1029" s="9">
        <v>220000</v>
      </c>
      <c r="J1029">
        <v>2</v>
      </c>
      <c r="K1029" t="s">
        <v>69</v>
      </c>
      <c r="L1029" s="9">
        <f t="shared" si="16"/>
        <v>176000</v>
      </c>
      <c r="M1029" s="9">
        <f>Table1[[#This Row],[Unit Price]]*Table1[[#This Row],[Quantity]]</f>
        <v>440000</v>
      </c>
      <c r="N1029" s="9">
        <f>Table1[[#This Row],[Cost Price]]*Table1[[#This Row],[Quantity]]</f>
        <v>352000</v>
      </c>
      <c r="O1029" s="9">
        <f>Table1[[#This Row],[Revenue]]-Table1[[#This Row],[COGS]]</f>
        <v>88000</v>
      </c>
      <c r="P1029" s="6">
        <v>1028</v>
      </c>
    </row>
    <row r="1030" spans="1:16">
      <c r="A1030" s="7" t="s">
        <v>136</v>
      </c>
      <c r="B1030" s="7" t="str">
        <f>TEXT(Table1[[#This Row],[Date]],"MMM")</f>
        <v>Feb</v>
      </c>
      <c r="C1030" t="s">
        <v>44</v>
      </c>
      <c r="D1030" t="s">
        <v>45</v>
      </c>
      <c r="E1030" t="s">
        <v>29</v>
      </c>
      <c r="F1030" t="s">
        <v>37</v>
      </c>
      <c r="G1030" t="s">
        <v>73</v>
      </c>
      <c r="H1030" t="s">
        <v>39</v>
      </c>
      <c r="I1030" s="9">
        <v>220000</v>
      </c>
      <c r="J1030">
        <v>3</v>
      </c>
      <c r="K1030" t="s">
        <v>69</v>
      </c>
      <c r="L1030" s="9">
        <f t="shared" si="16"/>
        <v>176000</v>
      </c>
      <c r="M1030" s="9">
        <f>Table1[[#This Row],[Unit Price]]*Table1[[#This Row],[Quantity]]</f>
        <v>660000</v>
      </c>
      <c r="N1030" s="9">
        <f>Table1[[#This Row],[Cost Price]]*Table1[[#This Row],[Quantity]]</f>
        <v>528000</v>
      </c>
      <c r="O1030" s="9">
        <f>Table1[[#This Row],[Revenue]]-Table1[[#This Row],[COGS]]</f>
        <v>132000</v>
      </c>
      <c r="P1030" s="6">
        <v>1029</v>
      </c>
    </row>
    <row r="1031" spans="1:16">
      <c r="A1031" s="7" t="s">
        <v>43</v>
      </c>
      <c r="B1031" s="7" t="str">
        <f>TEXT(Table1[[#This Row],[Date]],"MMM")</f>
        <v>Apr</v>
      </c>
      <c r="C1031" t="s">
        <v>44</v>
      </c>
      <c r="D1031" t="s">
        <v>53</v>
      </c>
      <c r="E1031" t="s">
        <v>29</v>
      </c>
      <c r="F1031" t="s">
        <v>37</v>
      </c>
      <c r="G1031" t="s">
        <v>31</v>
      </c>
      <c r="H1031" t="s">
        <v>32</v>
      </c>
      <c r="I1031" s="9">
        <v>85000</v>
      </c>
      <c r="J1031">
        <v>3</v>
      </c>
      <c r="K1031" t="s">
        <v>42</v>
      </c>
      <c r="L1031" s="9">
        <f t="shared" si="16"/>
        <v>68000</v>
      </c>
      <c r="M1031" s="9">
        <f>Table1[[#This Row],[Unit Price]]*Table1[[#This Row],[Quantity]]</f>
        <v>255000</v>
      </c>
      <c r="N1031" s="9">
        <f>Table1[[#This Row],[Cost Price]]*Table1[[#This Row],[Quantity]]</f>
        <v>204000</v>
      </c>
      <c r="O1031" s="9">
        <f>Table1[[#This Row],[Revenue]]-Table1[[#This Row],[COGS]]</f>
        <v>51000</v>
      </c>
      <c r="P1031" s="6">
        <v>1030</v>
      </c>
    </row>
    <row r="1032" spans="1:16">
      <c r="A1032" s="7" t="s">
        <v>107</v>
      </c>
      <c r="B1032" s="7" t="str">
        <f>TEXT(Table1[[#This Row],[Date]],"MMM")</f>
        <v>Feb</v>
      </c>
      <c r="C1032" t="s">
        <v>27</v>
      </c>
      <c r="D1032" t="s">
        <v>36</v>
      </c>
      <c r="E1032" t="s">
        <v>41</v>
      </c>
      <c r="F1032" t="s">
        <v>30</v>
      </c>
      <c r="G1032" t="s">
        <v>46</v>
      </c>
      <c r="H1032" t="s">
        <v>39</v>
      </c>
      <c r="I1032" s="9">
        <v>60000</v>
      </c>
      <c r="J1032">
        <v>3</v>
      </c>
      <c r="K1032" t="s">
        <v>58</v>
      </c>
      <c r="L1032" s="9">
        <f t="shared" si="16"/>
        <v>48000</v>
      </c>
      <c r="M1032" s="9">
        <f>Table1[[#This Row],[Unit Price]]*Table1[[#This Row],[Quantity]]</f>
        <v>180000</v>
      </c>
      <c r="N1032" s="9">
        <f>Table1[[#This Row],[Cost Price]]*Table1[[#This Row],[Quantity]]</f>
        <v>144000</v>
      </c>
      <c r="O1032" s="9">
        <f>Table1[[#This Row],[Revenue]]-Table1[[#This Row],[COGS]]</f>
        <v>36000</v>
      </c>
      <c r="P1032" s="6">
        <v>1031</v>
      </c>
    </row>
    <row r="1033" spans="1:16">
      <c r="A1033" s="7" t="s">
        <v>43</v>
      </c>
      <c r="B1033" s="7" t="str">
        <f>TEXT(Table1[[#This Row],[Date]],"MMM")</f>
        <v>Apr</v>
      </c>
      <c r="C1033" t="s">
        <v>27</v>
      </c>
      <c r="D1033" t="s">
        <v>45</v>
      </c>
      <c r="E1033" t="s">
        <v>41</v>
      </c>
      <c r="F1033" t="s">
        <v>37</v>
      </c>
      <c r="G1033" t="s">
        <v>73</v>
      </c>
      <c r="H1033" t="s">
        <v>39</v>
      </c>
      <c r="I1033" s="9">
        <v>220000</v>
      </c>
      <c r="J1033">
        <v>3</v>
      </c>
      <c r="K1033" t="s">
        <v>69</v>
      </c>
      <c r="L1033" s="9">
        <f t="shared" si="16"/>
        <v>176000</v>
      </c>
      <c r="M1033" s="9">
        <f>Table1[[#This Row],[Unit Price]]*Table1[[#This Row],[Quantity]]</f>
        <v>660000</v>
      </c>
      <c r="N1033" s="9">
        <f>Table1[[#This Row],[Cost Price]]*Table1[[#This Row],[Quantity]]</f>
        <v>528000</v>
      </c>
      <c r="O1033" s="9">
        <f>Table1[[#This Row],[Revenue]]-Table1[[#This Row],[COGS]]</f>
        <v>132000</v>
      </c>
      <c r="P1033" s="6">
        <v>1032</v>
      </c>
    </row>
    <row r="1034" spans="1:16">
      <c r="A1034" s="7" t="s">
        <v>177</v>
      </c>
      <c r="B1034" s="7" t="str">
        <f>TEXT(Table1[[#This Row],[Date]],"MMM")</f>
        <v>Mar</v>
      </c>
      <c r="C1034" t="s">
        <v>27</v>
      </c>
      <c r="D1034" t="s">
        <v>28</v>
      </c>
      <c r="E1034" t="s">
        <v>29</v>
      </c>
      <c r="F1034" t="s">
        <v>37</v>
      </c>
      <c r="G1034" t="s">
        <v>38</v>
      </c>
      <c r="H1034" t="s">
        <v>39</v>
      </c>
      <c r="I1034" s="9">
        <v>30000</v>
      </c>
      <c r="J1034">
        <v>1</v>
      </c>
      <c r="K1034" t="s">
        <v>33</v>
      </c>
      <c r="L1034" s="9">
        <f t="shared" si="16"/>
        <v>24000</v>
      </c>
      <c r="M1034" s="9">
        <f>Table1[[#This Row],[Unit Price]]*Table1[[#This Row],[Quantity]]</f>
        <v>30000</v>
      </c>
      <c r="N1034" s="9">
        <f>Table1[[#This Row],[Cost Price]]*Table1[[#This Row],[Quantity]]</f>
        <v>24000</v>
      </c>
      <c r="O1034" s="9">
        <f>Table1[[#This Row],[Revenue]]-Table1[[#This Row],[COGS]]</f>
        <v>6000</v>
      </c>
      <c r="P1034" s="6">
        <v>1033</v>
      </c>
    </row>
    <row r="1035" spans="1:16">
      <c r="A1035" s="7" t="s">
        <v>89</v>
      </c>
      <c r="B1035" s="7" t="str">
        <f>TEXT(Table1[[#This Row],[Date]],"MMM")</f>
        <v>Feb</v>
      </c>
      <c r="C1035" t="s">
        <v>35</v>
      </c>
      <c r="D1035" t="s">
        <v>53</v>
      </c>
      <c r="E1035" t="s">
        <v>41</v>
      </c>
      <c r="F1035" t="s">
        <v>37</v>
      </c>
      <c r="G1035" t="s">
        <v>67</v>
      </c>
      <c r="H1035" t="s">
        <v>51</v>
      </c>
      <c r="I1035" s="9">
        <v>420000</v>
      </c>
      <c r="J1035">
        <v>1</v>
      </c>
      <c r="K1035" t="s">
        <v>69</v>
      </c>
      <c r="L1035" s="9">
        <f t="shared" si="16"/>
        <v>336000</v>
      </c>
      <c r="M1035" s="9">
        <f>Table1[[#This Row],[Unit Price]]*Table1[[#This Row],[Quantity]]</f>
        <v>420000</v>
      </c>
      <c r="N1035" s="9">
        <f>Table1[[#This Row],[Cost Price]]*Table1[[#This Row],[Quantity]]</f>
        <v>336000</v>
      </c>
      <c r="O1035" s="9">
        <f>Table1[[#This Row],[Revenue]]-Table1[[#This Row],[COGS]]</f>
        <v>84000</v>
      </c>
      <c r="P1035" s="6">
        <v>1034</v>
      </c>
    </row>
    <row r="1036" spans="1:16">
      <c r="A1036" s="7" t="s">
        <v>169</v>
      </c>
      <c r="B1036" s="7" t="str">
        <f>TEXT(Table1[[#This Row],[Date]],"MMM")</f>
        <v>Feb</v>
      </c>
      <c r="C1036" t="s">
        <v>27</v>
      </c>
      <c r="D1036" t="s">
        <v>36</v>
      </c>
      <c r="E1036" t="s">
        <v>29</v>
      </c>
      <c r="F1036" t="s">
        <v>37</v>
      </c>
      <c r="G1036" t="s">
        <v>73</v>
      </c>
      <c r="H1036" t="s">
        <v>39</v>
      </c>
      <c r="I1036" s="9">
        <v>220000</v>
      </c>
      <c r="J1036">
        <v>10</v>
      </c>
      <c r="K1036" t="s">
        <v>42</v>
      </c>
      <c r="L1036" s="9">
        <f t="shared" si="16"/>
        <v>176000</v>
      </c>
      <c r="M1036" s="9">
        <f>Table1[[#This Row],[Unit Price]]*Table1[[#This Row],[Quantity]]</f>
        <v>2200000</v>
      </c>
      <c r="N1036" s="9">
        <f>Table1[[#This Row],[Cost Price]]*Table1[[#This Row],[Quantity]]</f>
        <v>1760000</v>
      </c>
      <c r="O1036" s="9">
        <f>Table1[[#This Row],[Revenue]]-Table1[[#This Row],[COGS]]</f>
        <v>440000</v>
      </c>
      <c r="P1036" s="6">
        <v>1035</v>
      </c>
    </row>
    <row r="1037" spans="1:16">
      <c r="A1037" s="7" t="s">
        <v>108</v>
      </c>
      <c r="B1037" s="7" t="str">
        <f>TEXT(Table1[[#This Row],[Date]],"MMM")</f>
        <v>Apr</v>
      </c>
      <c r="C1037" t="s">
        <v>44</v>
      </c>
      <c r="D1037" t="s">
        <v>45</v>
      </c>
      <c r="E1037" t="s">
        <v>41</v>
      </c>
      <c r="F1037" t="s">
        <v>37</v>
      </c>
      <c r="G1037" t="s">
        <v>54</v>
      </c>
      <c r="H1037" t="s">
        <v>39</v>
      </c>
      <c r="I1037" s="9">
        <v>180000</v>
      </c>
      <c r="J1037">
        <v>10</v>
      </c>
      <c r="K1037" t="s">
        <v>69</v>
      </c>
      <c r="L1037" s="9">
        <f t="shared" si="16"/>
        <v>144000</v>
      </c>
      <c r="M1037" s="9">
        <f>Table1[[#This Row],[Unit Price]]*Table1[[#This Row],[Quantity]]</f>
        <v>1800000</v>
      </c>
      <c r="N1037" s="9">
        <f>Table1[[#This Row],[Cost Price]]*Table1[[#This Row],[Quantity]]</f>
        <v>1440000</v>
      </c>
      <c r="O1037" s="9">
        <f>Table1[[#This Row],[Revenue]]-Table1[[#This Row],[COGS]]</f>
        <v>360000</v>
      </c>
      <c r="P1037" s="6">
        <v>1036</v>
      </c>
    </row>
    <row r="1038" spans="1:16">
      <c r="A1038" s="7" t="s">
        <v>78</v>
      </c>
      <c r="B1038" s="7" t="str">
        <f>TEXT(Table1[[#This Row],[Date]],"MMM")</f>
        <v>Apr</v>
      </c>
      <c r="C1038" t="s">
        <v>44</v>
      </c>
      <c r="D1038" t="s">
        <v>28</v>
      </c>
      <c r="E1038" t="s">
        <v>29</v>
      </c>
      <c r="F1038" t="s">
        <v>30</v>
      </c>
      <c r="G1038" t="s">
        <v>67</v>
      </c>
      <c r="H1038" t="s">
        <v>51</v>
      </c>
      <c r="I1038" s="9">
        <v>420000</v>
      </c>
      <c r="J1038">
        <v>3</v>
      </c>
      <c r="K1038" t="s">
        <v>65</v>
      </c>
      <c r="L1038" s="9">
        <f t="shared" si="16"/>
        <v>336000</v>
      </c>
      <c r="M1038" s="9">
        <f>Table1[[#This Row],[Unit Price]]*Table1[[#This Row],[Quantity]]</f>
        <v>1260000</v>
      </c>
      <c r="N1038" s="9">
        <f>Table1[[#This Row],[Cost Price]]*Table1[[#This Row],[Quantity]]</f>
        <v>1008000</v>
      </c>
      <c r="O1038" s="9">
        <f>Table1[[#This Row],[Revenue]]-Table1[[#This Row],[COGS]]</f>
        <v>252000</v>
      </c>
      <c r="P1038" s="6">
        <v>1037</v>
      </c>
    </row>
    <row r="1039" spans="1:16">
      <c r="A1039" s="7" t="s">
        <v>94</v>
      </c>
      <c r="B1039" s="7" t="str">
        <f>TEXT(Table1[[#This Row],[Date]],"MMM")</f>
        <v>Jan</v>
      </c>
      <c r="C1039" t="s">
        <v>27</v>
      </c>
      <c r="D1039" t="s">
        <v>53</v>
      </c>
      <c r="E1039" t="s">
        <v>41</v>
      </c>
      <c r="F1039" t="s">
        <v>30</v>
      </c>
      <c r="G1039" t="s">
        <v>31</v>
      </c>
      <c r="H1039" t="s">
        <v>32</v>
      </c>
      <c r="I1039" s="9">
        <v>85000</v>
      </c>
      <c r="J1039">
        <v>4</v>
      </c>
      <c r="K1039" t="s">
        <v>47</v>
      </c>
      <c r="L1039" s="9">
        <f t="shared" si="16"/>
        <v>68000</v>
      </c>
      <c r="M1039" s="9">
        <f>Table1[[#This Row],[Unit Price]]*Table1[[#This Row],[Quantity]]</f>
        <v>340000</v>
      </c>
      <c r="N1039" s="9">
        <f>Table1[[#This Row],[Cost Price]]*Table1[[#This Row],[Quantity]]</f>
        <v>272000</v>
      </c>
      <c r="O1039" s="9">
        <f>Table1[[#This Row],[Revenue]]-Table1[[#This Row],[COGS]]</f>
        <v>68000</v>
      </c>
      <c r="P1039" s="6">
        <v>1038</v>
      </c>
    </row>
    <row r="1040" spans="1:16">
      <c r="A1040" s="7" t="s">
        <v>168</v>
      </c>
      <c r="B1040" s="7" t="str">
        <f>TEXT(Table1[[#This Row],[Date]],"MMM")</f>
        <v>Apr</v>
      </c>
      <c r="C1040" t="s">
        <v>44</v>
      </c>
      <c r="D1040" t="s">
        <v>45</v>
      </c>
      <c r="E1040" t="s">
        <v>41</v>
      </c>
      <c r="F1040" t="s">
        <v>30</v>
      </c>
      <c r="G1040" t="s">
        <v>56</v>
      </c>
      <c r="H1040" t="s">
        <v>32</v>
      </c>
      <c r="I1040" s="9">
        <v>320000</v>
      </c>
      <c r="J1040">
        <v>4</v>
      </c>
      <c r="K1040" t="s">
        <v>58</v>
      </c>
      <c r="L1040" s="9">
        <f t="shared" si="16"/>
        <v>256000</v>
      </c>
      <c r="M1040" s="9">
        <f>Table1[[#This Row],[Unit Price]]*Table1[[#This Row],[Quantity]]</f>
        <v>1280000</v>
      </c>
      <c r="N1040" s="9">
        <f>Table1[[#This Row],[Cost Price]]*Table1[[#This Row],[Quantity]]</f>
        <v>1024000</v>
      </c>
      <c r="O1040" s="9">
        <f>Table1[[#This Row],[Revenue]]-Table1[[#This Row],[COGS]]</f>
        <v>256000</v>
      </c>
      <c r="P1040" s="6">
        <v>1039</v>
      </c>
    </row>
    <row r="1041" spans="1:16">
      <c r="A1041" s="7" t="s">
        <v>175</v>
      </c>
      <c r="B1041" s="7" t="str">
        <f>TEXT(Table1[[#This Row],[Date]],"MMM")</f>
        <v>Jan</v>
      </c>
      <c r="C1041" t="s">
        <v>27</v>
      </c>
      <c r="D1041" t="s">
        <v>53</v>
      </c>
      <c r="E1041" t="s">
        <v>29</v>
      </c>
      <c r="F1041" t="s">
        <v>37</v>
      </c>
      <c r="G1041" t="s">
        <v>73</v>
      </c>
      <c r="H1041" t="s">
        <v>39</v>
      </c>
      <c r="I1041" s="9">
        <v>220000</v>
      </c>
      <c r="J1041">
        <v>1</v>
      </c>
      <c r="K1041" t="s">
        <v>65</v>
      </c>
      <c r="L1041" s="9">
        <f t="shared" si="16"/>
        <v>176000</v>
      </c>
      <c r="M1041" s="9">
        <f>Table1[[#This Row],[Unit Price]]*Table1[[#This Row],[Quantity]]</f>
        <v>220000</v>
      </c>
      <c r="N1041" s="9">
        <f>Table1[[#This Row],[Cost Price]]*Table1[[#This Row],[Quantity]]</f>
        <v>176000</v>
      </c>
      <c r="O1041" s="9">
        <f>Table1[[#This Row],[Revenue]]-Table1[[#This Row],[COGS]]</f>
        <v>44000</v>
      </c>
      <c r="P1041" s="6">
        <v>1040</v>
      </c>
    </row>
    <row r="1042" spans="1:16">
      <c r="A1042" s="7" t="s">
        <v>157</v>
      </c>
      <c r="B1042" s="7" t="str">
        <f>TEXT(Table1[[#This Row],[Date]],"MMM")</f>
        <v>Apr</v>
      </c>
      <c r="C1042" t="s">
        <v>44</v>
      </c>
      <c r="D1042" t="s">
        <v>36</v>
      </c>
      <c r="E1042" t="s">
        <v>41</v>
      </c>
      <c r="F1042" t="s">
        <v>37</v>
      </c>
      <c r="G1042" t="s">
        <v>31</v>
      </c>
      <c r="H1042" t="s">
        <v>32</v>
      </c>
      <c r="I1042" s="9">
        <v>85000</v>
      </c>
      <c r="J1042">
        <v>1</v>
      </c>
      <c r="K1042" t="s">
        <v>42</v>
      </c>
      <c r="L1042" s="9">
        <f t="shared" si="16"/>
        <v>68000</v>
      </c>
      <c r="M1042" s="9">
        <f>Table1[[#This Row],[Unit Price]]*Table1[[#This Row],[Quantity]]</f>
        <v>85000</v>
      </c>
      <c r="N1042" s="9">
        <f>Table1[[#This Row],[Cost Price]]*Table1[[#This Row],[Quantity]]</f>
        <v>68000</v>
      </c>
      <c r="O1042" s="9">
        <f>Table1[[#This Row],[Revenue]]-Table1[[#This Row],[COGS]]</f>
        <v>17000</v>
      </c>
      <c r="P1042" s="6">
        <v>1041</v>
      </c>
    </row>
    <row r="1043" spans="1:16">
      <c r="A1043" s="7" t="s">
        <v>145</v>
      </c>
      <c r="B1043" s="7" t="str">
        <f>TEXT(Table1[[#This Row],[Date]],"MMM")</f>
        <v>Jan</v>
      </c>
      <c r="C1043" t="s">
        <v>27</v>
      </c>
      <c r="D1043" t="s">
        <v>53</v>
      </c>
      <c r="E1043" t="s">
        <v>29</v>
      </c>
      <c r="F1043" t="s">
        <v>30</v>
      </c>
      <c r="G1043" t="s">
        <v>62</v>
      </c>
      <c r="H1043" t="s">
        <v>51</v>
      </c>
      <c r="I1043" s="9">
        <v>150000</v>
      </c>
      <c r="J1043">
        <v>8</v>
      </c>
      <c r="K1043" t="s">
        <v>69</v>
      </c>
      <c r="L1043" s="9">
        <f t="shared" si="16"/>
        <v>120000</v>
      </c>
      <c r="M1043" s="9">
        <f>Table1[[#This Row],[Unit Price]]*Table1[[#This Row],[Quantity]]</f>
        <v>1200000</v>
      </c>
      <c r="N1043" s="9">
        <f>Table1[[#This Row],[Cost Price]]*Table1[[#This Row],[Quantity]]</f>
        <v>960000</v>
      </c>
      <c r="O1043" s="9">
        <f>Table1[[#This Row],[Revenue]]-Table1[[#This Row],[COGS]]</f>
        <v>240000</v>
      </c>
      <c r="P1043" s="6">
        <v>1042</v>
      </c>
    </row>
    <row r="1044" spans="1:16">
      <c r="A1044" s="7" t="s">
        <v>158</v>
      </c>
      <c r="B1044" s="7" t="str">
        <f>TEXT(Table1[[#This Row],[Date]],"MMM")</f>
        <v>Jan</v>
      </c>
      <c r="C1044" t="s">
        <v>49</v>
      </c>
      <c r="D1044" t="s">
        <v>36</v>
      </c>
      <c r="E1044" t="s">
        <v>41</v>
      </c>
      <c r="F1044" t="s">
        <v>30</v>
      </c>
      <c r="G1044" t="s">
        <v>62</v>
      </c>
      <c r="H1044" t="s">
        <v>51</v>
      </c>
      <c r="I1044" s="9">
        <v>150000</v>
      </c>
      <c r="J1044">
        <v>9</v>
      </c>
      <c r="K1044" t="s">
        <v>33</v>
      </c>
      <c r="L1044" s="9">
        <f t="shared" si="16"/>
        <v>120000</v>
      </c>
      <c r="M1044" s="9">
        <f>Table1[[#This Row],[Unit Price]]*Table1[[#This Row],[Quantity]]</f>
        <v>1350000</v>
      </c>
      <c r="N1044" s="9">
        <f>Table1[[#This Row],[Cost Price]]*Table1[[#This Row],[Quantity]]</f>
        <v>1080000</v>
      </c>
      <c r="O1044" s="9">
        <f>Table1[[#This Row],[Revenue]]-Table1[[#This Row],[COGS]]</f>
        <v>270000</v>
      </c>
      <c r="P1044" s="6">
        <v>1043</v>
      </c>
    </row>
    <row r="1045" spans="1:16">
      <c r="A1045" s="7" t="s">
        <v>64</v>
      </c>
      <c r="B1045" s="7" t="str">
        <f>TEXT(Table1[[#This Row],[Date]],"MMM")</f>
        <v>Apr</v>
      </c>
      <c r="C1045" t="s">
        <v>27</v>
      </c>
      <c r="D1045" t="s">
        <v>36</v>
      </c>
      <c r="E1045" t="s">
        <v>41</v>
      </c>
      <c r="F1045" t="s">
        <v>30</v>
      </c>
      <c r="G1045" t="s">
        <v>50</v>
      </c>
      <c r="H1045" t="s">
        <v>51</v>
      </c>
      <c r="I1045" s="9">
        <v>300000</v>
      </c>
      <c r="J1045">
        <v>3</v>
      </c>
      <c r="K1045" t="s">
        <v>33</v>
      </c>
      <c r="L1045" s="9">
        <f t="shared" si="16"/>
        <v>240000</v>
      </c>
      <c r="M1045" s="9">
        <f>Table1[[#This Row],[Unit Price]]*Table1[[#This Row],[Quantity]]</f>
        <v>900000</v>
      </c>
      <c r="N1045" s="9">
        <f>Table1[[#This Row],[Cost Price]]*Table1[[#This Row],[Quantity]]</f>
        <v>720000</v>
      </c>
      <c r="O1045" s="9">
        <f>Table1[[#This Row],[Revenue]]-Table1[[#This Row],[COGS]]</f>
        <v>180000</v>
      </c>
      <c r="P1045" s="6">
        <v>1044</v>
      </c>
    </row>
    <row r="1046" spans="1:16">
      <c r="A1046" s="7" t="s">
        <v>143</v>
      </c>
      <c r="B1046" s="7" t="str">
        <f>TEXT(Table1[[#This Row],[Date]],"MMM")</f>
        <v>Apr</v>
      </c>
      <c r="C1046" t="s">
        <v>49</v>
      </c>
      <c r="D1046" t="s">
        <v>53</v>
      </c>
      <c r="E1046" t="s">
        <v>41</v>
      </c>
      <c r="F1046" t="s">
        <v>30</v>
      </c>
      <c r="G1046" t="s">
        <v>62</v>
      </c>
      <c r="H1046" t="s">
        <v>51</v>
      </c>
      <c r="I1046" s="9">
        <v>150000</v>
      </c>
      <c r="J1046">
        <v>10</v>
      </c>
      <c r="K1046" t="s">
        <v>58</v>
      </c>
      <c r="L1046" s="9">
        <f t="shared" si="16"/>
        <v>120000</v>
      </c>
      <c r="M1046" s="9">
        <f>Table1[[#This Row],[Unit Price]]*Table1[[#This Row],[Quantity]]</f>
        <v>1500000</v>
      </c>
      <c r="N1046" s="9">
        <f>Table1[[#This Row],[Cost Price]]*Table1[[#This Row],[Quantity]]</f>
        <v>1200000</v>
      </c>
      <c r="O1046" s="9">
        <f>Table1[[#This Row],[Revenue]]-Table1[[#This Row],[COGS]]</f>
        <v>300000</v>
      </c>
      <c r="P1046" s="6">
        <v>1045</v>
      </c>
    </row>
    <row r="1047" spans="1:16">
      <c r="A1047" s="7" t="s">
        <v>43</v>
      </c>
      <c r="B1047" s="7" t="str">
        <f>TEXT(Table1[[#This Row],[Date]],"MMM")</f>
        <v>Apr</v>
      </c>
      <c r="C1047" t="s">
        <v>27</v>
      </c>
      <c r="D1047" t="s">
        <v>53</v>
      </c>
      <c r="E1047" t="s">
        <v>29</v>
      </c>
      <c r="F1047" t="s">
        <v>37</v>
      </c>
      <c r="G1047" t="s">
        <v>31</v>
      </c>
      <c r="H1047" t="s">
        <v>32</v>
      </c>
      <c r="I1047" s="9">
        <v>85000</v>
      </c>
      <c r="J1047">
        <v>2</v>
      </c>
      <c r="K1047" t="s">
        <v>58</v>
      </c>
      <c r="L1047" s="9">
        <f t="shared" si="16"/>
        <v>68000</v>
      </c>
      <c r="M1047" s="9">
        <f>Table1[[#This Row],[Unit Price]]*Table1[[#This Row],[Quantity]]</f>
        <v>170000</v>
      </c>
      <c r="N1047" s="9">
        <f>Table1[[#This Row],[Cost Price]]*Table1[[#This Row],[Quantity]]</f>
        <v>136000</v>
      </c>
      <c r="O1047" s="9">
        <f>Table1[[#This Row],[Revenue]]-Table1[[#This Row],[COGS]]</f>
        <v>34000</v>
      </c>
      <c r="P1047" s="6">
        <v>1046</v>
      </c>
    </row>
    <row r="1048" spans="1:16">
      <c r="A1048" s="7" t="s">
        <v>110</v>
      </c>
      <c r="B1048" s="7" t="str">
        <f>TEXT(Table1[[#This Row],[Date]],"MMM")</f>
        <v>Jan</v>
      </c>
      <c r="C1048" t="s">
        <v>35</v>
      </c>
      <c r="D1048" t="s">
        <v>28</v>
      </c>
      <c r="E1048" t="s">
        <v>41</v>
      </c>
      <c r="F1048" t="s">
        <v>37</v>
      </c>
      <c r="G1048" t="s">
        <v>67</v>
      </c>
      <c r="H1048" t="s">
        <v>51</v>
      </c>
      <c r="I1048" s="9">
        <v>420000</v>
      </c>
      <c r="J1048">
        <v>9</v>
      </c>
      <c r="K1048" t="s">
        <v>42</v>
      </c>
      <c r="L1048" s="9">
        <f t="shared" si="16"/>
        <v>336000</v>
      </c>
      <c r="M1048" s="9">
        <f>Table1[[#This Row],[Unit Price]]*Table1[[#This Row],[Quantity]]</f>
        <v>3780000</v>
      </c>
      <c r="N1048" s="9">
        <f>Table1[[#This Row],[Cost Price]]*Table1[[#This Row],[Quantity]]</f>
        <v>3024000</v>
      </c>
      <c r="O1048" s="9">
        <f>Table1[[#This Row],[Revenue]]-Table1[[#This Row],[COGS]]</f>
        <v>756000</v>
      </c>
      <c r="P1048" s="6">
        <v>1047</v>
      </c>
    </row>
    <row r="1049" spans="1:16">
      <c r="A1049" s="7" t="s">
        <v>110</v>
      </c>
      <c r="B1049" s="7" t="str">
        <f>TEXT(Table1[[#This Row],[Date]],"MMM")</f>
        <v>Jan</v>
      </c>
      <c r="C1049" t="s">
        <v>27</v>
      </c>
      <c r="D1049" t="s">
        <v>36</v>
      </c>
      <c r="E1049" t="s">
        <v>41</v>
      </c>
      <c r="F1049" t="s">
        <v>30</v>
      </c>
      <c r="G1049" t="s">
        <v>50</v>
      </c>
      <c r="H1049" t="s">
        <v>51</v>
      </c>
      <c r="I1049" s="9">
        <v>300000</v>
      </c>
      <c r="J1049">
        <v>2</v>
      </c>
      <c r="K1049" t="s">
        <v>69</v>
      </c>
      <c r="L1049" s="9">
        <f t="shared" si="16"/>
        <v>240000</v>
      </c>
      <c r="M1049" s="9">
        <f>Table1[[#This Row],[Unit Price]]*Table1[[#This Row],[Quantity]]</f>
        <v>600000</v>
      </c>
      <c r="N1049" s="9">
        <f>Table1[[#This Row],[Cost Price]]*Table1[[#This Row],[Quantity]]</f>
        <v>480000</v>
      </c>
      <c r="O1049" s="9">
        <f>Table1[[#This Row],[Revenue]]-Table1[[#This Row],[COGS]]</f>
        <v>120000</v>
      </c>
      <c r="P1049" s="6">
        <v>1048</v>
      </c>
    </row>
    <row r="1050" spans="1:16">
      <c r="A1050" s="7" t="s">
        <v>132</v>
      </c>
      <c r="B1050" s="7" t="str">
        <f>TEXT(Table1[[#This Row],[Date]],"MMM")</f>
        <v>Apr</v>
      </c>
      <c r="C1050" t="s">
        <v>35</v>
      </c>
      <c r="D1050" t="s">
        <v>45</v>
      </c>
      <c r="E1050" t="s">
        <v>41</v>
      </c>
      <c r="F1050" t="s">
        <v>30</v>
      </c>
      <c r="G1050" t="s">
        <v>62</v>
      </c>
      <c r="H1050" t="s">
        <v>51</v>
      </c>
      <c r="I1050" s="9">
        <v>150000</v>
      </c>
      <c r="J1050">
        <v>4</v>
      </c>
      <c r="K1050" t="s">
        <v>65</v>
      </c>
      <c r="L1050" s="9">
        <f t="shared" si="16"/>
        <v>120000</v>
      </c>
      <c r="M1050" s="9">
        <f>Table1[[#This Row],[Unit Price]]*Table1[[#This Row],[Quantity]]</f>
        <v>600000</v>
      </c>
      <c r="N1050" s="9">
        <f>Table1[[#This Row],[Cost Price]]*Table1[[#This Row],[Quantity]]</f>
        <v>480000</v>
      </c>
      <c r="O1050" s="9">
        <f>Table1[[#This Row],[Revenue]]-Table1[[#This Row],[COGS]]</f>
        <v>120000</v>
      </c>
      <c r="P1050" s="6">
        <v>1049</v>
      </c>
    </row>
    <row r="1051" spans="1:16">
      <c r="A1051" s="7" t="s">
        <v>70</v>
      </c>
      <c r="B1051" s="7" t="str">
        <f>TEXT(Table1[[#This Row],[Date]],"MMM")</f>
        <v>Apr</v>
      </c>
      <c r="C1051" t="s">
        <v>35</v>
      </c>
      <c r="D1051" t="s">
        <v>36</v>
      </c>
      <c r="E1051" t="s">
        <v>29</v>
      </c>
      <c r="F1051" t="s">
        <v>30</v>
      </c>
      <c r="G1051" t="s">
        <v>67</v>
      </c>
      <c r="H1051" t="s">
        <v>51</v>
      </c>
      <c r="I1051" s="9">
        <v>420000</v>
      </c>
      <c r="J1051">
        <v>9</v>
      </c>
      <c r="K1051" t="s">
        <v>42</v>
      </c>
      <c r="L1051" s="9">
        <f t="shared" si="16"/>
        <v>336000</v>
      </c>
      <c r="M1051" s="9">
        <f>Table1[[#This Row],[Unit Price]]*Table1[[#This Row],[Quantity]]</f>
        <v>3780000</v>
      </c>
      <c r="N1051" s="9">
        <f>Table1[[#This Row],[Cost Price]]*Table1[[#This Row],[Quantity]]</f>
        <v>3024000</v>
      </c>
      <c r="O1051" s="9">
        <f>Table1[[#This Row],[Revenue]]-Table1[[#This Row],[COGS]]</f>
        <v>756000</v>
      </c>
      <c r="P1051" s="6">
        <v>1050</v>
      </c>
    </row>
    <row r="1052" spans="1:16">
      <c r="A1052" s="7" t="s">
        <v>166</v>
      </c>
      <c r="B1052" s="7" t="str">
        <f>TEXT(Table1[[#This Row],[Date]],"MMM")</f>
        <v>Jan</v>
      </c>
      <c r="C1052" t="s">
        <v>49</v>
      </c>
      <c r="D1052" t="s">
        <v>45</v>
      </c>
      <c r="E1052" t="s">
        <v>29</v>
      </c>
      <c r="F1052" t="s">
        <v>37</v>
      </c>
      <c r="G1052" t="s">
        <v>71</v>
      </c>
      <c r="H1052" t="s">
        <v>51</v>
      </c>
      <c r="I1052" s="9">
        <v>250000</v>
      </c>
      <c r="J1052">
        <v>5</v>
      </c>
      <c r="K1052" t="s">
        <v>42</v>
      </c>
      <c r="L1052" s="9">
        <f t="shared" si="16"/>
        <v>200000</v>
      </c>
      <c r="M1052" s="9">
        <f>Table1[[#This Row],[Unit Price]]*Table1[[#This Row],[Quantity]]</f>
        <v>1250000</v>
      </c>
      <c r="N1052" s="9">
        <f>Table1[[#This Row],[Cost Price]]*Table1[[#This Row],[Quantity]]</f>
        <v>1000000</v>
      </c>
      <c r="O1052" s="9">
        <f>Table1[[#This Row],[Revenue]]-Table1[[#This Row],[COGS]]</f>
        <v>250000</v>
      </c>
      <c r="P1052" s="6">
        <v>1051</v>
      </c>
    </row>
    <row r="1053" spans="1:16">
      <c r="A1053" s="7" t="s">
        <v>101</v>
      </c>
      <c r="B1053" s="7" t="str">
        <f>TEXT(Table1[[#This Row],[Date]],"MMM")</f>
        <v>Jan</v>
      </c>
      <c r="C1053" t="s">
        <v>49</v>
      </c>
      <c r="D1053" t="s">
        <v>53</v>
      </c>
      <c r="E1053" t="s">
        <v>41</v>
      </c>
      <c r="F1053" t="s">
        <v>30</v>
      </c>
      <c r="G1053" t="s">
        <v>38</v>
      </c>
      <c r="H1053" t="s">
        <v>39</v>
      </c>
      <c r="I1053" s="9">
        <v>30000</v>
      </c>
      <c r="J1053">
        <v>10</v>
      </c>
      <c r="K1053" t="s">
        <v>65</v>
      </c>
      <c r="L1053" s="9">
        <f t="shared" si="16"/>
        <v>24000</v>
      </c>
      <c r="M1053" s="9">
        <f>Table1[[#This Row],[Unit Price]]*Table1[[#This Row],[Quantity]]</f>
        <v>300000</v>
      </c>
      <c r="N1053" s="9">
        <f>Table1[[#This Row],[Cost Price]]*Table1[[#This Row],[Quantity]]</f>
        <v>240000</v>
      </c>
      <c r="O1053" s="9">
        <f>Table1[[#This Row],[Revenue]]-Table1[[#This Row],[COGS]]</f>
        <v>60000</v>
      </c>
      <c r="P1053" s="6">
        <v>1052</v>
      </c>
    </row>
    <row r="1054" spans="1:16">
      <c r="A1054" s="7" t="s">
        <v>76</v>
      </c>
      <c r="B1054" s="7" t="str">
        <f>TEXT(Table1[[#This Row],[Date]],"MMM")</f>
        <v>May</v>
      </c>
      <c r="C1054" t="s">
        <v>44</v>
      </c>
      <c r="D1054" t="s">
        <v>45</v>
      </c>
      <c r="E1054" t="s">
        <v>29</v>
      </c>
      <c r="F1054" t="s">
        <v>37</v>
      </c>
      <c r="G1054" t="s">
        <v>67</v>
      </c>
      <c r="H1054" t="s">
        <v>51</v>
      </c>
      <c r="I1054" s="9">
        <v>420000</v>
      </c>
      <c r="J1054">
        <v>3</v>
      </c>
      <c r="K1054" t="s">
        <v>33</v>
      </c>
      <c r="L1054" s="9">
        <f t="shared" si="16"/>
        <v>336000</v>
      </c>
      <c r="M1054" s="9">
        <f>Table1[[#This Row],[Unit Price]]*Table1[[#This Row],[Quantity]]</f>
        <v>1260000</v>
      </c>
      <c r="N1054" s="9">
        <f>Table1[[#This Row],[Cost Price]]*Table1[[#This Row],[Quantity]]</f>
        <v>1008000</v>
      </c>
      <c r="O1054" s="9">
        <f>Table1[[#This Row],[Revenue]]-Table1[[#This Row],[COGS]]</f>
        <v>252000</v>
      </c>
      <c r="P1054" s="6">
        <v>1053</v>
      </c>
    </row>
    <row r="1055" spans="1:16">
      <c r="A1055" s="7" t="s">
        <v>40</v>
      </c>
      <c r="B1055" s="7" t="str">
        <f>TEXT(Table1[[#This Row],[Date]],"MMM")</f>
        <v>Feb</v>
      </c>
      <c r="C1055" t="s">
        <v>44</v>
      </c>
      <c r="D1055" t="s">
        <v>53</v>
      </c>
      <c r="E1055" t="s">
        <v>29</v>
      </c>
      <c r="F1055" t="s">
        <v>30</v>
      </c>
      <c r="G1055" t="s">
        <v>56</v>
      </c>
      <c r="H1055" t="s">
        <v>32</v>
      </c>
      <c r="I1055" s="9">
        <v>320000</v>
      </c>
      <c r="J1055">
        <v>8</v>
      </c>
      <c r="K1055" t="s">
        <v>65</v>
      </c>
      <c r="L1055" s="9">
        <f t="shared" si="16"/>
        <v>256000</v>
      </c>
      <c r="M1055" s="9">
        <f>Table1[[#This Row],[Unit Price]]*Table1[[#This Row],[Quantity]]</f>
        <v>2560000</v>
      </c>
      <c r="N1055" s="9">
        <f>Table1[[#This Row],[Cost Price]]*Table1[[#This Row],[Quantity]]</f>
        <v>2048000</v>
      </c>
      <c r="O1055" s="9">
        <f>Table1[[#This Row],[Revenue]]-Table1[[#This Row],[COGS]]</f>
        <v>512000</v>
      </c>
      <c r="P1055" s="6">
        <v>1054</v>
      </c>
    </row>
    <row r="1056" spans="1:16">
      <c r="A1056" s="7" t="s">
        <v>74</v>
      </c>
      <c r="B1056" s="7" t="str">
        <f>TEXT(Table1[[#This Row],[Date]],"MMM")</f>
        <v>Feb</v>
      </c>
      <c r="C1056" t="s">
        <v>49</v>
      </c>
      <c r="D1056" t="s">
        <v>36</v>
      </c>
      <c r="E1056" t="s">
        <v>41</v>
      </c>
      <c r="F1056" t="s">
        <v>30</v>
      </c>
      <c r="G1056" t="s">
        <v>67</v>
      </c>
      <c r="H1056" t="s">
        <v>51</v>
      </c>
      <c r="I1056" s="9">
        <v>420000</v>
      </c>
      <c r="J1056">
        <v>8</v>
      </c>
      <c r="K1056" t="s">
        <v>65</v>
      </c>
      <c r="L1056" s="9">
        <f t="shared" si="16"/>
        <v>336000</v>
      </c>
      <c r="M1056" s="9">
        <f>Table1[[#This Row],[Unit Price]]*Table1[[#This Row],[Quantity]]</f>
        <v>3360000</v>
      </c>
      <c r="N1056" s="9">
        <f>Table1[[#This Row],[Cost Price]]*Table1[[#This Row],[Quantity]]</f>
        <v>2688000</v>
      </c>
      <c r="O1056" s="9">
        <f>Table1[[#This Row],[Revenue]]-Table1[[#This Row],[COGS]]</f>
        <v>672000</v>
      </c>
      <c r="P1056" s="6">
        <v>1055</v>
      </c>
    </row>
    <row r="1057" spans="1:16">
      <c r="A1057" s="7" t="s">
        <v>97</v>
      </c>
      <c r="B1057" s="7" t="str">
        <f>TEXT(Table1[[#This Row],[Date]],"MMM")</f>
        <v>Jan</v>
      </c>
      <c r="C1057" t="s">
        <v>44</v>
      </c>
      <c r="D1057" t="s">
        <v>45</v>
      </c>
      <c r="E1057" t="s">
        <v>41</v>
      </c>
      <c r="F1057" t="s">
        <v>30</v>
      </c>
      <c r="G1057" t="s">
        <v>62</v>
      </c>
      <c r="H1057" t="s">
        <v>51</v>
      </c>
      <c r="I1057" s="9">
        <v>150000</v>
      </c>
      <c r="J1057">
        <v>1</v>
      </c>
      <c r="K1057" t="s">
        <v>65</v>
      </c>
      <c r="L1057" s="9">
        <f t="shared" si="16"/>
        <v>120000</v>
      </c>
      <c r="M1057" s="9">
        <f>Table1[[#This Row],[Unit Price]]*Table1[[#This Row],[Quantity]]</f>
        <v>150000</v>
      </c>
      <c r="N1057" s="9">
        <f>Table1[[#This Row],[Cost Price]]*Table1[[#This Row],[Quantity]]</f>
        <v>120000</v>
      </c>
      <c r="O1057" s="9">
        <f>Table1[[#This Row],[Revenue]]-Table1[[#This Row],[COGS]]</f>
        <v>30000</v>
      </c>
      <c r="P1057" s="6">
        <v>1056</v>
      </c>
    </row>
    <row r="1058" spans="1:16">
      <c r="A1058" s="7" t="s">
        <v>177</v>
      </c>
      <c r="B1058" s="7" t="str">
        <f>TEXT(Table1[[#This Row],[Date]],"MMM")</f>
        <v>Mar</v>
      </c>
      <c r="C1058" t="s">
        <v>44</v>
      </c>
      <c r="D1058" t="s">
        <v>36</v>
      </c>
      <c r="E1058" t="s">
        <v>29</v>
      </c>
      <c r="F1058" t="s">
        <v>30</v>
      </c>
      <c r="G1058" t="s">
        <v>46</v>
      </c>
      <c r="H1058" t="s">
        <v>39</v>
      </c>
      <c r="I1058" s="9">
        <v>60000</v>
      </c>
      <c r="J1058">
        <v>7</v>
      </c>
      <c r="K1058" t="s">
        <v>58</v>
      </c>
      <c r="L1058" s="9">
        <f t="shared" si="16"/>
        <v>48000</v>
      </c>
      <c r="M1058" s="9">
        <f>Table1[[#This Row],[Unit Price]]*Table1[[#This Row],[Quantity]]</f>
        <v>420000</v>
      </c>
      <c r="N1058" s="9">
        <f>Table1[[#This Row],[Cost Price]]*Table1[[#This Row],[Quantity]]</f>
        <v>336000</v>
      </c>
      <c r="O1058" s="9">
        <f>Table1[[#This Row],[Revenue]]-Table1[[#This Row],[COGS]]</f>
        <v>84000</v>
      </c>
      <c r="P1058" s="6">
        <v>1057</v>
      </c>
    </row>
    <row r="1059" spans="1:16">
      <c r="A1059" s="7" t="s">
        <v>136</v>
      </c>
      <c r="B1059" s="7" t="str">
        <f>TEXT(Table1[[#This Row],[Date]],"MMM")</f>
        <v>Feb</v>
      </c>
      <c r="C1059" t="s">
        <v>44</v>
      </c>
      <c r="D1059" t="s">
        <v>36</v>
      </c>
      <c r="E1059" t="s">
        <v>29</v>
      </c>
      <c r="F1059" t="s">
        <v>37</v>
      </c>
      <c r="G1059" t="s">
        <v>67</v>
      </c>
      <c r="H1059" t="s">
        <v>51</v>
      </c>
      <c r="I1059" s="9">
        <v>420000</v>
      </c>
      <c r="J1059">
        <v>9</v>
      </c>
      <c r="K1059" t="s">
        <v>65</v>
      </c>
      <c r="L1059" s="9">
        <f t="shared" si="16"/>
        <v>336000</v>
      </c>
      <c r="M1059" s="9">
        <f>Table1[[#This Row],[Unit Price]]*Table1[[#This Row],[Quantity]]</f>
        <v>3780000</v>
      </c>
      <c r="N1059" s="9">
        <f>Table1[[#This Row],[Cost Price]]*Table1[[#This Row],[Quantity]]</f>
        <v>3024000</v>
      </c>
      <c r="O1059" s="9">
        <f>Table1[[#This Row],[Revenue]]-Table1[[#This Row],[COGS]]</f>
        <v>756000</v>
      </c>
      <c r="P1059" s="6">
        <v>1058</v>
      </c>
    </row>
    <row r="1060" spans="1:16">
      <c r="A1060" s="7" t="s">
        <v>173</v>
      </c>
      <c r="B1060" s="7" t="str">
        <f>TEXT(Table1[[#This Row],[Date]],"MMM")</f>
        <v>Mar</v>
      </c>
      <c r="C1060" t="s">
        <v>35</v>
      </c>
      <c r="D1060" t="s">
        <v>45</v>
      </c>
      <c r="E1060" t="s">
        <v>41</v>
      </c>
      <c r="F1060" t="s">
        <v>37</v>
      </c>
      <c r="G1060" t="s">
        <v>67</v>
      </c>
      <c r="H1060" t="s">
        <v>51</v>
      </c>
      <c r="I1060" s="9">
        <v>420000</v>
      </c>
      <c r="J1060">
        <v>6</v>
      </c>
      <c r="K1060" t="s">
        <v>42</v>
      </c>
      <c r="L1060" s="9">
        <f t="shared" si="16"/>
        <v>336000</v>
      </c>
      <c r="M1060" s="9">
        <f>Table1[[#This Row],[Unit Price]]*Table1[[#This Row],[Quantity]]</f>
        <v>2520000</v>
      </c>
      <c r="N1060" s="9">
        <f>Table1[[#This Row],[Cost Price]]*Table1[[#This Row],[Quantity]]</f>
        <v>2016000</v>
      </c>
      <c r="O1060" s="9">
        <f>Table1[[#This Row],[Revenue]]-Table1[[#This Row],[COGS]]</f>
        <v>504000</v>
      </c>
      <c r="P1060" s="6">
        <v>1059</v>
      </c>
    </row>
    <row r="1061" spans="1:16">
      <c r="A1061" s="7" t="s">
        <v>101</v>
      </c>
      <c r="B1061" s="7" t="str">
        <f>TEXT(Table1[[#This Row],[Date]],"MMM")</f>
        <v>Jan</v>
      </c>
      <c r="C1061" t="s">
        <v>35</v>
      </c>
      <c r="D1061" t="s">
        <v>28</v>
      </c>
      <c r="E1061" t="s">
        <v>29</v>
      </c>
      <c r="F1061" t="s">
        <v>30</v>
      </c>
      <c r="G1061" t="s">
        <v>50</v>
      </c>
      <c r="H1061" t="s">
        <v>51</v>
      </c>
      <c r="I1061" s="9">
        <v>300000</v>
      </c>
      <c r="J1061">
        <v>9</v>
      </c>
      <c r="K1061" t="s">
        <v>65</v>
      </c>
      <c r="L1061" s="9">
        <f t="shared" si="16"/>
        <v>240000</v>
      </c>
      <c r="M1061" s="9">
        <f>Table1[[#This Row],[Unit Price]]*Table1[[#This Row],[Quantity]]</f>
        <v>2700000</v>
      </c>
      <c r="N1061" s="9">
        <f>Table1[[#This Row],[Cost Price]]*Table1[[#This Row],[Quantity]]</f>
        <v>2160000</v>
      </c>
      <c r="O1061" s="9">
        <f>Table1[[#This Row],[Revenue]]-Table1[[#This Row],[COGS]]</f>
        <v>540000</v>
      </c>
      <c r="P1061" s="6">
        <v>1060</v>
      </c>
    </row>
    <row r="1062" spans="1:16">
      <c r="A1062" s="7" t="s">
        <v>72</v>
      </c>
      <c r="B1062" s="7" t="str">
        <f>TEXT(Table1[[#This Row],[Date]],"MMM")</f>
        <v>Feb</v>
      </c>
      <c r="C1062" t="s">
        <v>49</v>
      </c>
      <c r="D1062" t="s">
        <v>28</v>
      </c>
      <c r="E1062" t="s">
        <v>41</v>
      </c>
      <c r="F1062" t="s">
        <v>30</v>
      </c>
      <c r="G1062" t="s">
        <v>54</v>
      </c>
      <c r="H1062" t="s">
        <v>39</v>
      </c>
      <c r="I1062" s="9">
        <v>180000</v>
      </c>
      <c r="J1062">
        <v>5</v>
      </c>
      <c r="K1062" t="s">
        <v>69</v>
      </c>
      <c r="L1062" s="9">
        <f t="shared" si="16"/>
        <v>144000</v>
      </c>
      <c r="M1062" s="9">
        <f>Table1[[#This Row],[Unit Price]]*Table1[[#This Row],[Quantity]]</f>
        <v>900000</v>
      </c>
      <c r="N1062" s="9">
        <f>Table1[[#This Row],[Cost Price]]*Table1[[#This Row],[Quantity]]</f>
        <v>720000</v>
      </c>
      <c r="O1062" s="9">
        <f>Table1[[#This Row],[Revenue]]-Table1[[#This Row],[COGS]]</f>
        <v>180000</v>
      </c>
      <c r="P1062" s="6">
        <v>1061</v>
      </c>
    </row>
    <row r="1063" spans="1:16">
      <c r="A1063" s="7" t="s">
        <v>63</v>
      </c>
      <c r="B1063" s="7" t="str">
        <f>TEXT(Table1[[#This Row],[Date]],"MMM")</f>
        <v>Jan</v>
      </c>
      <c r="C1063" t="s">
        <v>44</v>
      </c>
      <c r="D1063" t="s">
        <v>45</v>
      </c>
      <c r="E1063" t="s">
        <v>29</v>
      </c>
      <c r="F1063" t="s">
        <v>37</v>
      </c>
      <c r="G1063" t="s">
        <v>62</v>
      </c>
      <c r="H1063" t="s">
        <v>51</v>
      </c>
      <c r="I1063" s="9">
        <v>150000</v>
      </c>
      <c r="J1063">
        <v>5</v>
      </c>
      <c r="K1063" t="s">
        <v>47</v>
      </c>
      <c r="L1063" s="9">
        <f t="shared" si="16"/>
        <v>120000</v>
      </c>
      <c r="M1063" s="9">
        <f>Table1[[#This Row],[Unit Price]]*Table1[[#This Row],[Quantity]]</f>
        <v>750000</v>
      </c>
      <c r="N1063" s="9">
        <f>Table1[[#This Row],[Cost Price]]*Table1[[#This Row],[Quantity]]</f>
        <v>600000</v>
      </c>
      <c r="O1063" s="9">
        <f>Table1[[#This Row],[Revenue]]-Table1[[#This Row],[COGS]]</f>
        <v>150000</v>
      </c>
      <c r="P1063" s="6">
        <v>1062</v>
      </c>
    </row>
    <row r="1064" spans="1:16">
      <c r="A1064" s="7" t="s">
        <v>166</v>
      </c>
      <c r="B1064" s="7" t="str">
        <f>TEXT(Table1[[#This Row],[Date]],"MMM")</f>
        <v>Jan</v>
      </c>
      <c r="C1064" t="s">
        <v>35</v>
      </c>
      <c r="D1064" t="s">
        <v>28</v>
      </c>
      <c r="E1064" t="s">
        <v>29</v>
      </c>
      <c r="F1064" t="s">
        <v>30</v>
      </c>
      <c r="G1064" t="s">
        <v>31</v>
      </c>
      <c r="H1064" t="s">
        <v>32</v>
      </c>
      <c r="I1064" s="9">
        <v>85000</v>
      </c>
      <c r="J1064">
        <v>9</v>
      </c>
      <c r="K1064" t="s">
        <v>47</v>
      </c>
      <c r="L1064" s="9">
        <f t="shared" si="16"/>
        <v>68000</v>
      </c>
      <c r="M1064" s="9">
        <f>Table1[[#This Row],[Unit Price]]*Table1[[#This Row],[Quantity]]</f>
        <v>765000</v>
      </c>
      <c r="N1064" s="9">
        <f>Table1[[#This Row],[Cost Price]]*Table1[[#This Row],[Quantity]]</f>
        <v>612000</v>
      </c>
      <c r="O1064" s="9">
        <f>Table1[[#This Row],[Revenue]]-Table1[[#This Row],[COGS]]</f>
        <v>153000</v>
      </c>
      <c r="P1064" s="6">
        <v>1063</v>
      </c>
    </row>
    <row r="1065" spans="1:16">
      <c r="A1065" s="7" t="s">
        <v>136</v>
      </c>
      <c r="B1065" s="7" t="str">
        <f>TEXT(Table1[[#This Row],[Date]],"MMM")</f>
        <v>Feb</v>
      </c>
      <c r="C1065" t="s">
        <v>27</v>
      </c>
      <c r="D1065" t="s">
        <v>53</v>
      </c>
      <c r="E1065" t="s">
        <v>41</v>
      </c>
      <c r="F1065" t="s">
        <v>30</v>
      </c>
      <c r="G1065" t="s">
        <v>67</v>
      </c>
      <c r="H1065" t="s">
        <v>51</v>
      </c>
      <c r="I1065" s="9">
        <v>420000</v>
      </c>
      <c r="J1065">
        <v>5</v>
      </c>
      <c r="K1065" t="s">
        <v>69</v>
      </c>
      <c r="L1065" s="9">
        <f t="shared" si="16"/>
        <v>336000</v>
      </c>
      <c r="M1065" s="9">
        <f>Table1[[#This Row],[Unit Price]]*Table1[[#This Row],[Quantity]]</f>
        <v>2100000</v>
      </c>
      <c r="N1065" s="9">
        <f>Table1[[#This Row],[Cost Price]]*Table1[[#This Row],[Quantity]]</f>
        <v>1680000</v>
      </c>
      <c r="O1065" s="9">
        <f>Table1[[#This Row],[Revenue]]-Table1[[#This Row],[COGS]]</f>
        <v>420000</v>
      </c>
      <c r="P1065" s="6">
        <v>1064</v>
      </c>
    </row>
    <row r="1066" spans="1:16">
      <c r="A1066" s="7" t="s">
        <v>122</v>
      </c>
      <c r="B1066" s="7" t="str">
        <f>TEXT(Table1[[#This Row],[Date]],"MMM")</f>
        <v>Mar</v>
      </c>
      <c r="C1066" t="s">
        <v>35</v>
      </c>
      <c r="D1066" t="s">
        <v>36</v>
      </c>
      <c r="E1066" t="s">
        <v>29</v>
      </c>
      <c r="F1066" t="s">
        <v>37</v>
      </c>
      <c r="G1066" t="s">
        <v>56</v>
      </c>
      <c r="H1066" t="s">
        <v>32</v>
      </c>
      <c r="I1066" s="9">
        <v>320000</v>
      </c>
      <c r="J1066">
        <v>4</v>
      </c>
      <c r="K1066" t="s">
        <v>47</v>
      </c>
      <c r="L1066" s="9">
        <f t="shared" si="16"/>
        <v>256000</v>
      </c>
      <c r="M1066" s="9">
        <f>Table1[[#This Row],[Unit Price]]*Table1[[#This Row],[Quantity]]</f>
        <v>1280000</v>
      </c>
      <c r="N1066" s="9">
        <f>Table1[[#This Row],[Cost Price]]*Table1[[#This Row],[Quantity]]</f>
        <v>1024000</v>
      </c>
      <c r="O1066" s="9">
        <f>Table1[[#This Row],[Revenue]]-Table1[[#This Row],[COGS]]</f>
        <v>256000</v>
      </c>
      <c r="P1066" s="6">
        <v>1065</v>
      </c>
    </row>
    <row r="1067" spans="1:16">
      <c r="A1067" s="7" t="s">
        <v>164</v>
      </c>
      <c r="B1067" s="7" t="str">
        <f>TEXT(Table1[[#This Row],[Date]],"MMM")</f>
        <v>Mar</v>
      </c>
      <c r="C1067" t="s">
        <v>35</v>
      </c>
      <c r="D1067" t="s">
        <v>36</v>
      </c>
      <c r="E1067" t="s">
        <v>41</v>
      </c>
      <c r="F1067" t="s">
        <v>30</v>
      </c>
      <c r="G1067" t="s">
        <v>38</v>
      </c>
      <c r="H1067" t="s">
        <v>39</v>
      </c>
      <c r="I1067" s="9">
        <v>30000</v>
      </c>
      <c r="J1067">
        <v>4</v>
      </c>
      <c r="K1067" t="s">
        <v>47</v>
      </c>
      <c r="L1067" s="9">
        <f t="shared" si="16"/>
        <v>24000</v>
      </c>
      <c r="M1067" s="9">
        <f>Table1[[#This Row],[Unit Price]]*Table1[[#This Row],[Quantity]]</f>
        <v>120000</v>
      </c>
      <c r="N1067" s="9">
        <f>Table1[[#This Row],[Cost Price]]*Table1[[#This Row],[Quantity]]</f>
        <v>96000</v>
      </c>
      <c r="O1067" s="9">
        <f>Table1[[#This Row],[Revenue]]-Table1[[#This Row],[COGS]]</f>
        <v>24000</v>
      </c>
      <c r="P1067" s="6">
        <v>1066</v>
      </c>
    </row>
    <row r="1068" spans="1:16">
      <c r="A1068" s="7" t="s">
        <v>147</v>
      </c>
      <c r="B1068" s="7" t="str">
        <f>TEXT(Table1[[#This Row],[Date]],"MMM")</f>
        <v>Jan</v>
      </c>
      <c r="C1068" t="s">
        <v>44</v>
      </c>
      <c r="D1068" t="s">
        <v>53</v>
      </c>
      <c r="E1068" t="s">
        <v>41</v>
      </c>
      <c r="F1068" t="s">
        <v>37</v>
      </c>
      <c r="G1068" t="s">
        <v>62</v>
      </c>
      <c r="H1068" t="s">
        <v>51</v>
      </c>
      <c r="I1068" s="9">
        <v>150000</v>
      </c>
      <c r="J1068">
        <v>3</v>
      </c>
      <c r="K1068" t="s">
        <v>65</v>
      </c>
      <c r="L1068" s="9">
        <f t="shared" si="16"/>
        <v>120000</v>
      </c>
      <c r="M1068" s="9">
        <f>Table1[[#This Row],[Unit Price]]*Table1[[#This Row],[Quantity]]</f>
        <v>450000</v>
      </c>
      <c r="N1068" s="9">
        <f>Table1[[#This Row],[Cost Price]]*Table1[[#This Row],[Quantity]]</f>
        <v>360000</v>
      </c>
      <c r="O1068" s="9">
        <f>Table1[[#This Row],[Revenue]]-Table1[[#This Row],[COGS]]</f>
        <v>90000</v>
      </c>
      <c r="P1068" s="6">
        <v>1067</v>
      </c>
    </row>
    <row r="1069" spans="1:16">
      <c r="A1069" s="7" t="s">
        <v>86</v>
      </c>
      <c r="B1069" s="7" t="str">
        <f>TEXT(Table1[[#This Row],[Date]],"MMM")</f>
        <v>Feb</v>
      </c>
      <c r="C1069" t="s">
        <v>27</v>
      </c>
      <c r="D1069" t="s">
        <v>36</v>
      </c>
      <c r="E1069" t="s">
        <v>29</v>
      </c>
      <c r="F1069" t="s">
        <v>30</v>
      </c>
      <c r="G1069" t="s">
        <v>73</v>
      </c>
      <c r="H1069" t="s">
        <v>39</v>
      </c>
      <c r="I1069" s="9">
        <v>220000</v>
      </c>
      <c r="J1069">
        <v>7</v>
      </c>
      <c r="K1069" t="s">
        <v>33</v>
      </c>
      <c r="L1069" s="9">
        <f t="shared" si="16"/>
        <v>176000</v>
      </c>
      <c r="M1069" s="9">
        <f>Table1[[#This Row],[Unit Price]]*Table1[[#This Row],[Quantity]]</f>
        <v>1540000</v>
      </c>
      <c r="N1069" s="9">
        <f>Table1[[#This Row],[Cost Price]]*Table1[[#This Row],[Quantity]]</f>
        <v>1232000</v>
      </c>
      <c r="O1069" s="9">
        <f>Table1[[#This Row],[Revenue]]-Table1[[#This Row],[COGS]]</f>
        <v>308000</v>
      </c>
      <c r="P1069" s="6">
        <v>1068</v>
      </c>
    </row>
    <row r="1070" spans="1:16">
      <c r="A1070" s="7" t="s">
        <v>83</v>
      </c>
      <c r="B1070" s="7" t="str">
        <f>TEXT(Table1[[#This Row],[Date]],"MMM")</f>
        <v>Jan</v>
      </c>
      <c r="C1070" t="s">
        <v>35</v>
      </c>
      <c r="D1070" t="s">
        <v>28</v>
      </c>
      <c r="E1070" t="s">
        <v>29</v>
      </c>
      <c r="F1070" t="s">
        <v>37</v>
      </c>
      <c r="G1070" t="s">
        <v>54</v>
      </c>
      <c r="H1070" t="s">
        <v>39</v>
      </c>
      <c r="I1070" s="9">
        <v>180000</v>
      </c>
      <c r="J1070">
        <v>10</v>
      </c>
      <c r="K1070" t="s">
        <v>58</v>
      </c>
      <c r="L1070" s="9">
        <f t="shared" si="16"/>
        <v>144000</v>
      </c>
      <c r="M1070" s="9">
        <f>Table1[[#This Row],[Unit Price]]*Table1[[#This Row],[Quantity]]</f>
        <v>1800000</v>
      </c>
      <c r="N1070" s="9">
        <f>Table1[[#This Row],[Cost Price]]*Table1[[#This Row],[Quantity]]</f>
        <v>1440000</v>
      </c>
      <c r="O1070" s="9">
        <f>Table1[[#This Row],[Revenue]]-Table1[[#This Row],[COGS]]</f>
        <v>360000</v>
      </c>
      <c r="P1070" s="6">
        <v>1069</v>
      </c>
    </row>
    <row r="1071" spans="1:16">
      <c r="A1071" s="7" t="s">
        <v>153</v>
      </c>
      <c r="B1071" s="7" t="str">
        <f>TEXT(Table1[[#This Row],[Date]],"MMM")</f>
        <v>Mar</v>
      </c>
      <c r="C1071" t="s">
        <v>27</v>
      </c>
      <c r="D1071" t="s">
        <v>53</v>
      </c>
      <c r="E1071" t="s">
        <v>41</v>
      </c>
      <c r="F1071" t="s">
        <v>30</v>
      </c>
      <c r="G1071" t="s">
        <v>31</v>
      </c>
      <c r="H1071" t="s">
        <v>32</v>
      </c>
      <c r="I1071" s="9">
        <v>85000</v>
      </c>
      <c r="J1071">
        <v>7</v>
      </c>
      <c r="K1071" t="s">
        <v>42</v>
      </c>
      <c r="L1071" s="9">
        <f t="shared" si="16"/>
        <v>68000</v>
      </c>
      <c r="M1071" s="9">
        <f>Table1[[#This Row],[Unit Price]]*Table1[[#This Row],[Quantity]]</f>
        <v>595000</v>
      </c>
      <c r="N1071" s="9">
        <f>Table1[[#This Row],[Cost Price]]*Table1[[#This Row],[Quantity]]</f>
        <v>476000</v>
      </c>
      <c r="O1071" s="9">
        <f>Table1[[#This Row],[Revenue]]-Table1[[#This Row],[COGS]]</f>
        <v>119000</v>
      </c>
      <c r="P1071" s="6">
        <v>1070</v>
      </c>
    </row>
    <row r="1072" spans="1:16">
      <c r="A1072" s="7" t="s">
        <v>119</v>
      </c>
      <c r="B1072" s="7" t="str">
        <f>TEXT(Table1[[#This Row],[Date]],"MMM")</f>
        <v>Feb</v>
      </c>
      <c r="C1072" t="s">
        <v>35</v>
      </c>
      <c r="D1072" t="s">
        <v>36</v>
      </c>
      <c r="E1072" t="s">
        <v>29</v>
      </c>
      <c r="F1072" t="s">
        <v>30</v>
      </c>
      <c r="G1072" t="s">
        <v>38</v>
      </c>
      <c r="H1072" t="s">
        <v>39</v>
      </c>
      <c r="I1072" s="9">
        <v>30000</v>
      </c>
      <c r="J1072">
        <v>3</v>
      </c>
      <c r="K1072" t="s">
        <v>42</v>
      </c>
      <c r="L1072" s="9">
        <f t="shared" si="16"/>
        <v>24000</v>
      </c>
      <c r="M1072" s="9">
        <f>Table1[[#This Row],[Unit Price]]*Table1[[#This Row],[Quantity]]</f>
        <v>90000</v>
      </c>
      <c r="N1072" s="9">
        <f>Table1[[#This Row],[Cost Price]]*Table1[[#This Row],[Quantity]]</f>
        <v>72000</v>
      </c>
      <c r="O1072" s="9">
        <f>Table1[[#This Row],[Revenue]]-Table1[[#This Row],[COGS]]</f>
        <v>18000</v>
      </c>
      <c r="P1072" s="6">
        <v>1071</v>
      </c>
    </row>
    <row r="1073" spans="1:16">
      <c r="A1073" s="7" t="s">
        <v>150</v>
      </c>
      <c r="B1073" s="7" t="str">
        <f>TEXT(Table1[[#This Row],[Date]],"MMM")</f>
        <v>Jan</v>
      </c>
      <c r="C1073" t="s">
        <v>49</v>
      </c>
      <c r="D1073" t="s">
        <v>28</v>
      </c>
      <c r="E1073" t="s">
        <v>41</v>
      </c>
      <c r="F1073" t="s">
        <v>30</v>
      </c>
      <c r="G1073" t="s">
        <v>56</v>
      </c>
      <c r="H1073" t="s">
        <v>32</v>
      </c>
      <c r="I1073" s="9">
        <v>320000</v>
      </c>
      <c r="J1073">
        <v>9</v>
      </c>
      <c r="K1073" t="s">
        <v>65</v>
      </c>
      <c r="L1073" s="9">
        <f t="shared" si="16"/>
        <v>256000</v>
      </c>
      <c r="M1073" s="9">
        <f>Table1[[#This Row],[Unit Price]]*Table1[[#This Row],[Quantity]]</f>
        <v>2880000</v>
      </c>
      <c r="N1073" s="9">
        <f>Table1[[#This Row],[Cost Price]]*Table1[[#This Row],[Quantity]]</f>
        <v>2304000</v>
      </c>
      <c r="O1073" s="9">
        <f>Table1[[#This Row],[Revenue]]-Table1[[#This Row],[COGS]]</f>
        <v>576000</v>
      </c>
      <c r="P1073" s="6">
        <v>1072</v>
      </c>
    </row>
    <row r="1074" spans="1:16">
      <c r="A1074" s="7" t="s">
        <v>125</v>
      </c>
      <c r="B1074" s="7" t="str">
        <f>TEXT(Table1[[#This Row],[Date]],"MMM")</f>
        <v>Feb</v>
      </c>
      <c r="C1074" t="s">
        <v>27</v>
      </c>
      <c r="D1074" t="s">
        <v>36</v>
      </c>
      <c r="E1074" t="s">
        <v>29</v>
      </c>
      <c r="F1074" t="s">
        <v>37</v>
      </c>
      <c r="G1074" t="s">
        <v>62</v>
      </c>
      <c r="H1074" t="s">
        <v>51</v>
      </c>
      <c r="I1074" s="9">
        <v>150000</v>
      </c>
      <c r="J1074">
        <v>2</v>
      </c>
      <c r="K1074" t="s">
        <v>42</v>
      </c>
      <c r="L1074" s="9">
        <f t="shared" si="16"/>
        <v>120000</v>
      </c>
      <c r="M1074" s="9">
        <f>Table1[[#This Row],[Unit Price]]*Table1[[#This Row],[Quantity]]</f>
        <v>300000</v>
      </c>
      <c r="N1074" s="9">
        <f>Table1[[#This Row],[Cost Price]]*Table1[[#This Row],[Quantity]]</f>
        <v>240000</v>
      </c>
      <c r="O1074" s="9">
        <f>Table1[[#This Row],[Revenue]]-Table1[[#This Row],[COGS]]</f>
        <v>60000</v>
      </c>
      <c r="P1074" s="6">
        <v>1073</v>
      </c>
    </row>
    <row r="1075" spans="1:16">
      <c r="A1075" s="7" t="s">
        <v>154</v>
      </c>
      <c r="B1075" s="7" t="str">
        <f>TEXT(Table1[[#This Row],[Date]],"MMM")</f>
        <v>Feb</v>
      </c>
      <c r="C1075" t="s">
        <v>35</v>
      </c>
      <c r="D1075" t="s">
        <v>36</v>
      </c>
      <c r="E1075" t="s">
        <v>41</v>
      </c>
      <c r="F1075" t="s">
        <v>37</v>
      </c>
      <c r="G1075" t="s">
        <v>54</v>
      </c>
      <c r="H1075" t="s">
        <v>39</v>
      </c>
      <c r="I1075" s="9">
        <v>180000</v>
      </c>
      <c r="J1075">
        <v>8</v>
      </c>
      <c r="K1075" t="s">
        <v>65</v>
      </c>
      <c r="L1075" s="9">
        <f t="shared" si="16"/>
        <v>144000</v>
      </c>
      <c r="M1075" s="9">
        <f>Table1[[#This Row],[Unit Price]]*Table1[[#This Row],[Quantity]]</f>
        <v>1440000</v>
      </c>
      <c r="N1075" s="9">
        <f>Table1[[#This Row],[Cost Price]]*Table1[[#This Row],[Quantity]]</f>
        <v>1152000</v>
      </c>
      <c r="O1075" s="9">
        <f>Table1[[#This Row],[Revenue]]-Table1[[#This Row],[COGS]]</f>
        <v>288000</v>
      </c>
      <c r="P1075" s="6">
        <v>1074</v>
      </c>
    </row>
    <row r="1076" spans="1:16">
      <c r="A1076" s="7" t="s">
        <v>95</v>
      </c>
      <c r="B1076" s="7" t="str">
        <f>TEXT(Table1[[#This Row],[Date]],"MMM")</f>
        <v>Feb</v>
      </c>
      <c r="C1076" t="s">
        <v>35</v>
      </c>
      <c r="D1076" t="s">
        <v>36</v>
      </c>
      <c r="E1076" t="s">
        <v>41</v>
      </c>
      <c r="F1076" t="s">
        <v>37</v>
      </c>
      <c r="G1076" t="s">
        <v>31</v>
      </c>
      <c r="H1076" t="s">
        <v>32</v>
      </c>
      <c r="I1076" s="9">
        <v>85000</v>
      </c>
      <c r="J1076">
        <v>7</v>
      </c>
      <c r="K1076" t="s">
        <v>33</v>
      </c>
      <c r="L1076" s="9">
        <f t="shared" si="16"/>
        <v>68000</v>
      </c>
      <c r="M1076" s="9">
        <f>Table1[[#This Row],[Unit Price]]*Table1[[#This Row],[Quantity]]</f>
        <v>595000</v>
      </c>
      <c r="N1076" s="9">
        <f>Table1[[#This Row],[Cost Price]]*Table1[[#This Row],[Quantity]]</f>
        <v>476000</v>
      </c>
      <c r="O1076" s="9">
        <f>Table1[[#This Row],[Revenue]]-Table1[[#This Row],[COGS]]</f>
        <v>119000</v>
      </c>
      <c r="P1076" s="6">
        <v>1075</v>
      </c>
    </row>
    <row r="1077" spans="1:16">
      <c r="A1077" s="7" t="s">
        <v>48</v>
      </c>
      <c r="B1077" s="7" t="str">
        <f>TEXT(Table1[[#This Row],[Date]],"MMM")</f>
        <v>Apr</v>
      </c>
      <c r="C1077" t="s">
        <v>27</v>
      </c>
      <c r="D1077" t="s">
        <v>53</v>
      </c>
      <c r="E1077" t="s">
        <v>41</v>
      </c>
      <c r="F1077" t="s">
        <v>30</v>
      </c>
      <c r="G1077" t="s">
        <v>54</v>
      </c>
      <c r="H1077" t="s">
        <v>39</v>
      </c>
      <c r="I1077" s="9">
        <v>180000</v>
      </c>
      <c r="J1077">
        <v>8</v>
      </c>
      <c r="K1077" t="s">
        <v>69</v>
      </c>
      <c r="L1077" s="9">
        <f t="shared" si="16"/>
        <v>144000</v>
      </c>
      <c r="M1077" s="9">
        <f>Table1[[#This Row],[Unit Price]]*Table1[[#This Row],[Quantity]]</f>
        <v>1440000</v>
      </c>
      <c r="N1077" s="9">
        <f>Table1[[#This Row],[Cost Price]]*Table1[[#This Row],[Quantity]]</f>
        <v>1152000</v>
      </c>
      <c r="O1077" s="9">
        <f>Table1[[#This Row],[Revenue]]-Table1[[#This Row],[COGS]]</f>
        <v>288000</v>
      </c>
      <c r="P1077" s="6">
        <v>1076</v>
      </c>
    </row>
    <row r="1078" spans="1:16">
      <c r="A1078" s="7" t="s">
        <v>79</v>
      </c>
      <c r="B1078" s="7" t="str">
        <f>TEXT(Table1[[#This Row],[Date]],"MMM")</f>
        <v>Feb</v>
      </c>
      <c r="C1078" t="s">
        <v>49</v>
      </c>
      <c r="D1078" t="s">
        <v>28</v>
      </c>
      <c r="E1078" t="s">
        <v>41</v>
      </c>
      <c r="F1078" t="s">
        <v>30</v>
      </c>
      <c r="G1078" t="s">
        <v>73</v>
      </c>
      <c r="H1078" t="s">
        <v>39</v>
      </c>
      <c r="I1078" s="9">
        <v>220000</v>
      </c>
      <c r="J1078">
        <v>5</v>
      </c>
      <c r="K1078" t="s">
        <v>69</v>
      </c>
      <c r="L1078" s="9">
        <f t="shared" si="16"/>
        <v>176000</v>
      </c>
      <c r="M1078" s="9">
        <f>Table1[[#This Row],[Unit Price]]*Table1[[#This Row],[Quantity]]</f>
        <v>1100000</v>
      </c>
      <c r="N1078" s="9">
        <f>Table1[[#This Row],[Cost Price]]*Table1[[#This Row],[Quantity]]</f>
        <v>880000</v>
      </c>
      <c r="O1078" s="9">
        <f>Table1[[#This Row],[Revenue]]-Table1[[#This Row],[COGS]]</f>
        <v>220000</v>
      </c>
      <c r="P1078" s="6">
        <v>1077</v>
      </c>
    </row>
    <row r="1079" spans="1:16">
      <c r="A1079" s="7" t="s">
        <v>86</v>
      </c>
      <c r="B1079" s="7" t="str">
        <f>TEXT(Table1[[#This Row],[Date]],"MMM")</f>
        <v>Feb</v>
      </c>
      <c r="C1079" t="s">
        <v>49</v>
      </c>
      <c r="D1079" t="s">
        <v>45</v>
      </c>
      <c r="E1079" t="s">
        <v>29</v>
      </c>
      <c r="F1079" t="s">
        <v>30</v>
      </c>
      <c r="G1079" t="s">
        <v>50</v>
      </c>
      <c r="H1079" t="s">
        <v>51</v>
      </c>
      <c r="I1079" s="9">
        <v>300000</v>
      </c>
      <c r="J1079">
        <v>5</v>
      </c>
      <c r="K1079" t="s">
        <v>65</v>
      </c>
      <c r="L1079" s="9">
        <f t="shared" si="16"/>
        <v>240000</v>
      </c>
      <c r="M1079" s="9">
        <f>Table1[[#This Row],[Unit Price]]*Table1[[#This Row],[Quantity]]</f>
        <v>1500000</v>
      </c>
      <c r="N1079" s="9">
        <f>Table1[[#This Row],[Cost Price]]*Table1[[#This Row],[Quantity]]</f>
        <v>1200000</v>
      </c>
      <c r="O1079" s="9">
        <f>Table1[[#This Row],[Revenue]]-Table1[[#This Row],[COGS]]</f>
        <v>300000</v>
      </c>
      <c r="P1079" s="6">
        <v>1078</v>
      </c>
    </row>
    <row r="1080" spans="1:16">
      <c r="A1080" s="7" t="s">
        <v>142</v>
      </c>
      <c r="B1080" s="7" t="str">
        <f>TEXT(Table1[[#This Row],[Date]],"MMM")</f>
        <v>Apr</v>
      </c>
      <c r="C1080" t="s">
        <v>49</v>
      </c>
      <c r="D1080" t="s">
        <v>53</v>
      </c>
      <c r="E1080" t="s">
        <v>29</v>
      </c>
      <c r="F1080" t="s">
        <v>37</v>
      </c>
      <c r="G1080" t="s">
        <v>71</v>
      </c>
      <c r="H1080" t="s">
        <v>51</v>
      </c>
      <c r="I1080" s="9">
        <v>250000</v>
      </c>
      <c r="J1080">
        <v>7</v>
      </c>
      <c r="K1080" t="s">
        <v>33</v>
      </c>
      <c r="L1080" s="9">
        <f t="shared" si="16"/>
        <v>200000</v>
      </c>
      <c r="M1080" s="9">
        <f>Table1[[#This Row],[Unit Price]]*Table1[[#This Row],[Quantity]]</f>
        <v>1750000</v>
      </c>
      <c r="N1080" s="9">
        <f>Table1[[#This Row],[Cost Price]]*Table1[[#This Row],[Quantity]]</f>
        <v>1400000</v>
      </c>
      <c r="O1080" s="9">
        <f>Table1[[#This Row],[Revenue]]-Table1[[#This Row],[COGS]]</f>
        <v>350000</v>
      </c>
      <c r="P1080" s="6">
        <v>1079</v>
      </c>
    </row>
    <row r="1081" spans="1:16">
      <c r="A1081" s="7" t="s">
        <v>100</v>
      </c>
      <c r="B1081" s="7" t="str">
        <f>TEXT(Table1[[#This Row],[Date]],"MMM")</f>
        <v>Jan</v>
      </c>
      <c r="C1081" t="s">
        <v>27</v>
      </c>
      <c r="D1081" t="s">
        <v>53</v>
      </c>
      <c r="E1081" t="s">
        <v>41</v>
      </c>
      <c r="F1081" t="s">
        <v>37</v>
      </c>
      <c r="G1081" t="s">
        <v>46</v>
      </c>
      <c r="H1081" t="s">
        <v>39</v>
      </c>
      <c r="I1081" s="9">
        <v>60000</v>
      </c>
      <c r="J1081">
        <v>7</v>
      </c>
      <c r="K1081" t="s">
        <v>65</v>
      </c>
      <c r="L1081" s="9">
        <f t="shared" si="16"/>
        <v>48000</v>
      </c>
      <c r="M1081" s="9">
        <f>Table1[[#This Row],[Unit Price]]*Table1[[#This Row],[Quantity]]</f>
        <v>420000</v>
      </c>
      <c r="N1081" s="9">
        <f>Table1[[#This Row],[Cost Price]]*Table1[[#This Row],[Quantity]]</f>
        <v>336000</v>
      </c>
      <c r="O1081" s="9">
        <f>Table1[[#This Row],[Revenue]]-Table1[[#This Row],[COGS]]</f>
        <v>84000</v>
      </c>
      <c r="P1081" s="6">
        <v>1080</v>
      </c>
    </row>
    <row r="1082" spans="1:16">
      <c r="A1082" s="7" t="s">
        <v>161</v>
      </c>
      <c r="B1082" s="7" t="str">
        <f>TEXT(Table1[[#This Row],[Date]],"MMM")</f>
        <v>Mar</v>
      </c>
      <c r="C1082" t="s">
        <v>35</v>
      </c>
      <c r="D1082" t="s">
        <v>28</v>
      </c>
      <c r="E1082" t="s">
        <v>41</v>
      </c>
      <c r="F1082" t="s">
        <v>30</v>
      </c>
      <c r="G1082" t="s">
        <v>31</v>
      </c>
      <c r="H1082" t="s">
        <v>32</v>
      </c>
      <c r="I1082" s="9">
        <v>85000</v>
      </c>
      <c r="J1082">
        <v>2</v>
      </c>
      <c r="K1082" t="s">
        <v>58</v>
      </c>
      <c r="L1082" s="9">
        <f t="shared" si="16"/>
        <v>68000</v>
      </c>
      <c r="M1082" s="9">
        <f>Table1[[#This Row],[Unit Price]]*Table1[[#This Row],[Quantity]]</f>
        <v>170000</v>
      </c>
      <c r="N1082" s="9">
        <f>Table1[[#This Row],[Cost Price]]*Table1[[#This Row],[Quantity]]</f>
        <v>136000</v>
      </c>
      <c r="O1082" s="9">
        <f>Table1[[#This Row],[Revenue]]-Table1[[#This Row],[COGS]]</f>
        <v>34000</v>
      </c>
      <c r="P1082" s="6">
        <v>1081</v>
      </c>
    </row>
    <row r="1083" spans="1:16">
      <c r="A1083" s="7" t="s">
        <v>146</v>
      </c>
      <c r="B1083" s="7" t="str">
        <f>TEXT(Table1[[#This Row],[Date]],"MMM")</f>
        <v>Jan</v>
      </c>
      <c r="C1083" t="s">
        <v>27</v>
      </c>
      <c r="D1083" t="s">
        <v>28</v>
      </c>
      <c r="E1083" t="s">
        <v>29</v>
      </c>
      <c r="F1083" t="s">
        <v>37</v>
      </c>
      <c r="G1083" t="s">
        <v>46</v>
      </c>
      <c r="H1083" t="s">
        <v>39</v>
      </c>
      <c r="I1083" s="9">
        <v>60000</v>
      </c>
      <c r="J1083">
        <v>2</v>
      </c>
      <c r="K1083" t="s">
        <v>69</v>
      </c>
      <c r="L1083" s="9">
        <f t="shared" si="16"/>
        <v>48000</v>
      </c>
      <c r="M1083" s="9">
        <f>Table1[[#This Row],[Unit Price]]*Table1[[#This Row],[Quantity]]</f>
        <v>120000</v>
      </c>
      <c r="N1083" s="9">
        <f>Table1[[#This Row],[Cost Price]]*Table1[[#This Row],[Quantity]]</f>
        <v>96000</v>
      </c>
      <c r="O1083" s="9">
        <f>Table1[[#This Row],[Revenue]]-Table1[[#This Row],[COGS]]</f>
        <v>24000</v>
      </c>
      <c r="P1083" s="6">
        <v>1082</v>
      </c>
    </row>
    <row r="1084" spans="1:16">
      <c r="A1084" s="7" t="s">
        <v>145</v>
      </c>
      <c r="B1084" s="7" t="str">
        <f>TEXT(Table1[[#This Row],[Date]],"MMM")</f>
        <v>Jan</v>
      </c>
      <c r="C1084" t="s">
        <v>35</v>
      </c>
      <c r="D1084" t="s">
        <v>53</v>
      </c>
      <c r="E1084" t="s">
        <v>41</v>
      </c>
      <c r="F1084" t="s">
        <v>30</v>
      </c>
      <c r="G1084" t="s">
        <v>38</v>
      </c>
      <c r="H1084" t="s">
        <v>39</v>
      </c>
      <c r="I1084" s="9">
        <v>30000</v>
      </c>
      <c r="J1084">
        <v>10</v>
      </c>
      <c r="K1084" t="s">
        <v>69</v>
      </c>
      <c r="L1084" s="9">
        <f t="shared" si="16"/>
        <v>24000</v>
      </c>
      <c r="M1084" s="9">
        <f>Table1[[#This Row],[Unit Price]]*Table1[[#This Row],[Quantity]]</f>
        <v>300000</v>
      </c>
      <c r="N1084" s="9">
        <f>Table1[[#This Row],[Cost Price]]*Table1[[#This Row],[Quantity]]</f>
        <v>240000</v>
      </c>
      <c r="O1084" s="9">
        <f>Table1[[#This Row],[Revenue]]-Table1[[#This Row],[COGS]]</f>
        <v>60000</v>
      </c>
      <c r="P1084" s="6">
        <v>1083</v>
      </c>
    </row>
    <row r="1085" spans="1:16">
      <c r="A1085" s="7" t="s">
        <v>135</v>
      </c>
      <c r="B1085" s="7" t="str">
        <f>TEXT(Table1[[#This Row],[Date]],"MMM")</f>
        <v>Mar</v>
      </c>
      <c r="C1085" t="s">
        <v>49</v>
      </c>
      <c r="D1085" t="s">
        <v>36</v>
      </c>
      <c r="E1085" t="s">
        <v>41</v>
      </c>
      <c r="F1085" t="s">
        <v>37</v>
      </c>
      <c r="G1085" t="s">
        <v>67</v>
      </c>
      <c r="H1085" t="s">
        <v>51</v>
      </c>
      <c r="I1085" s="9">
        <v>420000</v>
      </c>
      <c r="J1085">
        <v>8</v>
      </c>
      <c r="K1085" t="s">
        <v>42</v>
      </c>
      <c r="L1085" s="9">
        <f t="shared" si="16"/>
        <v>336000</v>
      </c>
      <c r="M1085" s="9">
        <f>Table1[[#This Row],[Unit Price]]*Table1[[#This Row],[Quantity]]</f>
        <v>3360000</v>
      </c>
      <c r="N1085" s="9">
        <f>Table1[[#This Row],[Cost Price]]*Table1[[#This Row],[Quantity]]</f>
        <v>2688000</v>
      </c>
      <c r="O1085" s="9">
        <f>Table1[[#This Row],[Revenue]]-Table1[[#This Row],[COGS]]</f>
        <v>672000</v>
      </c>
      <c r="P1085" s="6">
        <v>1084</v>
      </c>
    </row>
    <row r="1086" spans="1:16">
      <c r="A1086" s="7" t="s">
        <v>143</v>
      </c>
      <c r="B1086" s="7" t="str">
        <f>TEXT(Table1[[#This Row],[Date]],"MMM")</f>
        <v>Apr</v>
      </c>
      <c r="C1086" t="s">
        <v>27</v>
      </c>
      <c r="D1086" t="s">
        <v>36</v>
      </c>
      <c r="E1086" t="s">
        <v>41</v>
      </c>
      <c r="F1086" t="s">
        <v>30</v>
      </c>
      <c r="G1086" t="s">
        <v>46</v>
      </c>
      <c r="H1086" t="s">
        <v>39</v>
      </c>
      <c r="I1086" s="9">
        <v>60000</v>
      </c>
      <c r="J1086">
        <v>2</v>
      </c>
      <c r="K1086" t="s">
        <v>65</v>
      </c>
      <c r="L1086" s="9">
        <f t="shared" si="16"/>
        <v>48000</v>
      </c>
      <c r="M1086" s="9">
        <f>Table1[[#This Row],[Unit Price]]*Table1[[#This Row],[Quantity]]</f>
        <v>120000</v>
      </c>
      <c r="N1086" s="9">
        <f>Table1[[#This Row],[Cost Price]]*Table1[[#This Row],[Quantity]]</f>
        <v>96000</v>
      </c>
      <c r="O1086" s="9">
        <f>Table1[[#This Row],[Revenue]]-Table1[[#This Row],[COGS]]</f>
        <v>24000</v>
      </c>
      <c r="P1086" s="6">
        <v>1085</v>
      </c>
    </row>
    <row r="1087" spans="1:16">
      <c r="A1087" s="7" t="s">
        <v>128</v>
      </c>
      <c r="B1087" s="7" t="str">
        <f>TEXT(Table1[[#This Row],[Date]],"MMM")</f>
        <v>Mar</v>
      </c>
      <c r="C1087" t="s">
        <v>44</v>
      </c>
      <c r="D1087" t="s">
        <v>45</v>
      </c>
      <c r="E1087" t="s">
        <v>41</v>
      </c>
      <c r="F1087" t="s">
        <v>37</v>
      </c>
      <c r="G1087" t="s">
        <v>31</v>
      </c>
      <c r="H1087" t="s">
        <v>32</v>
      </c>
      <c r="I1087" s="9">
        <v>85000</v>
      </c>
      <c r="J1087">
        <v>8</v>
      </c>
      <c r="K1087" t="s">
        <v>69</v>
      </c>
      <c r="L1087" s="9">
        <f t="shared" si="16"/>
        <v>68000</v>
      </c>
      <c r="M1087" s="9">
        <f>Table1[[#This Row],[Unit Price]]*Table1[[#This Row],[Quantity]]</f>
        <v>680000</v>
      </c>
      <c r="N1087" s="9">
        <f>Table1[[#This Row],[Cost Price]]*Table1[[#This Row],[Quantity]]</f>
        <v>544000</v>
      </c>
      <c r="O1087" s="9">
        <f>Table1[[#This Row],[Revenue]]-Table1[[#This Row],[COGS]]</f>
        <v>136000</v>
      </c>
      <c r="P1087" s="6">
        <v>1086</v>
      </c>
    </row>
    <row r="1088" spans="1:16">
      <c r="A1088" s="7" t="s">
        <v>86</v>
      </c>
      <c r="B1088" s="7" t="str">
        <f>TEXT(Table1[[#This Row],[Date]],"MMM")</f>
        <v>Feb</v>
      </c>
      <c r="C1088" t="s">
        <v>27</v>
      </c>
      <c r="D1088" t="s">
        <v>28</v>
      </c>
      <c r="E1088" t="s">
        <v>29</v>
      </c>
      <c r="F1088" t="s">
        <v>37</v>
      </c>
      <c r="G1088" t="s">
        <v>67</v>
      </c>
      <c r="H1088" t="s">
        <v>51</v>
      </c>
      <c r="I1088" s="9">
        <v>420000</v>
      </c>
      <c r="J1088">
        <v>7</v>
      </c>
      <c r="K1088" t="s">
        <v>58</v>
      </c>
      <c r="L1088" s="9">
        <f t="shared" si="16"/>
        <v>336000</v>
      </c>
      <c r="M1088" s="9">
        <f>Table1[[#This Row],[Unit Price]]*Table1[[#This Row],[Quantity]]</f>
        <v>2940000</v>
      </c>
      <c r="N1088" s="9">
        <f>Table1[[#This Row],[Cost Price]]*Table1[[#This Row],[Quantity]]</f>
        <v>2352000</v>
      </c>
      <c r="O1088" s="9">
        <f>Table1[[#This Row],[Revenue]]-Table1[[#This Row],[COGS]]</f>
        <v>588000</v>
      </c>
      <c r="P1088" s="6">
        <v>1087</v>
      </c>
    </row>
    <row r="1089" spans="1:16">
      <c r="A1089" s="7" t="s">
        <v>148</v>
      </c>
      <c r="B1089" s="7" t="str">
        <f>TEXT(Table1[[#This Row],[Date]],"MMM")</f>
        <v>Feb</v>
      </c>
      <c r="C1089" t="s">
        <v>35</v>
      </c>
      <c r="D1089" t="s">
        <v>53</v>
      </c>
      <c r="E1089" t="s">
        <v>29</v>
      </c>
      <c r="F1089" t="s">
        <v>37</v>
      </c>
      <c r="G1089" t="s">
        <v>50</v>
      </c>
      <c r="H1089" t="s">
        <v>51</v>
      </c>
      <c r="I1089" s="9">
        <v>300000</v>
      </c>
      <c r="J1089">
        <v>6</v>
      </c>
      <c r="K1089" t="s">
        <v>69</v>
      </c>
      <c r="L1089" s="9">
        <f t="shared" si="16"/>
        <v>240000</v>
      </c>
      <c r="M1089" s="9">
        <f>Table1[[#This Row],[Unit Price]]*Table1[[#This Row],[Quantity]]</f>
        <v>1800000</v>
      </c>
      <c r="N1089" s="9">
        <f>Table1[[#This Row],[Cost Price]]*Table1[[#This Row],[Quantity]]</f>
        <v>1440000</v>
      </c>
      <c r="O1089" s="9">
        <f>Table1[[#This Row],[Revenue]]-Table1[[#This Row],[COGS]]</f>
        <v>360000</v>
      </c>
      <c r="P1089" s="6">
        <v>1088</v>
      </c>
    </row>
    <row r="1090" spans="1:16">
      <c r="A1090" s="7" t="s">
        <v>122</v>
      </c>
      <c r="B1090" s="7" t="str">
        <f>TEXT(Table1[[#This Row],[Date]],"MMM")</f>
        <v>Mar</v>
      </c>
      <c r="C1090" t="s">
        <v>49</v>
      </c>
      <c r="D1090" t="s">
        <v>28</v>
      </c>
      <c r="E1090" t="s">
        <v>29</v>
      </c>
      <c r="F1090" t="s">
        <v>30</v>
      </c>
      <c r="G1090" t="s">
        <v>67</v>
      </c>
      <c r="H1090" t="s">
        <v>51</v>
      </c>
      <c r="I1090" s="9">
        <v>420000</v>
      </c>
      <c r="J1090">
        <v>2</v>
      </c>
      <c r="K1090" t="s">
        <v>65</v>
      </c>
      <c r="L1090" s="9">
        <f t="shared" ref="L1090:L1153" si="17">I1090-I1090*0.2</f>
        <v>336000</v>
      </c>
      <c r="M1090" s="9">
        <f>Table1[[#This Row],[Unit Price]]*Table1[[#This Row],[Quantity]]</f>
        <v>840000</v>
      </c>
      <c r="N1090" s="9">
        <f>Table1[[#This Row],[Cost Price]]*Table1[[#This Row],[Quantity]]</f>
        <v>672000</v>
      </c>
      <c r="O1090" s="9">
        <f>Table1[[#This Row],[Revenue]]-Table1[[#This Row],[COGS]]</f>
        <v>168000</v>
      </c>
      <c r="P1090" s="6">
        <v>1089</v>
      </c>
    </row>
    <row r="1091" spans="1:16">
      <c r="A1091" s="7" t="s">
        <v>99</v>
      </c>
      <c r="B1091" s="7" t="str">
        <f>TEXT(Table1[[#This Row],[Date]],"MMM")</f>
        <v>Apr</v>
      </c>
      <c r="C1091" t="s">
        <v>49</v>
      </c>
      <c r="D1091" t="s">
        <v>28</v>
      </c>
      <c r="E1091" t="s">
        <v>41</v>
      </c>
      <c r="F1091" t="s">
        <v>30</v>
      </c>
      <c r="G1091" t="s">
        <v>50</v>
      </c>
      <c r="H1091" t="s">
        <v>51</v>
      </c>
      <c r="I1091" s="9">
        <v>300000</v>
      </c>
      <c r="J1091">
        <v>8</v>
      </c>
      <c r="K1091" t="s">
        <v>58</v>
      </c>
      <c r="L1091" s="9">
        <f t="shared" si="17"/>
        <v>240000</v>
      </c>
      <c r="M1091" s="9">
        <f>Table1[[#This Row],[Unit Price]]*Table1[[#This Row],[Quantity]]</f>
        <v>2400000</v>
      </c>
      <c r="N1091" s="9">
        <f>Table1[[#This Row],[Cost Price]]*Table1[[#This Row],[Quantity]]</f>
        <v>1920000</v>
      </c>
      <c r="O1091" s="9">
        <f>Table1[[#This Row],[Revenue]]-Table1[[#This Row],[COGS]]</f>
        <v>480000</v>
      </c>
      <c r="P1091" s="6">
        <v>1090</v>
      </c>
    </row>
    <row r="1092" spans="1:16">
      <c r="A1092" s="7" t="s">
        <v>66</v>
      </c>
      <c r="B1092" s="7" t="str">
        <f>TEXT(Table1[[#This Row],[Date]],"MMM")</f>
        <v>Mar</v>
      </c>
      <c r="C1092" t="s">
        <v>49</v>
      </c>
      <c r="D1092" t="s">
        <v>45</v>
      </c>
      <c r="E1092" t="s">
        <v>29</v>
      </c>
      <c r="F1092" t="s">
        <v>30</v>
      </c>
      <c r="G1092" t="s">
        <v>71</v>
      </c>
      <c r="H1092" t="s">
        <v>51</v>
      </c>
      <c r="I1092" s="9">
        <v>250000</v>
      </c>
      <c r="J1092">
        <v>5</v>
      </c>
      <c r="K1092" t="s">
        <v>58</v>
      </c>
      <c r="L1092" s="9">
        <f t="shared" si="17"/>
        <v>200000</v>
      </c>
      <c r="M1092" s="9">
        <f>Table1[[#This Row],[Unit Price]]*Table1[[#This Row],[Quantity]]</f>
        <v>1250000</v>
      </c>
      <c r="N1092" s="9">
        <f>Table1[[#This Row],[Cost Price]]*Table1[[#This Row],[Quantity]]</f>
        <v>1000000</v>
      </c>
      <c r="O1092" s="9">
        <f>Table1[[#This Row],[Revenue]]-Table1[[#This Row],[COGS]]</f>
        <v>250000</v>
      </c>
      <c r="P1092" s="6">
        <v>1091</v>
      </c>
    </row>
    <row r="1093" spans="1:16">
      <c r="A1093" s="7" t="s">
        <v>91</v>
      </c>
      <c r="B1093" s="7" t="str">
        <f>TEXT(Table1[[#This Row],[Date]],"MMM")</f>
        <v>Feb</v>
      </c>
      <c r="C1093" t="s">
        <v>35</v>
      </c>
      <c r="D1093" t="s">
        <v>53</v>
      </c>
      <c r="E1093" t="s">
        <v>41</v>
      </c>
      <c r="F1093" t="s">
        <v>37</v>
      </c>
      <c r="G1093" t="s">
        <v>67</v>
      </c>
      <c r="H1093" t="s">
        <v>51</v>
      </c>
      <c r="I1093" s="9">
        <v>420000</v>
      </c>
      <c r="J1093">
        <v>5</v>
      </c>
      <c r="K1093" t="s">
        <v>58</v>
      </c>
      <c r="L1093" s="9">
        <f t="shared" si="17"/>
        <v>336000</v>
      </c>
      <c r="M1093" s="9">
        <f>Table1[[#This Row],[Unit Price]]*Table1[[#This Row],[Quantity]]</f>
        <v>2100000</v>
      </c>
      <c r="N1093" s="9">
        <f>Table1[[#This Row],[Cost Price]]*Table1[[#This Row],[Quantity]]</f>
        <v>1680000</v>
      </c>
      <c r="O1093" s="9">
        <f>Table1[[#This Row],[Revenue]]-Table1[[#This Row],[COGS]]</f>
        <v>420000</v>
      </c>
      <c r="P1093" s="6">
        <v>1092</v>
      </c>
    </row>
    <row r="1094" spans="1:16">
      <c r="A1094" s="7" t="s">
        <v>95</v>
      </c>
      <c r="B1094" s="7" t="str">
        <f>TEXT(Table1[[#This Row],[Date]],"MMM")</f>
        <v>Feb</v>
      </c>
      <c r="C1094" t="s">
        <v>35</v>
      </c>
      <c r="D1094" t="s">
        <v>45</v>
      </c>
      <c r="E1094" t="s">
        <v>41</v>
      </c>
      <c r="F1094" t="s">
        <v>30</v>
      </c>
      <c r="G1094" t="s">
        <v>67</v>
      </c>
      <c r="H1094" t="s">
        <v>51</v>
      </c>
      <c r="I1094" s="9">
        <v>420000</v>
      </c>
      <c r="J1094">
        <v>10</v>
      </c>
      <c r="K1094" t="s">
        <v>42</v>
      </c>
      <c r="L1094" s="9">
        <f t="shared" si="17"/>
        <v>336000</v>
      </c>
      <c r="M1094" s="9">
        <f>Table1[[#This Row],[Unit Price]]*Table1[[#This Row],[Quantity]]</f>
        <v>4200000</v>
      </c>
      <c r="N1094" s="9">
        <f>Table1[[#This Row],[Cost Price]]*Table1[[#This Row],[Quantity]]</f>
        <v>3360000</v>
      </c>
      <c r="O1094" s="9">
        <f>Table1[[#This Row],[Revenue]]-Table1[[#This Row],[COGS]]</f>
        <v>840000</v>
      </c>
      <c r="P1094" s="6">
        <v>1093</v>
      </c>
    </row>
    <row r="1095" spans="1:16">
      <c r="A1095" s="7" t="s">
        <v>165</v>
      </c>
      <c r="B1095" s="7" t="str">
        <f>TEXT(Table1[[#This Row],[Date]],"MMM")</f>
        <v>Apr</v>
      </c>
      <c r="C1095" t="s">
        <v>49</v>
      </c>
      <c r="D1095" t="s">
        <v>45</v>
      </c>
      <c r="E1095" t="s">
        <v>29</v>
      </c>
      <c r="F1095" t="s">
        <v>30</v>
      </c>
      <c r="G1095" t="s">
        <v>56</v>
      </c>
      <c r="H1095" t="s">
        <v>32</v>
      </c>
      <c r="I1095" s="9">
        <v>320000</v>
      </c>
      <c r="J1095">
        <v>1</v>
      </c>
      <c r="K1095" t="s">
        <v>47</v>
      </c>
      <c r="L1095" s="9">
        <f t="shared" si="17"/>
        <v>256000</v>
      </c>
      <c r="M1095" s="9">
        <f>Table1[[#This Row],[Unit Price]]*Table1[[#This Row],[Quantity]]</f>
        <v>320000</v>
      </c>
      <c r="N1095" s="9">
        <f>Table1[[#This Row],[Cost Price]]*Table1[[#This Row],[Quantity]]</f>
        <v>256000</v>
      </c>
      <c r="O1095" s="9">
        <f>Table1[[#This Row],[Revenue]]-Table1[[#This Row],[COGS]]</f>
        <v>64000</v>
      </c>
      <c r="P1095" s="6">
        <v>1094</v>
      </c>
    </row>
    <row r="1096" spans="1:16">
      <c r="A1096" s="7" t="s">
        <v>79</v>
      </c>
      <c r="B1096" s="7" t="str">
        <f>TEXT(Table1[[#This Row],[Date]],"MMM")</f>
        <v>Feb</v>
      </c>
      <c r="C1096" t="s">
        <v>44</v>
      </c>
      <c r="D1096" t="s">
        <v>53</v>
      </c>
      <c r="E1096" t="s">
        <v>29</v>
      </c>
      <c r="F1096" t="s">
        <v>30</v>
      </c>
      <c r="G1096" t="s">
        <v>56</v>
      </c>
      <c r="H1096" t="s">
        <v>32</v>
      </c>
      <c r="I1096" s="9">
        <v>320000</v>
      </c>
      <c r="J1096">
        <v>1</v>
      </c>
      <c r="K1096" t="s">
        <v>58</v>
      </c>
      <c r="L1096" s="9">
        <f t="shared" si="17"/>
        <v>256000</v>
      </c>
      <c r="M1096" s="9">
        <f>Table1[[#This Row],[Unit Price]]*Table1[[#This Row],[Quantity]]</f>
        <v>320000</v>
      </c>
      <c r="N1096" s="9">
        <f>Table1[[#This Row],[Cost Price]]*Table1[[#This Row],[Quantity]]</f>
        <v>256000</v>
      </c>
      <c r="O1096" s="9">
        <f>Table1[[#This Row],[Revenue]]-Table1[[#This Row],[COGS]]</f>
        <v>64000</v>
      </c>
      <c r="P1096" s="6">
        <v>1095</v>
      </c>
    </row>
    <row r="1097" spans="1:16">
      <c r="A1097" s="7" t="s">
        <v>121</v>
      </c>
      <c r="B1097" s="7" t="str">
        <f>TEXT(Table1[[#This Row],[Date]],"MMM")</f>
        <v>Apr</v>
      </c>
      <c r="C1097" t="s">
        <v>49</v>
      </c>
      <c r="D1097" t="s">
        <v>45</v>
      </c>
      <c r="E1097" t="s">
        <v>41</v>
      </c>
      <c r="F1097" t="s">
        <v>37</v>
      </c>
      <c r="G1097" t="s">
        <v>62</v>
      </c>
      <c r="H1097" t="s">
        <v>51</v>
      </c>
      <c r="I1097" s="9">
        <v>150000</v>
      </c>
      <c r="J1097">
        <v>1</v>
      </c>
      <c r="K1097" t="s">
        <v>69</v>
      </c>
      <c r="L1097" s="9">
        <f t="shared" si="17"/>
        <v>120000</v>
      </c>
      <c r="M1097" s="9">
        <f>Table1[[#This Row],[Unit Price]]*Table1[[#This Row],[Quantity]]</f>
        <v>150000</v>
      </c>
      <c r="N1097" s="9">
        <f>Table1[[#This Row],[Cost Price]]*Table1[[#This Row],[Quantity]]</f>
        <v>120000</v>
      </c>
      <c r="O1097" s="9">
        <f>Table1[[#This Row],[Revenue]]-Table1[[#This Row],[COGS]]</f>
        <v>30000</v>
      </c>
      <c r="P1097" s="6">
        <v>1096</v>
      </c>
    </row>
    <row r="1098" spans="1:16">
      <c r="A1098" s="7" t="s">
        <v>100</v>
      </c>
      <c r="B1098" s="7" t="str">
        <f>TEXT(Table1[[#This Row],[Date]],"MMM")</f>
        <v>Jan</v>
      </c>
      <c r="C1098" t="s">
        <v>35</v>
      </c>
      <c r="D1098" t="s">
        <v>28</v>
      </c>
      <c r="E1098" t="s">
        <v>41</v>
      </c>
      <c r="F1098" t="s">
        <v>30</v>
      </c>
      <c r="G1098" t="s">
        <v>54</v>
      </c>
      <c r="H1098" t="s">
        <v>39</v>
      </c>
      <c r="I1098" s="9">
        <v>180000</v>
      </c>
      <c r="J1098">
        <v>10</v>
      </c>
      <c r="K1098" t="s">
        <v>47</v>
      </c>
      <c r="L1098" s="9">
        <f t="shared" si="17"/>
        <v>144000</v>
      </c>
      <c r="M1098" s="9">
        <f>Table1[[#This Row],[Unit Price]]*Table1[[#This Row],[Quantity]]</f>
        <v>1800000</v>
      </c>
      <c r="N1098" s="9">
        <f>Table1[[#This Row],[Cost Price]]*Table1[[#This Row],[Quantity]]</f>
        <v>1440000</v>
      </c>
      <c r="O1098" s="9">
        <f>Table1[[#This Row],[Revenue]]-Table1[[#This Row],[COGS]]</f>
        <v>360000</v>
      </c>
      <c r="P1098" s="6">
        <v>1097</v>
      </c>
    </row>
    <row r="1099" spans="1:16">
      <c r="A1099" s="7" t="s">
        <v>34</v>
      </c>
      <c r="B1099" s="7" t="str">
        <f>TEXT(Table1[[#This Row],[Date]],"MMM")</f>
        <v>Apr</v>
      </c>
      <c r="C1099" t="s">
        <v>49</v>
      </c>
      <c r="D1099" t="s">
        <v>45</v>
      </c>
      <c r="E1099" t="s">
        <v>29</v>
      </c>
      <c r="F1099" t="s">
        <v>37</v>
      </c>
      <c r="G1099" t="s">
        <v>67</v>
      </c>
      <c r="H1099" t="s">
        <v>51</v>
      </c>
      <c r="I1099" s="9">
        <v>420000</v>
      </c>
      <c r="J1099">
        <v>3</v>
      </c>
      <c r="K1099" t="s">
        <v>42</v>
      </c>
      <c r="L1099" s="9">
        <f t="shared" si="17"/>
        <v>336000</v>
      </c>
      <c r="M1099" s="9">
        <f>Table1[[#This Row],[Unit Price]]*Table1[[#This Row],[Quantity]]</f>
        <v>1260000</v>
      </c>
      <c r="N1099" s="9">
        <f>Table1[[#This Row],[Cost Price]]*Table1[[#This Row],[Quantity]]</f>
        <v>1008000</v>
      </c>
      <c r="O1099" s="9">
        <f>Table1[[#This Row],[Revenue]]-Table1[[#This Row],[COGS]]</f>
        <v>252000</v>
      </c>
      <c r="P1099" s="6">
        <v>1098</v>
      </c>
    </row>
    <row r="1100" spans="1:16">
      <c r="A1100" s="7" t="s">
        <v>82</v>
      </c>
      <c r="B1100" s="7" t="str">
        <f>TEXT(Table1[[#This Row],[Date]],"MMM")</f>
        <v>Mar</v>
      </c>
      <c r="C1100" t="s">
        <v>49</v>
      </c>
      <c r="D1100" t="s">
        <v>53</v>
      </c>
      <c r="E1100" t="s">
        <v>29</v>
      </c>
      <c r="F1100" t="s">
        <v>30</v>
      </c>
      <c r="G1100" t="s">
        <v>73</v>
      </c>
      <c r="H1100" t="s">
        <v>39</v>
      </c>
      <c r="I1100" s="9">
        <v>220000</v>
      </c>
      <c r="J1100">
        <v>10</v>
      </c>
      <c r="K1100" t="s">
        <v>69</v>
      </c>
      <c r="L1100" s="9">
        <f t="shared" si="17"/>
        <v>176000</v>
      </c>
      <c r="M1100" s="9">
        <f>Table1[[#This Row],[Unit Price]]*Table1[[#This Row],[Quantity]]</f>
        <v>2200000</v>
      </c>
      <c r="N1100" s="9">
        <f>Table1[[#This Row],[Cost Price]]*Table1[[#This Row],[Quantity]]</f>
        <v>1760000</v>
      </c>
      <c r="O1100" s="9">
        <f>Table1[[#This Row],[Revenue]]-Table1[[#This Row],[COGS]]</f>
        <v>440000</v>
      </c>
      <c r="P1100" s="6">
        <v>1099</v>
      </c>
    </row>
    <row r="1101" spans="1:16">
      <c r="A1101" s="7" t="s">
        <v>161</v>
      </c>
      <c r="B1101" s="7" t="str">
        <f>TEXT(Table1[[#This Row],[Date]],"MMM")</f>
        <v>Mar</v>
      </c>
      <c r="C1101" t="s">
        <v>35</v>
      </c>
      <c r="D1101" t="s">
        <v>53</v>
      </c>
      <c r="E1101" t="s">
        <v>41</v>
      </c>
      <c r="F1101" t="s">
        <v>37</v>
      </c>
      <c r="G1101" t="s">
        <v>67</v>
      </c>
      <c r="H1101" t="s">
        <v>51</v>
      </c>
      <c r="I1101" s="9">
        <v>420000</v>
      </c>
      <c r="J1101">
        <v>9</v>
      </c>
      <c r="K1101" t="s">
        <v>58</v>
      </c>
      <c r="L1101" s="9">
        <f t="shared" si="17"/>
        <v>336000</v>
      </c>
      <c r="M1101" s="9">
        <f>Table1[[#This Row],[Unit Price]]*Table1[[#This Row],[Quantity]]</f>
        <v>3780000</v>
      </c>
      <c r="N1101" s="9">
        <f>Table1[[#This Row],[Cost Price]]*Table1[[#This Row],[Quantity]]</f>
        <v>3024000</v>
      </c>
      <c r="O1101" s="9">
        <f>Table1[[#This Row],[Revenue]]-Table1[[#This Row],[COGS]]</f>
        <v>756000</v>
      </c>
      <c r="P1101" s="6">
        <v>1100</v>
      </c>
    </row>
    <row r="1102" spans="1:16">
      <c r="A1102" s="7" t="s">
        <v>91</v>
      </c>
      <c r="B1102" s="7" t="str">
        <f>TEXT(Table1[[#This Row],[Date]],"MMM")</f>
        <v>Feb</v>
      </c>
      <c r="C1102" t="s">
        <v>27</v>
      </c>
      <c r="D1102" t="s">
        <v>53</v>
      </c>
      <c r="E1102" t="s">
        <v>29</v>
      </c>
      <c r="F1102" t="s">
        <v>37</v>
      </c>
      <c r="G1102" t="s">
        <v>38</v>
      </c>
      <c r="H1102" t="s">
        <v>39</v>
      </c>
      <c r="I1102" s="9">
        <v>30000</v>
      </c>
      <c r="J1102">
        <v>6</v>
      </c>
      <c r="K1102" t="s">
        <v>69</v>
      </c>
      <c r="L1102" s="9">
        <f t="shared" si="17"/>
        <v>24000</v>
      </c>
      <c r="M1102" s="9">
        <f>Table1[[#This Row],[Unit Price]]*Table1[[#This Row],[Quantity]]</f>
        <v>180000</v>
      </c>
      <c r="N1102" s="9">
        <f>Table1[[#This Row],[Cost Price]]*Table1[[#This Row],[Quantity]]</f>
        <v>144000</v>
      </c>
      <c r="O1102" s="9">
        <f>Table1[[#This Row],[Revenue]]-Table1[[#This Row],[COGS]]</f>
        <v>36000</v>
      </c>
      <c r="P1102" s="6">
        <v>1101</v>
      </c>
    </row>
    <row r="1103" spans="1:16">
      <c r="A1103" s="7" t="s">
        <v>121</v>
      </c>
      <c r="B1103" s="7" t="str">
        <f>TEXT(Table1[[#This Row],[Date]],"MMM")</f>
        <v>Apr</v>
      </c>
      <c r="C1103" t="s">
        <v>49</v>
      </c>
      <c r="D1103" t="s">
        <v>28</v>
      </c>
      <c r="E1103" t="s">
        <v>29</v>
      </c>
      <c r="F1103" t="s">
        <v>37</v>
      </c>
      <c r="G1103" t="s">
        <v>71</v>
      </c>
      <c r="H1103" t="s">
        <v>51</v>
      </c>
      <c r="I1103" s="9">
        <v>250000</v>
      </c>
      <c r="J1103">
        <v>10</v>
      </c>
      <c r="K1103" t="s">
        <v>42</v>
      </c>
      <c r="L1103" s="9">
        <f t="shared" si="17"/>
        <v>200000</v>
      </c>
      <c r="M1103" s="9">
        <f>Table1[[#This Row],[Unit Price]]*Table1[[#This Row],[Quantity]]</f>
        <v>2500000</v>
      </c>
      <c r="N1103" s="9">
        <f>Table1[[#This Row],[Cost Price]]*Table1[[#This Row],[Quantity]]</f>
        <v>2000000</v>
      </c>
      <c r="O1103" s="9">
        <f>Table1[[#This Row],[Revenue]]-Table1[[#This Row],[COGS]]</f>
        <v>500000</v>
      </c>
      <c r="P1103" s="6">
        <v>1102</v>
      </c>
    </row>
    <row r="1104" spans="1:16">
      <c r="A1104" s="7" t="s">
        <v>175</v>
      </c>
      <c r="B1104" s="7" t="str">
        <f>TEXT(Table1[[#This Row],[Date]],"MMM")</f>
        <v>Jan</v>
      </c>
      <c r="C1104" t="s">
        <v>35</v>
      </c>
      <c r="D1104" t="s">
        <v>45</v>
      </c>
      <c r="E1104" t="s">
        <v>29</v>
      </c>
      <c r="F1104" t="s">
        <v>37</v>
      </c>
      <c r="G1104" t="s">
        <v>31</v>
      </c>
      <c r="H1104" t="s">
        <v>32</v>
      </c>
      <c r="I1104" s="9">
        <v>85000</v>
      </c>
      <c r="J1104">
        <v>6</v>
      </c>
      <c r="K1104" t="s">
        <v>69</v>
      </c>
      <c r="L1104" s="9">
        <f t="shared" si="17"/>
        <v>68000</v>
      </c>
      <c r="M1104" s="9">
        <f>Table1[[#This Row],[Unit Price]]*Table1[[#This Row],[Quantity]]</f>
        <v>510000</v>
      </c>
      <c r="N1104" s="9">
        <f>Table1[[#This Row],[Cost Price]]*Table1[[#This Row],[Quantity]]</f>
        <v>408000</v>
      </c>
      <c r="O1104" s="9">
        <f>Table1[[#This Row],[Revenue]]-Table1[[#This Row],[COGS]]</f>
        <v>102000</v>
      </c>
      <c r="P1104" s="6">
        <v>1103</v>
      </c>
    </row>
    <row r="1105" spans="1:16">
      <c r="A1105" s="7" t="s">
        <v>75</v>
      </c>
      <c r="B1105" s="7" t="str">
        <f>TEXT(Table1[[#This Row],[Date]],"MMM")</f>
        <v>Mar</v>
      </c>
      <c r="C1105" t="s">
        <v>49</v>
      </c>
      <c r="D1105" t="s">
        <v>36</v>
      </c>
      <c r="E1105" t="s">
        <v>41</v>
      </c>
      <c r="F1105" t="s">
        <v>37</v>
      </c>
      <c r="G1105" t="s">
        <v>67</v>
      </c>
      <c r="H1105" t="s">
        <v>51</v>
      </c>
      <c r="I1105" s="9">
        <v>420000</v>
      </c>
      <c r="J1105">
        <v>3</v>
      </c>
      <c r="K1105" t="s">
        <v>65</v>
      </c>
      <c r="L1105" s="9">
        <f t="shared" si="17"/>
        <v>336000</v>
      </c>
      <c r="M1105" s="9">
        <f>Table1[[#This Row],[Unit Price]]*Table1[[#This Row],[Quantity]]</f>
        <v>1260000</v>
      </c>
      <c r="N1105" s="9">
        <f>Table1[[#This Row],[Cost Price]]*Table1[[#This Row],[Quantity]]</f>
        <v>1008000</v>
      </c>
      <c r="O1105" s="9">
        <f>Table1[[#This Row],[Revenue]]-Table1[[#This Row],[COGS]]</f>
        <v>252000</v>
      </c>
      <c r="P1105" s="6">
        <v>1104</v>
      </c>
    </row>
    <row r="1106" spans="1:16">
      <c r="A1106" s="7" t="s">
        <v>154</v>
      </c>
      <c r="B1106" s="7" t="str">
        <f>TEXT(Table1[[#This Row],[Date]],"MMM")</f>
        <v>Feb</v>
      </c>
      <c r="C1106" t="s">
        <v>35</v>
      </c>
      <c r="D1106" t="s">
        <v>53</v>
      </c>
      <c r="E1106" t="s">
        <v>29</v>
      </c>
      <c r="F1106" t="s">
        <v>30</v>
      </c>
      <c r="G1106" t="s">
        <v>62</v>
      </c>
      <c r="H1106" t="s">
        <v>51</v>
      </c>
      <c r="I1106" s="9">
        <v>150000</v>
      </c>
      <c r="J1106">
        <v>8</v>
      </c>
      <c r="K1106" t="s">
        <v>33</v>
      </c>
      <c r="L1106" s="9">
        <f t="shared" si="17"/>
        <v>120000</v>
      </c>
      <c r="M1106" s="9">
        <f>Table1[[#This Row],[Unit Price]]*Table1[[#This Row],[Quantity]]</f>
        <v>1200000</v>
      </c>
      <c r="N1106" s="9">
        <f>Table1[[#This Row],[Cost Price]]*Table1[[#This Row],[Quantity]]</f>
        <v>960000</v>
      </c>
      <c r="O1106" s="9">
        <f>Table1[[#This Row],[Revenue]]-Table1[[#This Row],[COGS]]</f>
        <v>240000</v>
      </c>
      <c r="P1106" s="6">
        <v>1105</v>
      </c>
    </row>
    <row r="1107" spans="1:16">
      <c r="A1107" s="7" t="s">
        <v>146</v>
      </c>
      <c r="B1107" s="7" t="str">
        <f>TEXT(Table1[[#This Row],[Date]],"MMM")</f>
        <v>Jan</v>
      </c>
      <c r="C1107" t="s">
        <v>27</v>
      </c>
      <c r="D1107" t="s">
        <v>36</v>
      </c>
      <c r="E1107" t="s">
        <v>41</v>
      </c>
      <c r="F1107" t="s">
        <v>30</v>
      </c>
      <c r="G1107" t="s">
        <v>46</v>
      </c>
      <c r="H1107" t="s">
        <v>39</v>
      </c>
      <c r="I1107" s="9">
        <v>60000</v>
      </c>
      <c r="J1107">
        <v>5</v>
      </c>
      <c r="K1107" t="s">
        <v>58</v>
      </c>
      <c r="L1107" s="9">
        <f t="shared" si="17"/>
        <v>48000</v>
      </c>
      <c r="M1107" s="9">
        <f>Table1[[#This Row],[Unit Price]]*Table1[[#This Row],[Quantity]]</f>
        <v>300000</v>
      </c>
      <c r="N1107" s="9">
        <f>Table1[[#This Row],[Cost Price]]*Table1[[#This Row],[Quantity]]</f>
        <v>240000</v>
      </c>
      <c r="O1107" s="9">
        <f>Table1[[#This Row],[Revenue]]-Table1[[#This Row],[COGS]]</f>
        <v>60000</v>
      </c>
      <c r="P1107" s="6">
        <v>1106</v>
      </c>
    </row>
    <row r="1108" spans="1:16">
      <c r="A1108" s="7" t="s">
        <v>89</v>
      </c>
      <c r="B1108" s="7" t="str">
        <f>TEXT(Table1[[#This Row],[Date]],"MMM")</f>
        <v>Feb</v>
      </c>
      <c r="C1108" t="s">
        <v>27</v>
      </c>
      <c r="D1108" t="s">
        <v>45</v>
      </c>
      <c r="E1108" t="s">
        <v>41</v>
      </c>
      <c r="F1108" t="s">
        <v>37</v>
      </c>
      <c r="G1108" t="s">
        <v>56</v>
      </c>
      <c r="H1108" t="s">
        <v>32</v>
      </c>
      <c r="I1108" s="9">
        <v>320000</v>
      </c>
      <c r="J1108">
        <v>9</v>
      </c>
      <c r="K1108" t="s">
        <v>65</v>
      </c>
      <c r="L1108" s="9">
        <f t="shared" si="17"/>
        <v>256000</v>
      </c>
      <c r="M1108" s="9">
        <f>Table1[[#This Row],[Unit Price]]*Table1[[#This Row],[Quantity]]</f>
        <v>2880000</v>
      </c>
      <c r="N1108" s="9">
        <f>Table1[[#This Row],[Cost Price]]*Table1[[#This Row],[Quantity]]</f>
        <v>2304000</v>
      </c>
      <c r="O1108" s="9">
        <f>Table1[[#This Row],[Revenue]]-Table1[[#This Row],[COGS]]</f>
        <v>576000</v>
      </c>
      <c r="P1108" s="6">
        <v>1107</v>
      </c>
    </row>
    <row r="1109" spans="1:16">
      <c r="A1109" s="7" t="s">
        <v>139</v>
      </c>
      <c r="B1109" s="7" t="str">
        <f>TEXT(Table1[[#This Row],[Date]],"MMM")</f>
        <v>Jan</v>
      </c>
      <c r="C1109" t="s">
        <v>27</v>
      </c>
      <c r="D1109" t="s">
        <v>36</v>
      </c>
      <c r="E1109" t="s">
        <v>41</v>
      </c>
      <c r="F1109" t="s">
        <v>30</v>
      </c>
      <c r="G1109" t="s">
        <v>67</v>
      </c>
      <c r="H1109" t="s">
        <v>51</v>
      </c>
      <c r="I1109" s="9">
        <v>420000</v>
      </c>
      <c r="J1109">
        <v>5</v>
      </c>
      <c r="K1109" t="s">
        <v>33</v>
      </c>
      <c r="L1109" s="9">
        <f t="shared" si="17"/>
        <v>336000</v>
      </c>
      <c r="M1109" s="9">
        <f>Table1[[#This Row],[Unit Price]]*Table1[[#This Row],[Quantity]]</f>
        <v>2100000</v>
      </c>
      <c r="N1109" s="9">
        <f>Table1[[#This Row],[Cost Price]]*Table1[[#This Row],[Quantity]]</f>
        <v>1680000</v>
      </c>
      <c r="O1109" s="9">
        <f>Table1[[#This Row],[Revenue]]-Table1[[#This Row],[COGS]]</f>
        <v>420000</v>
      </c>
      <c r="P1109" s="6">
        <v>1108</v>
      </c>
    </row>
    <row r="1110" spans="1:16">
      <c r="A1110" s="7" t="s">
        <v>94</v>
      </c>
      <c r="B1110" s="7" t="str">
        <f>TEXT(Table1[[#This Row],[Date]],"MMM")</f>
        <v>Jan</v>
      </c>
      <c r="C1110" t="s">
        <v>49</v>
      </c>
      <c r="D1110" t="s">
        <v>36</v>
      </c>
      <c r="E1110" t="s">
        <v>41</v>
      </c>
      <c r="F1110" t="s">
        <v>30</v>
      </c>
      <c r="G1110" t="s">
        <v>46</v>
      </c>
      <c r="H1110" t="s">
        <v>39</v>
      </c>
      <c r="I1110" s="9">
        <v>60000</v>
      </c>
      <c r="J1110">
        <v>9</v>
      </c>
      <c r="K1110" t="s">
        <v>47</v>
      </c>
      <c r="L1110" s="9">
        <f t="shared" si="17"/>
        <v>48000</v>
      </c>
      <c r="M1110" s="9">
        <f>Table1[[#This Row],[Unit Price]]*Table1[[#This Row],[Quantity]]</f>
        <v>540000</v>
      </c>
      <c r="N1110" s="9">
        <f>Table1[[#This Row],[Cost Price]]*Table1[[#This Row],[Quantity]]</f>
        <v>432000</v>
      </c>
      <c r="O1110" s="9">
        <f>Table1[[#This Row],[Revenue]]-Table1[[#This Row],[COGS]]</f>
        <v>108000</v>
      </c>
      <c r="P1110" s="6">
        <v>1109</v>
      </c>
    </row>
    <row r="1111" spans="1:16">
      <c r="A1111" s="7" t="s">
        <v>124</v>
      </c>
      <c r="B1111" s="7" t="str">
        <f>TEXT(Table1[[#This Row],[Date]],"MMM")</f>
        <v>Feb</v>
      </c>
      <c r="C1111" t="s">
        <v>44</v>
      </c>
      <c r="D1111" t="s">
        <v>36</v>
      </c>
      <c r="E1111" t="s">
        <v>29</v>
      </c>
      <c r="F1111" t="s">
        <v>30</v>
      </c>
      <c r="G1111" t="s">
        <v>67</v>
      </c>
      <c r="H1111" t="s">
        <v>51</v>
      </c>
      <c r="I1111" s="9">
        <v>420000</v>
      </c>
      <c r="J1111">
        <v>1</v>
      </c>
      <c r="K1111" t="s">
        <v>69</v>
      </c>
      <c r="L1111" s="9">
        <f t="shared" si="17"/>
        <v>336000</v>
      </c>
      <c r="M1111" s="9">
        <f>Table1[[#This Row],[Unit Price]]*Table1[[#This Row],[Quantity]]</f>
        <v>420000</v>
      </c>
      <c r="N1111" s="9">
        <f>Table1[[#This Row],[Cost Price]]*Table1[[#This Row],[Quantity]]</f>
        <v>336000</v>
      </c>
      <c r="O1111" s="9">
        <f>Table1[[#This Row],[Revenue]]-Table1[[#This Row],[COGS]]</f>
        <v>84000</v>
      </c>
      <c r="P1111" s="6">
        <v>1110</v>
      </c>
    </row>
    <row r="1112" spans="1:16">
      <c r="A1112" s="7" t="s">
        <v>145</v>
      </c>
      <c r="B1112" s="7" t="str">
        <f>TEXT(Table1[[#This Row],[Date]],"MMM")</f>
        <v>Jan</v>
      </c>
      <c r="C1112" t="s">
        <v>35</v>
      </c>
      <c r="D1112" t="s">
        <v>53</v>
      </c>
      <c r="E1112" t="s">
        <v>29</v>
      </c>
      <c r="F1112" t="s">
        <v>30</v>
      </c>
      <c r="G1112" t="s">
        <v>62</v>
      </c>
      <c r="H1112" t="s">
        <v>51</v>
      </c>
      <c r="I1112" s="9">
        <v>150000</v>
      </c>
      <c r="J1112">
        <v>9</v>
      </c>
      <c r="K1112" t="s">
        <v>65</v>
      </c>
      <c r="L1112" s="9">
        <f t="shared" si="17"/>
        <v>120000</v>
      </c>
      <c r="M1112" s="9">
        <f>Table1[[#This Row],[Unit Price]]*Table1[[#This Row],[Quantity]]</f>
        <v>1350000</v>
      </c>
      <c r="N1112" s="9">
        <f>Table1[[#This Row],[Cost Price]]*Table1[[#This Row],[Quantity]]</f>
        <v>1080000</v>
      </c>
      <c r="O1112" s="9">
        <f>Table1[[#This Row],[Revenue]]-Table1[[#This Row],[COGS]]</f>
        <v>270000</v>
      </c>
      <c r="P1112" s="6">
        <v>1111</v>
      </c>
    </row>
    <row r="1113" spans="1:16">
      <c r="A1113" s="7" t="s">
        <v>48</v>
      </c>
      <c r="B1113" s="7" t="str">
        <f>TEXT(Table1[[#This Row],[Date]],"MMM")</f>
        <v>Apr</v>
      </c>
      <c r="C1113" t="s">
        <v>44</v>
      </c>
      <c r="D1113" t="s">
        <v>53</v>
      </c>
      <c r="E1113" t="s">
        <v>41</v>
      </c>
      <c r="F1113" t="s">
        <v>37</v>
      </c>
      <c r="G1113" t="s">
        <v>73</v>
      </c>
      <c r="H1113" t="s">
        <v>39</v>
      </c>
      <c r="I1113" s="9">
        <v>220000</v>
      </c>
      <c r="J1113">
        <v>7</v>
      </c>
      <c r="K1113" t="s">
        <v>33</v>
      </c>
      <c r="L1113" s="9">
        <f t="shared" si="17"/>
        <v>176000</v>
      </c>
      <c r="M1113" s="9">
        <f>Table1[[#This Row],[Unit Price]]*Table1[[#This Row],[Quantity]]</f>
        <v>1540000</v>
      </c>
      <c r="N1113" s="9">
        <f>Table1[[#This Row],[Cost Price]]*Table1[[#This Row],[Quantity]]</f>
        <v>1232000</v>
      </c>
      <c r="O1113" s="9">
        <f>Table1[[#This Row],[Revenue]]-Table1[[#This Row],[COGS]]</f>
        <v>308000</v>
      </c>
      <c r="P1113" s="6">
        <v>1112</v>
      </c>
    </row>
    <row r="1114" spans="1:16">
      <c r="A1114" s="7" t="s">
        <v>57</v>
      </c>
      <c r="B1114" s="7" t="str">
        <f>TEXT(Table1[[#This Row],[Date]],"MMM")</f>
        <v>Feb</v>
      </c>
      <c r="C1114" t="s">
        <v>49</v>
      </c>
      <c r="D1114" t="s">
        <v>28</v>
      </c>
      <c r="E1114" t="s">
        <v>29</v>
      </c>
      <c r="F1114" t="s">
        <v>37</v>
      </c>
      <c r="G1114" t="s">
        <v>56</v>
      </c>
      <c r="H1114" t="s">
        <v>32</v>
      </c>
      <c r="I1114" s="9">
        <v>320000</v>
      </c>
      <c r="J1114">
        <v>3</v>
      </c>
      <c r="K1114" t="s">
        <v>58</v>
      </c>
      <c r="L1114" s="9">
        <f t="shared" si="17"/>
        <v>256000</v>
      </c>
      <c r="M1114" s="9">
        <f>Table1[[#This Row],[Unit Price]]*Table1[[#This Row],[Quantity]]</f>
        <v>960000</v>
      </c>
      <c r="N1114" s="9">
        <f>Table1[[#This Row],[Cost Price]]*Table1[[#This Row],[Quantity]]</f>
        <v>768000</v>
      </c>
      <c r="O1114" s="9">
        <f>Table1[[#This Row],[Revenue]]-Table1[[#This Row],[COGS]]</f>
        <v>192000</v>
      </c>
      <c r="P1114" s="6">
        <v>1113</v>
      </c>
    </row>
    <row r="1115" spans="1:16">
      <c r="A1115" s="7" t="s">
        <v>90</v>
      </c>
      <c r="B1115" s="7" t="str">
        <f>TEXT(Table1[[#This Row],[Date]],"MMM")</f>
        <v>Feb</v>
      </c>
      <c r="C1115" t="s">
        <v>44</v>
      </c>
      <c r="D1115" t="s">
        <v>36</v>
      </c>
      <c r="E1115" t="s">
        <v>41</v>
      </c>
      <c r="F1115" t="s">
        <v>30</v>
      </c>
      <c r="G1115" t="s">
        <v>56</v>
      </c>
      <c r="H1115" t="s">
        <v>32</v>
      </c>
      <c r="I1115" s="9">
        <v>320000</v>
      </c>
      <c r="J1115">
        <v>8</v>
      </c>
      <c r="K1115" t="s">
        <v>65</v>
      </c>
      <c r="L1115" s="9">
        <f t="shared" si="17"/>
        <v>256000</v>
      </c>
      <c r="M1115" s="9">
        <f>Table1[[#This Row],[Unit Price]]*Table1[[#This Row],[Quantity]]</f>
        <v>2560000</v>
      </c>
      <c r="N1115" s="9">
        <f>Table1[[#This Row],[Cost Price]]*Table1[[#This Row],[Quantity]]</f>
        <v>2048000</v>
      </c>
      <c r="O1115" s="9">
        <f>Table1[[#This Row],[Revenue]]-Table1[[#This Row],[COGS]]</f>
        <v>512000</v>
      </c>
      <c r="P1115" s="6">
        <v>1114</v>
      </c>
    </row>
    <row r="1116" spans="1:16">
      <c r="A1116" s="7" t="s">
        <v>176</v>
      </c>
      <c r="B1116" s="7" t="str">
        <f>TEXT(Table1[[#This Row],[Date]],"MMM")</f>
        <v>Jan</v>
      </c>
      <c r="C1116" t="s">
        <v>44</v>
      </c>
      <c r="D1116" t="s">
        <v>45</v>
      </c>
      <c r="E1116" t="s">
        <v>41</v>
      </c>
      <c r="F1116" t="s">
        <v>30</v>
      </c>
      <c r="G1116" t="s">
        <v>62</v>
      </c>
      <c r="H1116" t="s">
        <v>51</v>
      </c>
      <c r="I1116" s="9">
        <v>150000</v>
      </c>
      <c r="J1116">
        <v>3</v>
      </c>
      <c r="K1116" t="s">
        <v>65</v>
      </c>
      <c r="L1116" s="9">
        <f t="shared" si="17"/>
        <v>120000</v>
      </c>
      <c r="M1116" s="9">
        <f>Table1[[#This Row],[Unit Price]]*Table1[[#This Row],[Quantity]]</f>
        <v>450000</v>
      </c>
      <c r="N1116" s="9">
        <f>Table1[[#This Row],[Cost Price]]*Table1[[#This Row],[Quantity]]</f>
        <v>360000</v>
      </c>
      <c r="O1116" s="9">
        <f>Table1[[#This Row],[Revenue]]-Table1[[#This Row],[COGS]]</f>
        <v>90000</v>
      </c>
      <c r="P1116" s="6">
        <v>1115</v>
      </c>
    </row>
    <row r="1117" spans="1:16">
      <c r="A1117" s="7" t="s">
        <v>157</v>
      </c>
      <c r="B1117" s="7" t="str">
        <f>TEXT(Table1[[#This Row],[Date]],"MMM")</f>
        <v>Apr</v>
      </c>
      <c r="C1117" t="s">
        <v>27</v>
      </c>
      <c r="D1117" t="s">
        <v>53</v>
      </c>
      <c r="E1117" t="s">
        <v>29</v>
      </c>
      <c r="F1117" t="s">
        <v>30</v>
      </c>
      <c r="G1117" t="s">
        <v>71</v>
      </c>
      <c r="H1117" t="s">
        <v>51</v>
      </c>
      <c r="I1117" s="9">
        <v>250000</v>
      </c>
      <c r="J1117">
        <v>9</v>
      </c>
      <c r="K1117" t="s">
        <v>33</v>
      </c>
      <c r="L1117" s="9">
        <f t="shared" si="17"/>
        <v>200000</v>
      </c>
      <c r="M1117" s="9">
        <f>Table1[[#This Row],[Unit Price]]*Table1[[#This Row],[Quantity]]</f>
        <v>2250000</v>
      </c>
      <c r="N1117" s="9">
        <f>Table1[[#This Row],[Cost Price]]*Table1[[#This Row],[Quantity]]</f>
        <v>1800000</v>
      </c>
      <c r="O1117" s="9">
        <f>Table1[[#This Row],[Revenue]]-Table1[[#This Row],[COGS]]</f>
        <v>450000</v>
      </c>
      <c r="P1117" s="6">
        <v>1116</v>
      </c>
    </row>
    <row r="1118" spans="1:16">
      <c r="A1118" s="7" t="s">
        <v>112</v>
      </c>
      <c r="B1118" s="7" t="str">
        <f>TEXT(Table1[[#This Row],[Date]],"MMM")</f>
        <v>Feb</v>
      </c>
      <c r="C1118" t="s">
        <v>27</v>
      </c>
      <c r="D1118" t="s">
        <v>36</v>
      </c>
      <c r="E1118" t="s">
        <v>29</v>
      </c>
      <c r="F1118" t="s">
        <v>37</v>
      </c>
      <c r="G1118" t="s">
        <v>67</v>
      </c>
      <c r="H1118" t="s">
        <v>51</v>
      </c>
      <c r="I1118" s="9">
        <v>420000</v>
      </c>
      <c r="J1118">
        <v>7</v>
      </c>
      <c r="K1118" t="s">
        <v>47</v>
      </c>
      <c r="L1118" s="9">
        <f t="shared" si="17"/>
        <v>336000</v>
      </c>
      <c r="M1118" s="9">
        <f>Table1[[#This Row],[Unit Price]]*Table1[[#This Row],[Quantity]]</f>
        <v>2940000</v>
      </c>
      <c r="N1118" s="9">
        <f>Table1[[#This Row],[Cost Price]]*Table1[[#This Row],[Quantity]]</f>
        <v>2352000</v>
      </c>
      <c r="O1118" s="9">
        <f>Table1[[#This Row],[Revenue]]-Table1[[#This Row],[COGS]]</f>
        <v>588000</v>
      </c>
      <c r="P1118" s="6">
        <v>1117</v>
      </c>
    </row>
    <row r="1119" spans="1:16">
      <c r="A1119" s="7" t="s">
        <v>87</v>
      </c>
      <c r="B1119" s="7" t="str">
        <f>TEXT(Table1[[#This Row],[Date]],"MMM")</f>
        <v>Mar</v>
      </c>
      <c r="C1119" t="s">
        <v>27</v>
      </c>
      <c r="D1119" t="s">
        <v>28</v>
      </c>
      <c r="E1119" t="s">
        <v>41</v>
      </c>
      <c r="F1119" t="s">
        <v>37</v>
      </c>
      <c r="G1119" t="s">
        <v>71</v>
      </c>
      <c r="H1119" t="s">
        <v>51</v>
      </c>
      <c r="I1119" s="9">
        <v>250000</v>
      </c>
      <c r="J1119">
        <v>10</v>
      </c>
      <c r="K1119" t="s">
        <v>42</v>
      </c>
      <c r="L1119" s="9">
        <f t="shared" si="17"/>
        <v>200000</v>
      </c>
      <c r="M1119" s="9">
        <f>Table1[[#This Row],[Unit Price]]*Table1[[#This Row],[Quantity]]</f>
        <v>2500000</v>
      </c>
      <c r="N1119" s="9">
        <f>Table1[[#This Row],[Cost Price]]*Table1[[#This Row],[Quantity]]</f>
        <v>2000000</v>
      </c>
      <c r="O1119" s="9">
        <f>Table1[[#This Row],[Revenue]]-Table1[[#This Row],[COGS]]</f>
        <v>500000</v>
      </c>
      <c r="P1119" s="6">
        <v>1118</v>
      </c>
    </row>
    <row r="1120" spans="1:16">
      <c r="A1120" s="7" t="s">
        <v>137</v>
      </c>
      <c r="B1120" s="7" t="str">
        <f>TEXT(Table1[[#This Row],[Date]],"MMM")</f>
        <v>Apr</v>
      </c>
      <c r="C1120" t="s">
        <v>35</v>
      </c>
      <c r="D1120" t="s">
        <v>45</v>
      </c>
      <c r="E1120" t="s">
        <v>29</v>
      </c>
      <c r="F1120" t="s">
        <v>30</v>
      </c>
      <c r="G1120" t="s">
        <v>46</v>
      </c>
      <c r="H1120" t="s">
        <v>39</v>
      </c>
      <c r="I1120" s="9">
        <v>60000</v>
      </c>
      <c r="J1120">
        <v>4</v>
      </c>
      <c r="K1120" t="s">
        <v>42</v>
      </c>
      <c r="L1120" s="9">
        <f t="shared" si="17"/>
        <v>48000</v>
      </c>
      <c r="M1120" s="9">
        <f>Table1[[#This Row],[Unit Price]]*Table1[[#This Row],[Quantity]]</f>
        <v>240000</v>
      </c>
      <c r="N1120" s="9">
        <f>Table1[[#This Row],[Cost Price]]*Table1[[#This Row],[Quantity]]</f>
        <v>192000</v>
      </c>
      <c r="O1120" s="9">
        <f>Table1[[#This Row],[Revenue]]-Table1[[#This Row],[COGS]]</f>
        <v>48000</v>
      </c>
      <c r="P1120" s="6">
        <v>1119</v>
      </c>
    </row>
    <row r="1121" spans="1:16">
      <c r="A1121" s="7" t="s">
        <v>153</v>
      </c>
      <c r="B1121" s="7" t="str">
        <f>TEXT(Table1[[#This Row],[Date]],"MMM")</f>
        <v>Mar</v>
      </c>
      <c r="C1121" t="s">
        <v>49</v>
      </c>
      <c r="D1121" t="s">
        <v>36</v>
      </c>
      <c r="E1121" t="s">
        <v>29</v>
      </c>
      <c r="F1121" t="s">
        <v>30</v>
      </c>
      <c r="G1121" t="s">
        <v>71</v>
      </c>
      <c r="H1121" t="s">
        <v>51</v>
      </c>
      <c r="I1121" s="9">
        <v>250000</v>
      </c>
      <c r="J1121">
        <v>4</v>
      </c>
      <c r="K1121" t="s">
        <v>33</v>
      </c>
      <c r="L1121" s="9">
        <f t="shared" si="17"/>
        <v>200000</v>
      </c>
      <c r="M1121" s="9">
        <f>Table1[[#This Row],[Unit Price]]*Table1[[#This Row],[Quantity]]</f>
        <v>1000000</v>
      </c>
      <c r="N1121" s="9">
        <f>Table1[[#This Row],[Cost Price]]*Table1[[#This Row],[Quantity]]</f>
        <v>800000</v>
      </c>
      <c r="O1121" s="9">
        <f>Table1[[#This Row],[Revenue]]-Table1[[#This Row],[COGS]]</f>
        <v>200000</v>
      </c>
      <c r="P1121" s="6">
        <v>1120</v>
      </c>
    </row>
    <row r="1122" spans="1:16">
      <c r="A1122" s="7" t="s">
        <v>74</v>
      </c>
      <c r="B1122" s="7" t="str">
        <f>TEXT(Table1[[#This Row],[Date]],"MMM")</f>
        <v>Feb</v>
      </c>
      <c r="C1122" t="s">
        <v>49</v>
      </c>
      <c r="D1122" t="s">
        <v>28</v>
      </c>
      <c r="E1122" t="s">
        <v>29</v>
      </c>
      <c r="F1122" t="s">
        <v>30</v>
      </c>
      <c r="G1122" t="s">
        <v>50</v>
      </c>
      <c r="H1122" t="s">
        <v>51</v>
      </c>
      <c r="I1122" s="9">
        <v>300000</v>
      </c>
      <c r="J1122">
        <v>3</v>
      </c>
      <c r="K1122" t="s">
        <v>69</v>
      </c>
      <c r="L1122" s="9">
        <f t="shared" si="17"/>
        <v>240000</v>
      </c>
      <c r="M1122" s="9">
        <f>Table1[[#This Row],[Unit Price]]*Table1[[#This Row],[Quantity]]</f>
        <v>900000</v>
      </c>
      <c r="N1122" s="9">
        <f>Table1[[#This Row],[Cost Price]]*Table1[[#This Row],[Quantity]]</f>
        <v>720000</v>
      </c>
      <c r="O1122" s="9">
        <f>Table1[[#This Row],[Revenue]]-Table1[[#This Row],[COGS]]</f>
        <v>180000</v>
      </c>
      <c r="P1122" s="6">
        <v>1121</v>
      </c>
    </row>
    <row r="1123" spans="1:16">
      <c r="A1123" s="7" t="s">
        <v>173</v>
      </c>
      <c r="B1123" s="7" t="str">
        <f>TEXT(Table1[[#This Row],[Date]],"MMM")</f>
        <v>Mar</v>
      </c>
      <c r="C1123" t="s">
        <v>44</v>
      </c>
      <c r="D1123" t="s">
        <v>36</v>
      </c>
      <c r="E1123" t="s">
        <v>41</v>
      </c>
      <c r="F1123" t="s">
        <v>30</v>
      </c>
      <c r="G1123" t="s">
        <v>67</v>
      </c>
      <c r="H1123" t="s">
        <v>51</v>
      </c>
      <c r="I1123" s="9">
        <v>420000</v>
      </c>
      <c r="J1123">
        <v>9</v>
      </c>
      <c r="K1123" t="s">
        <v>65</v>
      </c>
      <c r="L1123" s="9">
        <f t="shared" si="17"/>
        <v>336000</v>
      </c>
      <c r="M1123" s="9">
        <f>Table1[[#This Row],[Unit Price]]*Table1[[#This Row],[Quantity]]</f>
        <v>3780000</v>
      </c>
      <c r="N1123" s="9">
        <f>Table1[[#This Row],[Cost Price]]*Table1[[#This Row],[Quantity]]</f>
        <v>3024000</v>
      </c>
      <c r="O1123" s="9">
        <f>Table1[[#This Row],[Revenue]]-Table1[[#This Row],[COGS]]</f>
        <v>756000</v>
      </c>
      <c r="P1123" s="6">
        <v>1122</v>
      </c>
    </row>
    <row r="1124" spans="1:16">
      <c r="A1124" s="7" t="s">
        <v>52</v>
      </c>
      <c r="B1124" s="7" t="str">
        <f>TEXT(Table1[[#This Row],[Date]],"MMM")</f>
        <v>Mar</v>
      </c>
      <c r="C1124" t="s">
        <v>44</v>
      </c>
      <c r="D1124" t="s">
        <v>36</v>
      </c>
      <c r="E1124" t="s">
        <v>41</v>
      </c>
      <c r="F1124" t="s">
        <v>30</v>
      </c>
      <c r="G1124" t="s">
        <v>67</v>
      </c>
      <c r="H1124" t="s">
        <v>51</v>
      </c>
      <c r="I1124" s="9">
        <v>420000</v>
      </c>
      <c r="J1124">
        <v>7</v>
      </c>
      <c r="K1124" t="s">
        <v>47</v>
      </c>
      <c r="L1124" s="9">
        <f t="shared" si="17"/>
        <v>336000</v>
      </c>
      <c r="M1124" s="9">
        <f>Table1[[#This Row],[Unit Price]]*Table1[[#This Row],[Quantity]]</f>
        <v>2940000</v>
      </c>
      <c r="N1124" s="9">
        <f>Table1[[#This Row],[Cost Price]]*Table1[[#This Row],[Quantity]]</f>
        <v>2352000</v>
      </c>
      <c r="O1124" s="9">
        <f>Table1[[#This Row],[Revenue]]-Table1[[#This Row],[COGS]]</f>
        <v>588000</v>
      </c>
      <c r="P1124" s="6">
        <v>1123</v>
      </c>
    </row>
    <row r="1125" spans="1:16">
      <c r="A1125" s="7" t="s">
        <v>95</v>
      </c>
      <c r="B1125" s="7" t="str">
        <f>TEXT(Table1[[#This Row],[Date]],"MMM")</f>
        <v>Feb</v>
      </c>
      <c r="C1125" t="s">
        <v>35</v>
      </c>
      <c r="D1125" t="s">
        <v>45</v>
      </c>
      <c r="E1125" t="s">
        <v>29</v>
      </c>
      <c r="F1125" t="s">
        <v>30</v>
      </c>
      <c r="G1125" t="s">
        <v>73</v>
      </c>
      <c r="H1125" t="s">
        <v>39</v>
      </c>
      <c r="I1125" s="9">
        <v>220000</v>
      </c>
      <c r="J1125">
        <v>9</v>
      </c>
      <c r="K1125" t="s">
        <v>69</v>
      </c>
      <c r="L1125" s="9">
        <f t="shared" si="17"/>
        <v>176000</v>
      </c>
      <c r="M1125" s="9">
        <f>Table1[[#This Row],[Unit Price]]*Table1[[#This Row],[Quantity]]</f>
        <v>1980000</v>
      </c>
      <c r="N1125" s="9">
        <f>Table1[[#This Row],[Cost Price]]*Table1[[#This Row],[Quantity]]</f>
        <v>1584000</v>
      </c>
      <c r="O1125" s="9">
        <f>Table1[[#This Row],[Revenue]]-Table1[[#This Row],[COGS]]</f>
        <v>396000</v>
      </c>
      <c r="P1125" s="6">
        <v>1124</v>
      </c>
    </row>
    <row r="1126" spans="1:16">
      <c r="A1126" s="7" t="s">
        <v>125</v>
      </c>
      <c r="B1126" s="7" t="str">
        <f>TEXT(Table1[[#This Row],[Date]],"MMM")</f>
        <v>Feb</v>
      </c>
      <c r="C1126" t="s">
        <v>35</v>
      </c>
      <c r="D1126" t="s">
        <v>53</v>
      </c>
      <c r="E1126" t="s">
        <v>41</v>
      </c>
      <c r="F1126" t="s">
        <v>30</v>
      </c>
      <c r="G1126" t="s">
        <v>31</v>
      </c>
      <c r="H1126" t="s">
        <v>32</v>
      </c>
      <c r="I1126" s="9">
        <v>85000</v>
      </c>
      <c r="J1126">
        <v>8</v>
      </c>
      <c r="K1126" t="s">
        <v>47</v>
      </c>
      <c r="L1126" s="9">
        <f t="shared" si="17"/>
        <v>68000</v>
      </c>
      <c r="M1126" s="9">
        <f>Table1[[#This Row],[Unit Price]]*Table1[[#This Row],[Quantity]]</f>
        <v>680000</v>
      </c>
      <c r="N1126" s="9">
        <f>Table1[[#This Row],[Cost Price]]*Table1[[#This Row],[Quantity]]</f>
        <v>544000</v>
      </c>
      <c r="O1126" s="9">
        <f>Table1[[#This Row],[Revenue]]-Table1[[#This Row],[COGS]]</f>
        <v>136000</v>
      </c>
      <c r="P1126" s="6">
        <v>1125</v>
      </c>
    </row>
    <row r="1127" spans="1:16">
      <c r="A1127" s="7" t="s">
        <v>26</v>
      </c>
      <c r="B1127" s="7" t="str">
        <f>TEXT(Table1[[#This Row],[Date]],"MMM")</f>
        <v>Jan</v>
      </c>
      <c r="C1127" t="s">
        <v>44</v>
      </c>
      <c r="D1127" t="s">
        <v>28</v>
      </c>
      <c r="E1127" t="s">
        <v>41</v>
      </c>
      <c r="F1127" t="s">
        <v>37</v>
      </c>
      <c r="G1127" t="s">
        <v>31</v>
      </c>
      <c r="H1127" t="s">
        <v>32</v>
      </c>
      <c r="I1127" s="9">
        <v>85000</v>
      </c>
      <c r="J1127">
        <v>5</v>
      </c>
      <c r="K1127" t="s">
        <v>58</v>
      </c>
      <c r="L1127" s="9">
        <f t="shared" si="17"/>
        <v>68000</v>
      </c>
      <c r="M1127" s="9">
        <f>Table1[[#This Row],[Unit Price]]*Table1[[#This Row],[Quantity]]</f>
        <v>425000</v>
      </c>
      <c r="N1127" s="9">
        <f>Table1[[#This Row],[Cost Price]]*Table1[[#This Row],[Quantity]]</f>
        <v>340000</v>
      </c>
      <c r="O1127" s="9">
        <f>Table1[[#This Row],[Revenue]]-Table1[[#This Row],[COGS]]</f>
        <v>85000</v>
      </c>
      <c r="P1127" s="6">
        <v>1126</v>
      </c>
    </row>
    <row r="1128" spans="1:16">
      <c r="A1128" s="7" t="s">
        <v>77</v>
      </c>
      <c r="B1128" s="7" t="str">
        <f>TEXT(Table1[[#This Row],[Date]],"MMM")</f>
        <v>Apr</v>
      </c>
      <c r="C1128" t="s">
        <v>44</v>
      </c>
      <c r="D1128" t="s">
        <v>53</v>
      </c>
      <c r="E1128" t="s">
        <v>29</v>
      </c>
      <c r="F1128" t="s">
        <v>37</v>
      </c>
      <c r="G1128" t="s">
        <v>71</v>
      </c>
      <c r="H1128" t="s">
        <v>51</v>
      </c>
      <c r="I1128" s="9">
        <v>250000</v>
      </c>
      <c r="J1128">
        <v>6</v>
      </c>
      <c r="K1128" t="s">
        <v>69</v>
      </c>
      <c r="L1128" s="9">
        <f t="shared" si="17"/>
        <v>200000</v>
      </c>
      <c r="M1128" s="9">
        <f>Table1[[#This Row],[Unit Price]]*Table1[[#This Row],[Quantity]]</f>
        <v>1500000</v>
      </c>
      <c r="N1128" s="9">
        <f>Table1[[#This Row],[Cost Price]]*Table1[[#This Row],[Quantity]]</f>
        <v>1200000</v>
      </c>
      <c r="O1128" s="9">
        <f>Table1[[#This Row],[Revenue]]-Table1[[#This Row],[COGS]]</f>
        <v>300000</v>
      </c>
      <c r="P1128" s="6">
        <v>1127</v>
      </c>
    </row>
    <row r="1129" spans="1:16">
      <c r="A1129" s="7" t="s">
        <v>113</v>
      </c>
      <c r="B1129" s="7" t="str">
        <f>TEXT(Table1[[#This Row],[Date]],"MMM")</f>
        <v>Apr</v>
      </c>
      <c r="C1129" t="s">
        <v>35</v>
      </c>
      <c r="D1129" t="s">
        <v>45</v>
      </c>
      <c r="E1129" t="s">
        <v>41</v>
      </c>
      <c r="F1129" t="s">
        <v>37</v>
      </c>
      <c r="G1129" t="s">
        <v>38</v>
      </c>
      <c r="H1129" t="s">
        <v>39</v>
      </c>
      <c r="I1129" s="9">
        <v>30000</v>
      </c>
      <c r="J1129">
        <v>8</v>
      </c>
      <c r="K1129" t="s">
        <v>69</v>
      </c>
      <c r="L1129" s="9">
        <f t="shared" si="17"/>
        <v>24000</v>
      </c>
      <c r="M1129" s="9">
        <f>Table1[[#This Row],[Unit Price]]*Table1[[#This Row],[Quantity]]</f>
        <v>240000</v>
      </c>
      <c r="N1129" s="9">
        <f>Table1[[#This Row],[Cost Price]]*Table1[[#This Row],[Quantity]]</f>
        <v>192000</v>
      </c>
      <c r="O1129" s="9">
        <f>Table1[[#This Row],[Revenue]]-Table1[[#This Row],[COGS]]</f>
        <v>48000</v>
      </c>
      <c r="P1129" s="6">
        <v>1128</v>
      </c>
    </row>
    <row r="1130" spans="1:16">
      <c r="A1130" s="7" t="s">
        <v>91</v>
      </c>
      <c r="B1130" s="7" t="str">
        <f>TEXT(Table1[[#This Row],[Date]],"MMM")</f>
        <v>Feb</v>
      </c>
      <c r="C1130" t="s">
        <v>49</v>
      </c>
      <c r="D1130" t="s">
        <v>28</v>
      </c>
      <c r="E1130" t="s">
        <v>41</v>
      </c>
      <c r="F1130" t="s">
        <v>30</v>
      </c>
      <c r="G1130" t="s">
        <v>71</v>
      </c>
      <c r="H1130" t="s">
        <v>51</v>
      </c>
      <c r="I1130" s="9">
        <v>250000</v>
      </c>
      <c r="J1130">
        <v>6</v>
      </c>
      <c r="K1130" t="s">
        <v>65</v>
      </c>
      <c r="L1130" s="9">
        <f t="shared" si="17"/>
        <v>200000</v>
      </c>
      <c r="M1130" s="9">
        <f>Table1[[#This Row],[Unit Price]]*Table1[[#This Row],[Quantity]]</f>
        <v>1500000</v>
      </c>
      <c r="N1130" s="9">
        <f>Table1[[#This Row],[Cost Price]]*Table1[[#This Row],[Quantity]]</f>
        <v>1200000</v>
      </c>
      <c r="O1130" s="9">
        <f>Table1[[#This Row],[Revenue]]-Table1[[#This Row],[COGS]]</f>
        <v>300000</v>
      </c>
      <c r="P1130" s="6">
        <v>1129</v>
      </c>
    </row>
    <row r="1131" spans="1:16">
      <c r="A1131" s="7" t="s">
        <v>105</v>
      </c>
      <c r="B1131" s="7" t="str">
        <f>TEXT(Table1[[#This Row],[Date]],"MMM")</f>
        <v>Mar</v>
      </c>
      <c r="C1131" t="s">
        <v>44</v>
      </c>
      <c r="D1131" t="s">
        <v>36</v>
      </c>
      <c r="E1131" t="s">
        <v>41</v>
      </c>
      <c r="F1131" t="s">
        <v>37</v>
      </c>
      <c r="G1131" t="s">
        <v>56</v>
      </c>
      <c r="H1131" t="s">
        <v>32</v>
      </c>
      <c r="I1131" s="9">
        <v>320000</v>
      </c>
      <c r="J1131">
        <v>10</v>
      </c>
      <c r="K1131" t="s">
        <v>58</v>
      </c>
      <c r="L1131" s="9">
        <f t="shared" si="17"/>
        <v>256000</v>
      </c>
      <c r="M1131" s="9">
        <f>Table1[[#This Row],[Unit Price]]*Table1[[#This Row],[Quantity]]</f>
        <v>3200000</v>
      </c>
      <c r="N1131" s="9">
        <f>Table1[[#This Row],[Cost Price]]*Table1[[#This Row],[Quantity]]</f>
        <v>2560000</v>
      </c>
      <c r="O1131" s="9">
        <f>Table1[[#This Row],[Revenue]]-Table1[[#This Row],[COGS]]</f>
        <v>640000</v>
      </c>
      <c r="P1131" s="6">
        <v>1130</v>
      </c>
    </row>
    <row r="1132" spans="1:16">
      <c r="A1132" s="7" t="s">
        <v>129</v>
      </c>
      <c r="B1132" s="7" t="str">
        <f>TEXT(Table1[[#This Row],[Date]],"MMM")</f>
        <v>Mar</v>
      </c>
      <c r="C1132" t="s">
        <v>35</v>
      </c>
      <c r="D1132" t="s">
        <v>53</v>
      </c>
      <c r="E1132" t="s">
        <v>29</v>
      </c>
      <c r="F1132" t="s">
        <v>37</v>
      </c>
      <c r="G1132" t="s">
        <v>38</v>
      </c>
      <c r="H1132" t="s">
        <v>39</v>
      </c>
      <c r="I1132" s="9">
        <v>30000</v>
      </c>
      <c r="J1132">
        <v>4</v>
      </c>
      <c r="K1132" t="s">
        <v>58</v>
      </c>
      <c r="L1132" s="9">
        <f t="shared" si="17"/>
        <v>24000</v>
      </c>
      <c r="M1132" s="9">
        <f>Table1[[#This Row],[Unit Price]]*Table1[[#This Row],[Quantity]]</f>
        <v>120000</v>
      </c>
      <c r="N1132" s="9">
        <f>Table1[[#This Row],[Cost Price]]*Table1[[#This Row],[Quantity]]</f>
        <v>96000</v>
      </c>
      <c r="O1132" s="9">
        <f>Table1[[#This Row],[Revenue]]-Table1[[#This Row],[COGS]]</f>
        <v>24000</v>
      </c>
      <c r="P1132" s="6">
        <v>1131</v>
      </c>
    </row>
    <row r="1133" spans="1:16">
      <c r="A1133" s="7" t="s">
        <v>95</v>
      </c>
      <c r="B1133" s="7" t="str">
        <f>TEXT(Table1[[#This Row],[Date]],"MMM")</f>
        <v>Feb</v>
      </c>
      <c r="C1133" t="s">
        <v>44</v>
      </c>
      <c r="D1133" t="s">
        <v>53</v>
      </c>
      <c r="E1133" t="s">
        <v>29</v>
      </c>
      <c r="F1133" t="s">
        <v>37</v>
      </c>
      <c r="G1133" t="s">
        <v>31</v>
      </c>
      <c r="H1133" t="s">
        <v>32</v>
      </c>
      <c r="I1133" s="9">
        <v>85000</v>
      </c>
      <c r="J1133">
        <v>10</v>
      </c>
      <c r="K1133" t="s">
        <v>33</v>
      </c>
      <c r="L1133" s="9">
        <f t="shared" si="17"/>
        <v>68000</v>
      </c>
      <c r="M1133" s="9">
        <f>Table1[[#This Row],[Unit Price]]*Table1[[#This Row],[Quantity]]</f>
        <v>850000</v>
      </c>
      <c r="N1133" s="9">
        <f>Table1[[#This Row],[Cost Price]]*Table1[[#This Row],[Quantity]]</f>
        <v>680000</v>
      </c>
      <c r="O1133" s="9">
        <f>Table1[[#This Row],[Revenue]]-Table1[[#This Row],[COGS]]</f>
        <v>170000</v>
      </c>
      <c r="P1133" s="6">
        <v>1132</v>
      </c>
    </row>
    <row r="1134" spans="1:16">
      <c r="A1134" s="7" t="s">
        <v>78</v>
      </c>
      <c r="B1134" s="7" t="str">
        <f>TEXT(Table1[[#This Row],[Date]],"MMM")</f>
        <v>Apr</v>
      </c>
      <c r="C1134" t="s">
        <v>49</v>
      </c>
      <c r="D1134" t="s">
        <v>53</v>
      </c>
      <c r="E1134" t="s">
        <v>41</v>
      </c>
      <c r="F1134" t="s">
        <v>37</v>
      </c>
      <c r="G1134" t="s">
        <v>71</v>
      </c>
      <c r="H1134" t="s">
        <v>51</v>
      </c>
      <c r="I1134" s="9">
        <v>250000</v>
      </c>
      <c r="J1134">
        <v>6</v>
      </c>
      <c r="K1134" t="s">
        <v>47</v>
      </c>
      <c r="L1134" s="9">
        <f t="shared" si="17"/>
        <v>200000</v>
      </c>
      <c r="M1134" s="9">
        <f>Table1[[#This Row],[Unit Price]]*Table1[[#This Row],[Quantity]]</f>
        <v>1500000</v>
      </c>
      <c r="N1134" s="9">
        <f>Table1[[#This Row],[Cost Price]]*Table1[[#This Row],[Quantity]]</f>
        <v>1200000</v>
      </c>
      <c r="O1134" s="9">
        <f>Table1[[#This Row],[Revenue]]-Table1[[#This Row],[COGS]]</f>
        <v>300000</v>
      </c>
      <c r="P1134" s="6">
        <v>1133</v>
      </c>
    </row>
    <row r="1135" spans="1:16">
      <c r="A1135" s="7" t="s">
        <v>150</v>
      </c>
      <c r="B1135" s="7" t="str">
        <f>TEXT(Table1[[#This Row],[Date]],"MMM")</f>
        <v>Jan</v>
      </c>
      <c r="C1135" t="s">
        <v>44</v>
      </c>
      <c r="D1135" t="s">
        <v>36</v>
      </c>
      <c r="E1135" t="s">
        <v>29</v>
      </c>
      <c r="F1135" t="s">
        <v>37</v>
      </c>
      <c r="G1135" t="s">
        <v>46</v>
      </c>
      <c r="H1135" t="s">
        <v>39</v>
      </c>
      <c r="I1135" s="9">
        <v>60000</v>
      </c>
      <c r="J1135">
        <v>10</v>
      </c>
      <c r="K1135" t="s">
        <v>42</v>
      </c>
      <c r="L1135" s="9">
        <f t="shared" si="17"/>
        <v>48000</v>
      </c>
      <c r="M1135" s="9">
        <f>Table1[[#This Row],[Unit Price]]*Table1[[#This Row],[Quantity]]</f>
        <v>600000</v>
      </c>
      <c r="N1135" s="9">
        <f>Table1[[#This Row],[Cost Price]]*Table1[[#This Row],[Quantity]]</f>
        <v>480000</v>
      </c>
      <c r="O1135" s="9">
        <f>Table1[[#This Row],[Revenue]]-Table1[[#This Row],[COGS]]</f>
        <v>120000</v>
      </c>
      <c r="P1135" s="6">
        <v>1134</v>
      </c>
    </row>
    <row r="1136" spans="1:16">
      <c r="A1136" s="7" t="s">
        <v>107</v>
      </c>
      <c r="B1136" s="7" t="str">
        <f>TEXT(Table1[[#This Row],[Date]],"MMM")</f>
        <v>Feb</v>
      </c>
      <c r="C1136" t="s">
        <v>35</v>
      </c>
      <c r="D1136" t="s">
        <v>36</v>
      </c>
      <c r="E1136" t="s">
        <v>29</v>
      </c>
      <c r="F1136" t="s">
        <v>37</v>
      </c>
      <c r="G1136" t="s">
        <v>50</v>
      </c>
      <c r="H1136" t="s">
        <v>51</v>
      </c>
      <c r="I1136" s="9">
        <v>300000</v>
      </c>
      <c r="J1136">
        <v>3</v>
      </c>
      <c r="K1136" t="s">
        <v>42</v>
      </c>
      <c r="L1136" s="9">
        <f t="shared" si="17"/>
        <v>240000</v>
      </c>
      <c r="M1136" s="9">
        <f>Table1[[#This Row],[Unit Price]]*Table1[[#This Row],[Quantity]]</f>
        <v>900000</v>
      </c>
      <c r="N1136" s="9">
        <f>Table1[[#This Row],[Cost Price]]*Table1[[#This Row],[Quantity]]</f>
        <v>720000</v>
      </c>
      <c r="O1136" s="9">
        <f>Table1[[#This Row],[Revenue]]-Table1[[#This Row],[COGS]]</f>
        <v>180000</v>
      </c>
      <c r="P1136" s="6">
        <v>1135</v>
      </c>
    </row>
    <row r="1137" spans="1:16">
      <c r="A1137" s="7" t="s">
        <v>98</v>
      </c>
      <c r="B1137" s="7" t="str">
        <f>TEXT(Table1[[#This Row],[Date]],"MMM")</f>
        <v>Jan</v>
      </c>
      <c r="C1137" t="s">
        <v>27</v>
      </c>
      <c r="D1137" t="s">
        <v>53</v>
      </c>
      <c r="E1137" t="s">
        <v>29</v>
      </c>
      <c r="F1137" t="s">
        <v>37</v>
      </c>
      <c r="G1137" t="s">
        <v>62</v>
      </c>
      <c r="H1137" t="s">
        <v>51</v>
      </c>
      <c r="I1137" s="9">
        <v>150000</v>
      </c>
      <c r="J1137">
        <v>10</v>
      </c>
      <c r="K1137" t="s">
        <v>69</v>
      </c>
      <c r="L1137" s="9">
        <f t="shared" si="17"/>
        <v>120000</v>
      </c>
      <c r="M1137" s="9">
        <f>Table1[[#This Row],[Unit Price]]*Table1[[#This Row],[Quantity]]</f>
        <v>1500000</v>
      </c>
      <c r="N1137" s="9">
        <f>Table1[[#This Row],[Cost Price]]*Table1[[#This Row],[Quantity]]</f>
        <v>1200000</v>
      </c>
      <c r="O1137" s="9">
        <f>Table1[[#This Row],[Revenue]]-Table1[[#This Row],[COGS]]</f>
        <v>300000</v>
      </c>
      <c r="P1137" s="6">
        <v>1136</v>
      </c>
    </row>
    <row r="1138" spans="1:16">
      <c r="A1138" s="7" t="s">
        <v>81</v>
      </c>
      <c r="B1138" s="7" t="str">
        <f>TEXT(Table1[[#This Row],[Date]],"MMM")</f>
        <v>Mar</v>
      </c>
      <c r="C1138" t="s">
        <v>44</v>
      </c>
      <c r="D1138" t="s">
        <v>36</v>
      </c>
      <c r="E1138" t="s">
        <v>41</v>
      </c>
      <c r="F1138" t="s">
        <v>37</v>
      </c>
      <c r="G1138" t="s">
        <v>38</v>
      </c>
      <c r="H1138" t="s">
        <v>39</v>
      </c>
      <c r="I1138" s="9">
        <v>30000</v>
      </c>
      <c r="J1138">
        <v>7</v>
      </c>
      <c r="K1138" t="s">
        <v>58</v>
      </c>
      <c r="L1138" s="9">
        <f t="shared" si="17"/>
        <v>24000</v>
      </c>
      <c r="M1138" s="9">
        <f>Table1[[#This Row],[Unit Price]]*Table1[[#This Row],[Quantity]]</f>
        <v>210000</v>
      </c>
      <c r="N1138" s="9">
        <f>Table1[[#This Row],[Cost Price]]*Table1[[#This Row],[Quantity]]</f>
        <v>168000</v>
      </c>
      <c r="O1138" s="9">
        <f>Table1[[#This Row],[Revenue]]-Table1[[#This Row],[COGS]]</f>
        <v>42000</v>
      </c>
      <c r="P1138" s="6">
        <v>1137</v>
      </c>
    </row>
    <row r="1139" spans="1:16">
      <c r="A1139" s="7" t="s">
        <v>83</v>
      </c>
      <c r="B1139" s="7" t="str">
        <f>TEXT(Table1[[#This Row],[Date]],"MMM")</f>
        <v>Jan</v>
      </c>
      <c r="C1139" t="s">
        <v>35</v>
      </c>
      <c r="D1139" t="s">
        <v>36</v>
      </c>
      <c r="E1139" t="s">
        <v>41</v>
      </c>
      <c r="F1139" t="s">
        <v>37</v>
      </c>
      <c r="G1139" t="s">
        <v>50</v>
      </c>
      <c r="H1139" t="s">
        <v>51</v>
      </c>
      <c r="I1139" s="9">
        <v>300000</v>
      </c>
      <c r="J1139">
        <v>9</v>
      </c>
      <c r="K1139" t="s">
        <v>65</v>
      </c>
      <c r="L1139" s="9">
        <f t="shared" si="17"/>
        <v>240000</v>
      </c>
      <c r="M1139" s="9">
        <f>Table1[[#This Row],[Unit Price]]*Table1[[#This Row],[Quantity]]</f>
        <v>2700000</v>
      </c>
      <c r="N1139" s="9">
        <f>Table1[[#This Row],[Cost Price]]*Table1[[#This Row],[Quantity]]</f>
        <v>2160000</v>
      </c>
      <c r="O1139" s="9">
        <f>Table1[[#This Row],[Revenue]]-Table1[[#This Row],[COGS]]</f>
        <v>540000</v>
      </c>
      <c r="P1139" s="6">
        <v>1138</v>
      </c>
    </row>
    <row r="1140" spans="1:16">
      <c r="A1140" s="7" t="s">
        <v>94</v>
      </c>
      <c r="B1140" s="7" t="str">
        <f>TEXT(Table1[[#This Row],[Date]],"MMM")</f>
        <v>Jan</v>
      </c>
      <c r="C1140" t="s">
        <v>49</v>
      </c>
      <c r="D1140" t="s">
        <v>53</v>
      </c>
      <c r="E1140" t="s">
        <v>41</v>
      </c>
      <c r="F1140" t="s">
        <v>37</v>
      </c>
      <c r="G1140" t="s">
        <v>73</v>
      </c>
      <c r="H1140" t="s">
        <v>39</v>
      </c>
      <c r="I1140" s="9">
        <v>220000</v>
      </c>
      <c r="J1140">
        <v>4</v>
      </c>
      <c r="K1140" t="s">
        <v>47</v>
      </c>
      <c r="L1140" s="9">
        <f t="shared" si="17"/>
        <v>176000</v>
      </c>
      <c r="M1140" s="9">
        <f>Table1[[#This Row],[Unit Price]]*Table1[[#This Row],[Quantity]]</f>
        <v>880000</v>
      </c>
      <c r="N1140" s="9">
        <f>Table1[[#This Row],[Cost Price]]*Table1[[#This Row],[Quantity]]</f>
        <v>704000</v>
      </c>
      <c r="O1140" s="9">
        <f>Table1[[#This Row],[Revenue]]-Table1[[#This Row],[COGS]]</f>
        <v>176000</v>
      </c>
      <c r="P1140" s="6">
        <v>1139</v>
      </c>
    </row>
    <row r="1141" spans="1:16">
      <c r="A1141" s="7" t="s">
        <v>176</v>
      </c>
      <c r="B1141" s="7" t="str">
        <f>TEXT(Table1[[#This Row],[Date]],"MMM")</f>
        <v>Jan</v>
      </c>
      <c r="C1141" t="s">
        <v>35</v>
      </c>
      <c r="D1141" t="s">
        <v>45</v>
      </c>
      <c r="E1141" t="s">
        <v>41</v>
      </c>
      <c r="F1141" t="s">
        <v>30</v>
      </c>
      <c r="G1141" t="s">
        <v>71</v>
      </c>
      <c r="H1141" t="s">
        <v>51</v>
      </c>
      <c r="I1141" s="9">
        <v>250000</v>
      </c>
      <c r="J1141">
        <v>9</v>
      </c>
      <c r="K1141" t="s">
        <v>33</v>
      </c>
      <c r="L1141" s="9">
        <f t="shared" si="17"/>
        <v>200000</v>
      </c>
      <c r="M1141" s="9">
        <f>Table1[[#This Row],[Unit Price]]*Table1[[#This Row],[Quantity]]</f>
        <v>2250000</v>
      </c>
      <c r="N1141" s="9">
        <f>Table1[[#This Row],[Cost Price]]*Table1[[#This Row],[Quantity]]</f>
        <v>1800000</v>
      </c>
      <c r="O1141" s="9">
        <f>Table1[[#This Row],[Revenue]]-Table1[[#This Row],[COGS]]</f>
        <v>450000</v>
      </c>
      <c r="P1141" s="6">
        <v>1140</v>
      </c>
    </row>
    <row r="1142" spans="1:16">
      <c r="A1142" s="7" t="s">
        <v>145</v>
      </c>
      <c r="B1142" s="7" t="str">
        <f>TEXT(Table1[[#This Row],[Date]],"MMM")</f>
        <v>Jan</v>
      </c>
      <c r="C1142" t="s">
        <v>27</v>
      </c>
      <c r="D1142" t="s">
        <v>28</v>
      </c>
      <c r="E1142" t="s">
        <v>41</v>
      </c>
      <c r="F1142" t="s">
        <v>37</v>
      </c>
      <c r="G1142" t="s">
        <v>50</v>
      </c>
      <c r="H1142" t="s">
        <v>51</v>
      </c>
      <c r="I1142" s="9">
        <v>300000</v>
      </c>
      <c r="J1142">
        <v>4</v>
      </c>
      <c r="K1142" t="s">
        <v>69</v>
      </c>
      <c r="L1142" s="9">
        <f t="shared" si="17"/>
        <v>240000</v>
      </c>
      <c r="M1142" s="9">
        <f>Table1[[#This Row],[Unit Price]]*Table1[[#This Row],[Quantity]]</f>
        <v>1200000</v>
      </c>
      <c r="N1142" s="9">
        <f>Table1[[#This Row],[Cost Price]]*Table1[[#This Row],[Quantity]]</f>
        <v>960000</v>
      </c>
      <c r="O1142" s="9">
        <f>Table1[[#This Row],[Revenue]]-Table1[[#This Row],[COGS]]</f>
        <v>240000</v>
      </c>
      <c r="P1142" s="6">
        <v>1141</v>
      </c>
    </row>
    <row r="1143" spans="1:16">
      <c r="A1143" s="7" t="s">
        <v>84</v>
      </c>
      <c r="B1143" s="7" t="str">
        <f>TEXT(Table1[[#This Row],[Date]],"MMM")</f>
        <v>Jan</v>
      </c>
      <c r="C1143" t="s">
        <v>27</v>
      </c>
      <c r="D1143" t="s">
        <v>28</v>
      </c>
      <c r="E1143" t="s">
        <v>29</v>
      </c>
      <c r="F1143" t="s">
        <v>37</v>
      </c>
      <c r="G1143" t="s">
        <v>46</v>
      </c>
      <c r="H1143" t="s">
        <v>39</v>
      </c>
      <c r="I1143" s="9">
        <v>60000</v>
      </c>
      <c r="J1143">
        <v>10</v>
      </c>
      <c r="K1143" t="s">
        <v>65</v>
      </c>
      <c r="L1143" s="9">
        <f t="shared" si="17"/>
        <v>48000</v>
      </c>
      <c r="M1143" s="9">
        <f>Table1[[#This Row],[Unit Price]]*Table1[[#This Row],[Quantity]]</f>
        <v>600000</v>
      </c>
      <c r="N1143" s="9">
        <f>Table1[[#This Row],[Cost Price]]*Table1[[#This Row],[Quantity]]</f>
        <v>480000</v>
      </c>
      <c r="O1143" s="9">
        <f>Table1[[#This Row],[Revenue]]-Table1[[#This Row],[COGS]]</f>
        <v>120000</v>
      </c>
      <c r="P1143" s="6">
        <v>1142</v>
      </c>
    </row>
    <row r="1144" spans="1:16">
      <c r="A1144" s="7" t="s">
        <v>68</v>
      </c>
      <c r="B1144" s="7" t="str">
        <f>TEXT(Table1[[#This Row],[Date]],"MMM")</f>
        <v>Mar</v>
      </c>
      <c r="C1144" t="s">
        <v>49</v>
      </c>
      <c r="D1144" t="s">
        <v>45</v>
      </c>
      <c r="E1144" t="s">
        <v>41</v>
      </c>
      <c r="F1144" t="s">
        <v>30</v>
      </c>
      <c r="G1144" t="s">
        <v>67</v>
      </c>
      <c r="H1144" t="s">
        <v>51</v>
      </c>
      <c r="I1144" s="9">
        <v>420000</v>
      </c>
      <c r="J1144">
        <v>10</v>
      </c>
      <c r="K1144" t="s">
        <v>47</v>
      </c>
      <c r="L1144" s="9">
        <f t="shared" si="17"/>
        <v>336000</v>
      </c>
      <c r="M1144" s="9">
        <f>Table1[[#This Row],[Unit Price]]*Table1[[#This Row],[Quantity]]</f>
        <v>4200000</v>
      </c>
      <c r="N1144" s="9">
        <f>Table1[[#This Row],[Cost Price]]*Table1[[#This Row],[Quantity]]</f>
        <v>3360000</v>
      </c>
      <c r="O1144" s="9">
        <f>Table1[[#This Row],[Revenue]]-Table1[[#This Row],[COGS]]</f>
        <v>840000</v>
      </c>
      <c r="P1144" s="6">
        <v>1143</v>
      </c>
    </row>
    <row r="1145" spans="1:16">
      <c r="A1145" s="7" t="s">
        <v>172</v>
      </c>
      <c r="B1145" s="7" t="str">
        <f>TEXT(Table1[[#This Row],[Date]],"MMM")</f>
        <v>Mar</v>
      </c>
      <c r="C1145" t="s">
        <v>27</v>
      </c>
      <c r="D1145" t="s">
        <v>45</v>
      </c>
      <c r="E1145" t="s">
        <v>29</v>
      </c>
      <c r="F1145" t="s">
        <v>37</v>
      </c>
      <c r="G1145" t="s">
        <v>62</v>
      </c>
      <c r="H1145" t="s">
        <v>51</v>
      </c>
      <c r="I1145" s="9">
        <v>150000</v>
      </c>
      <c r="J1145">
        <v>1</v>
      </c>
      <c r="K1145" t="s">
        <v>69</v>
      </c>
      <c r="L1145" s="9">
        <f t="shared" si="17"/>
        <v>120000</v>
      </c>
      <c r="M1145" s="9">
        <f>Table1[[#This Row],[Unit Price]]*Table1[[#This Row],[Quantity]]</f>
        <v>150000</v>
      </c>
      <c r="N1145" s="9">
        <f>Table1[[#This Row],[Cost Price]]*Table1[[#This Row],[Quantity]]</f>
        <v>120000</v>
      </c>
      <c r="O1145" s="9">
        <f>Table1[[#This Row],[Revenue]]-Table1[[#This Row],[COGS]]</f>
        <v>30000</v>
      </c>
      <c r="P1145" s="6">
        <v>1144</v>
      </c>
    </row>
    <row r="1146" spans="1:16">
      <c r="A1146" s="7" t="s">
        <v>111</v>
      </c>
      <c r="B1146" s="7" t="str">
        <f>TEXT(Table1[[#This Row],[Date]],"MMM")</f>
        <v>Feb</v>
      </c>
      <c r="C1146" t="s">
        <v>44</v>
      </c>
      <c r="D1146" t="s">
        <v>45</v>
      </c>
      <c r="E1146" t="s">
        <v>29</v>
      </c>
      <c r="F1146" t="s">
        <v>37</v>
      </c>
      <c r="G1146" t="s">
        <v>71</v>
      </c>
      <c r="H1146" t="s">
        <v>51</v>
      </c>
      <c r="I1146" s="9">
        <v>250000</v>
      </c>
      <c r="J1146">
        <v>7</v>
      </c>
      <c r="K1146" t="s">
        <v>42</v>
      </c>
      <c r="L1146" s="9">
        <f t="shared" si="17"/>
        <v>200000</v>
      </c>
      <c r="M1146" s="9">
        <f>Table1[[#This Row],[Unit Price]]*Table1[[#This Row],[Quantity]]</f>
        <v>1750000</v>
      </c>
      <c r="N1146" s="9">
        <f>Table1[[#This Row],[Cost Price]]*Table1[[#This Row],[Quantity]]</f>
        <v>1400000</v>
      </c>
      <c r="O1146" s="9">
        <f>Table1[[#This Row],[Revenue]]-Table1[[#This Row],[COGS]]</f>
        <v>350000</v>
      </c>
      <c r="P1146" s="6">
        <v>1145</v>
      </c>
    </row>
    <row r="1147" spans="1:16">
      <c r="A1147" s="7" t="s">
        <v>149</v>
      </c>
      <c r="B1147" s="7" t="str">
        <f>TEXT(Table1[[#This Row],[Date]],"MMM")</f>
        <v>Apr</v>
      </c>
      <c r="C1147" t="s">
        <v>44</v>
      </c>
      <c r="D1147" t="s">
        <v>53</v>
      </c>
      <c r="E1147" t="s">
        <v>29</v>
      </c>
      <c r="F1147" t="s">
        <v>37</v>
      </c>
      <c r="G1147" t="s">
        <v>50</v>
      </c>
      <c r="H1147" t="s">
        <v>51</v>
      </c>
      <c r="I1147" s="9">
        <v>300000</v>
      </c>
      <c r="J1147">
        <v>9</v>
      </c>
      <c r="K1147" t="s">
        <v>47</v>
      </c>
      <c r="L1147" s="9">
        <f t="shared" si="17"/>
        <v>240000</v>
      </c>
      <c r="M1147" s="9">
        <f>Table1[[#This Row],[Unit Price]]*Table1[[#This Row],[Quantity]]</f>
        <v>2700000</v>
      </c>
      <c r="N1147" s="9">
        <f>Table1[[#This Row],[Cost Price]]*Table1[[#This Row],[Quantity]]</f>
        <v>2160000</v>
      </c>
      <c r="O1147" s="9">
        <f>Table1[[#This Row],[Revenue]]-Table1[[#This Row],[COGS]]</f>
        <v>540000</v>
      </c>
      <c r="P1147" s="6">
        <v>1146</v>
      </c>
    </row>
    <row r="1148" spans="1:16">
      <c r="A1148" s="7" t="s">
        <v>172</v>
      </c>
      <c r="B1148" s="7" t="str">
        <f>TEXT(Table1[[#This Row],[Date]],"MMM")</f>
        <v>Mar</v>
      </c>
      <c r="C1148" t="s">
        <v>49</v>
      </c>
      <c r="D1148" t="s">
        <v>28</v>
      </c>
      <c r="E1148" t="s">
        <v>29</v>
      </c>
      <c r="F1148" t="s">
        <v>37</v>
      </c>
      <c r="G1148" t="s">
        <v>62</v>
      </c>
      <c r="H1148" t="s">
        <v>51</v>
      </c>
      <c r="I1148" s="9">
        <v>150000</v>
      </c>
      <c r="J1148">
        <v>2</v>
      </c>
      <c r="K1148" t="s">
        <v>65</v>
      </c>
      <c r="L1148" s="9">
        <f t="shared" si="17"/>
        <v>120000</v>
      </c>
      <c r="M1148" s="9">
        <f>Table1[[#This Row],[Unit Price]]*Table1[[#This Row],[Quantity]]</f>
        <v>300000</v>
      </c>
      <c r="N1148" s="9">
        <f>Table1[[#This Row],[Cost Price]]*Table1[[#This Row],[Quantity]]</f>
        <v>240000</v>
      </c>
      <c r="O1148" s="9">
        <f>Table1[[#This Row],[Revenue]]-Table1[[#This Row],[COGS]]</f>
        <v>60000</v>
      </c>
      <c r="P1148" s="6">
        <v>1147</v>
      </c>
    </row>
    <row r="1149" spans="1:16">
      <c r="A1149" s="7" t="s">
        <v>70</v>
      </c>
      <c r="B1149" s="7" t="str">
        <f>TEXT(Table1[[#This Row],[Date]],"MMM")</f>
        <v>Apr</v>
      </c>
      <c r="C1149" t="s">
        <v>27</v>
      </c>
      <c r="D1149" t="s">
        <v>36</v>
      </c>
      <c r="E1149" t="s">
        <v>29</v>
      </c>
      <c r="F1149" t="s">
        <v>37</v>
      </c>
      <c r="G1149" t="s">
        <v>73</v>
      </c>
      <c r="H1149" t="s">
        <v>39</v>
      </c>
      <c r="I1149" s="9">
        <v>220000</v>
      </c>
      <c r="J1149">
        <v>9</v>
      </c>
      <c r="K1149" t="s">
        <v>42</v>
      </c>
      <c r="L1149" s="9">
        <f t="shared" si="17"/>
        <v>176000</v>
      </c>
      <c r="M1149" s="9">
        <f>Table1[[#This Row],[Unit Price]]*Table1[[#This Row],[Quantity]]</f>
        <v>1980000</v>
      </c>
      <c r="N1149" s="9">
        <f>Table1[[#This Row],[Cost Price]]*Table1[[#This Row],[Quantity]]</f>
        <v>1584000</v>
      </c>
      <c r="O1149" s="9">
        <f>Table1[[#This Row],[Revenue]]-Table1[[#This Row],[COGS]]</f>
        <v>396000</v>
      </c>
      <c r="P1149" s="6">
        <v>1148</v>
      </c>
    </row>
    <row r="1150" spans="1:16">
      <c r="A1150" s="7" t="s">
        <v>60</v>
      </c>
      <c r="B1150" s="7" t="str">
        <f>TEXT(Table1[[#This Row],[Date]],"MMM")</f>
        <v>Mar</v>
      </c>
      <c r="C1150" t="s">
        <v>49</v>
      </c>
      <c r="D1150" t="s">
        <v>53</v>
      </c>
      <c r="E1150" t="s">
        <v>29</v>
      </c>
      <c r="F1150" t="s">
        <v>37</v>
      </c>
      <c r="G1150" t="s">
        <v>46</v>
      </c>
      <c r="H1150" t="s">
        <v>39</v>
      </c>
      <c r="I1150" s="9">
        <v>60000</v>
      </c>
      <c r="J1150">
        <v>5</v>
      </c>
      <c r="K1150" t="s">
        <v>33</v>
      </c>
      <c r="L1150" s="9">
        <f t="shared" si="17"/>
        <v>48000</v>
      </c>
      <c r="M1150" s="9">
        <f>Table1[[#This Row],[Unit Price]]*Table1[[#This Row],[Quantity]]</f>
        <v>300000</v>
      </c>
      <c r="N1150" s="9">
        <f>Table1[[#This Row],[Cost Price]]*Table1[[#This Row],[Quantity]]</f>
        <v>240000</v>
      </c>
      <c r="O1150" s="9">
        <f>Table1[[#This Row],[Revenue]]-Table1[[#This Row],[COGS]]</f>
        <v>60000</v>
      </c>
      <c r="P1150" s="6">
        <v>1149</v>
      </c>
    </row>
    <row r="1151" spans="1:16">
      <c r="A1151" s="7" t="s">
        <v>85</v>
      </c>
      <c r="B1151" s="7" t="str">
        <f>TEXT(Table1[[#This Row],[Date]],"MMM")</f>
        <v>Feb</v>
      </c>
      <c r="C1151" t="s">
        <v>27</v>
      </c>
      <c r="D1151" t="s">
        <v>28</v>
      </c>
      <c r="E1151" t="s">
        <v>41</v>
      </c>
      <c r="F1151" t="s">
        <v>37</v>
      </c>
      <c r="G1151" t="s">
        <v>54</v>
      </c>
      <c r="H1151" t="s">
        <v>39</v>
      </c>
      <c r="I1151" s="9">
        <v>180000</v>
      </c>
      <c r="J1151">
        <v>6</v>
      </c>
      <c r="K1151" t="s">
        <v>58</v>
      </c>
      <c r="L1151" s="9">
        <f t="shared" si="17"/>
        <v>144000</v>
      </c>
      <c r="M1151" s="9">
        <f>Table1[[#This Row],[Unit Price]]*Table1[[#This Row],[Quantity]]</f>
        <v>1080000</v>
      </c>
      <c r="N1151" s="9">
        <f>Table1[[#This Row],[Cost Price]]*Table1[[#This Row],[Quantity]]</f>
        <v>864000</v>
      </c>
      <c r="O1151" s="9">
        <f>Table1[[#This Row],[Revenue]]-Table1[[#This Row],[COGS]]</f>
        <v>216000</v>
      </c>
      <c r="P1151" s="6">
        <v>1150</v>
      </c>
    </row>
    <row r="1152" spans="1:16">
      <c r="A1152" s="7" t="s">
        <v>169</v>
      </c>
      <c r="B1152" s="7" t="str">
        <f>TEXT(Table1[[#This Row],[Date]],"MMM")</f>
        <v>Feb</v>
      </c>
      <c r="C1152" t="s">
        <v>35</v>
      </c>
      <c r="D1152" t="s">
        <v>28</v>
      </c>
      <c r="E1152" t="s">
        <v>41</v>
      </c>
      <c r="F1152" t="s">
        <v>37</v>
      </c>
      <c r="G1152" t="s">
        <v>71</v>
      </c>
      <c r="H1152" t="s">
        <v>51</v>
      </c>
      <c r="I1152" s="9">
        <v>250000</v>
      </c>
      <c r="J1152">
        <v>10</v>
      </c>
      <c r="K1152" t="s">
        <v>33</v>
      </c>
      <c r="L1152" s="9">
        <f t="shared" si="17"/>
        <v>200000</v>
      </c>
      <c r="M1152" s="9">
        <f>Table1[[#This Row],[Unit Price]]*Table1[[#This Row],[Quantity]]</f>
        <v>2500000</v>
      </c>
      <c r="N1152" s="9">
        <f>Table1[[#This Row],[Cost Price]]*Table1[[#This Row],[Quantity]]</f>
        <v>2000000</v>
      </c>
      <c r="O1152" s="9">
        <f>Table1[[#This Row],[Revenue]]-Table1[[#This Row],[COGS]]</f>
        <v>500000</v>
      </c>
      <c r="P1152" s="6">
        <v>1151</v>
      </c>
    </row>
    <row r="1153" spans="1:16">
      <c r="A1153" s="7" t="s">
        <v>161</v>
      </c>
      <c r="B1153" s="7" t="str">
        <f>TEXT(Table1[[#This Row],[Date]],"MMM")</f>
        <v>Mar</v>
      </c>
      <c r="C1153" t="s">
        <v>35</v>
      </c>
      <c r="D1153" t="s">
        <v>53</v>
      </c>
      <c r="E1153" t="s">
        <v>29</v>
      </c>
      <c r="F1153" t="s">
        <v>37</v>
      </c>
      <c r="G1153" t="s">
        <v>31</v>
      </c>
      <c r="H1153" t="s">
        <v>32</v>
      </c>
      <c r="I1153" s="9">
        <v>85000</v>
      </c>
      <c r="J1153">
        <v>1</v>
      </c>
      <c r="K1153" t="s">
        <v>65</v>
      </c>
      <c r="L1153" s="9">
        <f t="shared" si="17"/>
        <v>68000</v>
      </c>
      <c r="M1153" s="9">
        <f>Table1[[#This Row],[Unit Price]]*Table1[[#This Row],[Quantity]]</f>
        <v>85000</v>
      </c>
      <c r="N1153" s="9">
        <f>Table1[[#This Row],[Cost Price]]*Table1[[#This Row],[Quantity]]</f>
        <v>68000</v>
      </c>
      <c r="O1153" s="9">
        <f>Table1[[#This Row],[Revenue]]-Table1[[#This Row],[COGS]]</f>
        <v>17000</v>
      </c>
      <c r="P1153" s="6">
        <v>1152</v>
      </c>
    </row>
    <row r="1154" spans="1:16">
      <c r="A1154" s="7" t="s">
        <v>52</v>
      </c>
      <c r="B1154" s="7" t="str">
        <f>TEXT(Table1[[#This Row],[Date]],"MMM")</f>
        <v>Mar</v>
      </c>
      <c r="C1154" t="s">
        <v>49</v>
      </c>
      <c r="D1154" t="s">
        <v>28</v>
      </c>
      <c r="E1154" t="s">
        <v>29</v>
      </c>
      <c r="F1154" t="s">
        <v>30</v>
      </c>
      <c r="G1154" t="s">
        <v>71</v>
      </c>
      <c r="H1154" t="s">
        <v>51</v>
      </c>
      <c r="I1154" s="9">
        <v>250000</v>
      </c>
      <c r="J1154">
        <v>9</v>
      </c>
      <c r="K1154" t="s">
        <v>42</v>
      </c>
      <c r="L1154" s="9">
        <f t="shared" ref="L1154:L1217" si="18">I1154-I1154*0.2</f>
        <v>200000</v>
      </c>
      <c r="M1154" s="9">
        <f>Table1[[#This Row],[Unit Price]]*Table1[[#This Row],[Quantity]]</f>
        <v>2250000</v>
      </c>
      <c r="N1154" s="9">
        <f>Table1[[#This Row],[Cost Price]]*Table1[[#This Row],[Quantity]]</f>
        <v>1800000</v>
      </c>
      <c r="O1154" s="9">
        <f>Table1[[#This Row],[Revenue]]-Table1[[#This Row],[COGS]]</f>
        <v>450000</v>
      </c>
      <c r="P1154" s="6">
        <v>1153</v>
      </c>
    </row>
    <row r="1155" spans="1:16">
      <c r="A1155" s="7" t="s">
        <v>168</v>
      </c>
      <c r="B1155" s="7" t="str">
        <f>TEXT(Table1[[#This Row],[Date]],"MMM")</f>
        <v>Apr</v>
      </c>
      <c r="C1155" t="s">
        <v>35</v>
      </c>
      <c r="D1155" t="s">
        <v>36</v>
      </c>
      <c r="E1155" t="s">
        <v>29</v>
      </c>
      <c r="F1155" t="s">
        <v>30</v>
      </c>
      <c r="G1155" t="s">
        <v>71</v>
      </c>
      <c r="H1155" t="s">
        <v>51</v>
      </c>
      <c r="I1155" s="9">
        <v>250000</v>
      </c>
      <c r="J1155">
        <v>2</v>
      </c>
      <c r="K1155" t="s">
        <v>42</v>
      </c>
      <c r="L1155" s="9">
        <f t="shared" si="18"/>
        <v>200000</v>
      </c>
      <c r="M1155" s="9">
        <f>Table1[[#This Row],[Unit Price]]*Table1[[#This Row],[Quantity]]</f>
        <v>500000</v>
      </c>
      <c r="N1155" s="9">
        <f>Table1[[#This Row],[Cost Price]]*Table1[[#This Row],[Quantity]]</f>
        <v>400000</v>
      </c>
      <c r="O1155" s="9">
        <f>Table1[[#This Row],[Revenue]]-Table1[[#This Row],[COGS]]</f>
        <v>100000</v>
      </c>
      <c r="P1155" s="6">
        <v>1154</v>
      </c>
    </row>
    <row r="1156" spans="1:16">
      <c r="A1156" s="7" t="s">
        <v>159</v>
      </c>
      <c r="B1156" s="7" t="str">
        <f>TEXT(Table1[[#This Row],[Date]],"MMM")</f>
        <v>Feb</v>
      </c>
      <c r="C1156" t="s">
        <v>44</v>
      </c>
      <c r="D1156" t="s">
        <v>36</v>
      </c>
      <c r="E1156" t="s">
        <v>29</v>
      </c>
      <c r="F1156" t="s">
        <v>30</v>
      </c>
      <c r="G1156" t="s">
        <v>71</v>
      </c>
      <c r="H1156" t="s">
        <v>51</v>
      </c>
      <c r="I1156" s="9">
        <v>250000</v>
      </c>
      <c r="J1156">
        <v>1</v>
      </c>
      <c r="K1156" t="s">
        <v>69</v>
      </c>
      <c r="L1156" s="9">
        <f t="shared" si="18"/>
        <v>200000</v>
      </c>
      <c r="M1156" s="9">
        <f>Table1[[#This Row],[Unit Price]]*Table1[[#This Row],[Quantity]]</f>
        <v>250000</v>
      </c>
      <c r="N1156" s="9">
        <f>Table1[[#This Row],[Cost Price]]*Table1[[#This Row],[Quantity]]</f>
        <v>200000</v>
      </c>
      <c r="O1156" s="9">
        <f>Table1[[#This Row],[Revenue]]-Table1[[#This Row],[COGS]]</f>
        <v>50000</v>
      </c>
      <c r="P1156" s="6">
        <v>1155</v>
      </c>
    </row>
    <row r="1157" spans="1:16">
      <c r="A1157" s="7" t="s">
        <v>88</v>
      </c>
      <c r="B1157" s="7" t="str">
        <f>TEXT(Table1[[#This Row],[Date]],"MMM")</f>
        <v>Feb</v>
      </c>
      <c r="C1157" t="s">
        <v>27</v>
      </c>
      <c r="D1157" t="s">
        <v>28</v>
      </c>
      <c r="E1157" t="s">
        <v>41</v>
      </c>
      <c r="F1157" t="s">
        <v>37</v>
      </c>
      <c r="G1157" t="s">
        <v>50</v>
      </c>
      <c r="H1157" t="s">
        <v>51</v>
      </c>
      <c r="I1157" s="9">
        <v>300000</v>
      </c>
      <c r="J1157">
        <v>9</v>
      </c>
      <c r="K1157" t="s">
        <v>47</v>
      </c>
      <c r="L1157" s="9">
        <f t="shared" si="18"/>
        <v>240000</v>
      </c>
      <c r="M1157" s="9">
        <f>Table1[[#This Row],[Unit Price]]*Table1[[#This Row],[Quantity]]</f>
        <v>2700000</v>
      </c>
      <c r="N1157" s="9">
        <f>Table1[[#This Row],[Cost Price]]*Table1[[#This Row],[Quantity]]</f>
        <v>2160000</v>
      </c>
      <c r="O1157" s="9">
        <f>Table1[[#This Row],[Revenue]]-Table1[[#This Row],[COGS]]</f>
        <v>540000</v>
      </c>
      <c r="P1157" s="6">
        <v>1156</v>
      </c>
    </row>
    <row r="1158" spans="1:16">
      <c r="A1158" s="7" t="s">
        <v>52</v>
      </c>
      <c r="B1158" s="7" t="str">
        <f>TEXT(Table1[[#This Row],[Date]],"MMM")</f>
        <v>Mar</v>
      </c>
      <c r="C1158" t="s">
        <v>27</v>
      </c>
      <c r="D1158" t="s">
        <v>36</v>
      </c>
      <c r="E1158" t="s">
        <v>41</v>
      </c>
      <c r="F1158" t="s">
        <v>30</v>
      </c>
      <c r="G1158" t="s">
        <v>56</v>
      </c>
      <c r="H1158" t="s">
        <v>32</v>
      </c>
      <c r="I1158" s="9">
        <v>320000</v>
      </c>
      <c r="J1158">
        <v>10</v>
      </c>
      <c r="K1158" t="s">
        <v>42</v>
      </c>
      <c r="L1158" s="9">
        <f t="shared" si="18"/>
        <v>256000</v>
      </c>
      <c r="M1158" s="9">
        <f>Table1[[#This Row],[Unit Price]]*Table1[[#This Row],[Quantity]]</f>
        <v>3200000</v>
      </c>
      <c r="N1158" s="9">
        <f>Table1[[#This Row],[Cost Price]]*Table1[[#This Row],[Quantity]]</f>
        <v>2560000</v>
      </c>
      <c r="O1158" s="9">
        <f>Table1[[#This Row],[Revenue]]-Table1[[#This Row],[COGS]]</f>
        <v>640000</v>
      </c>
      <c r="P1158" s="6">
        <v>1157</v>
      </c>
    </row>
    <row r="1159" spans="1:16">
      <c r="A1159" s="7" t="s">
        <v>175</v>
      </c>
      <c r="B1159" s="7" t="str">
        <f>TEXT(Table1[[#This Row],[Date]],"MMM")</f>
        <v>Jan</v>
      </c>
      <c r="C1159" t="s">
        <v>44</v>
      </c>
      <c r="D1159" t="s">
        <v>36</v>
      </c>
      <c r="E1159" t="s">
        <v>41</v>
      </c>
      <c r="F1159" t="s">
        <v>30</v>
      </c>
      <c r="G1159" t="s">
        <v>54</v>
      </c>
      <c r="H1159" t="s">
        <v>39</v>
      </c>
      <c r="I1159" s="9">
        <v>180000</v>
      </c>
      <c r="J1159">
        <v>9</v>
      </c>
      <c r="K1159" t="s">
        <v>65</v>
      </c>
      <c r="L1159" s="9">
        <f t="shared" si="18"/>
        <v>144000</v>
      </c>
      <c r="M1159" s="9">
        <f>Table1[[#This Row],[Unit Price]]*Table1[[#This Row],[Quantity]]</f>
        <v>1620000</v>
      </c>
      <c r="N1159" s="9">
        <f>Table1[[#This Row],[Cost Price]]*Table1[[#This Row],[Quantity]]</f>
        <v>1296000</v>
      </c>
      <c r="O1159" s="9">
        <f>Table1[[#This Row],[Revenue]]-Table1[[#This Row],[COGS]]</f>
        <v>324000</v>
      </c>
      <c r="P1159" s="6">
        <v>1158</v>
      </c>
    </row>
    <row r="1160" spans="1:16">
      <c r="A1160" s="7" t="s">
        <v>138</v>
      </c>
      <c r="B1160" s="7" t="str">
        <f>TEXT(Table1[[#This Row],[Date]],"MMM")</f>
        <v>Apr</v>
      </c>
      <c r="C1160" t="s">
        <v>44</v>
      </c>
      <c r="D1160" t="s">
        <v>45</v>
      </c>
      <c r="E1160" t="s">
        <v>41</v>
      </c>
      <c r="F1160" t="s">
        <v>30</v>
      </c>
      <c r="G1160" t="s">
        <v>71</v>
      </c>
      <c r="H1160" t="s">
        <v>51</v>
      </c>
      <c r="I1160" s="9">
        <v>250000</v>
      </c>
      <c r="J1160">
        <v>1</v>
      </c>
      <c r="K1160" t="s">
        <v>69</v>
      </c>
      <c r="L1160" s="9">
        <f t="shared" si="18"/>
        <v>200000</v>
      </c>
      <c r="M1160" s="9">
        <f>Table1[[#This Row],[Unit Price]]*Table1[[#This Row],[Quantity]]</f>
        <v>250000</v>
      </c>
      <c r="N1160" s="9">
        <f>Table1[[#This Row],[Cost Price]]*Table1[[#This Row],[Quantity]]</f>
        <v>200000</v>
      </c>
      <c r="O1160" s="9">
        <f>Table1[[#This Row],[Revenue]]-Table1[[#This Row],[COGS]]</f>
        <v>50000</v>
      </c>
      <c r="P1160" s="6">
        <v>1159</v>
      </c>
    </row>
    <row r="1161" spans="1:16">
      <c r="A1161" s="7" t="s">
        <v>109</v>
      </c>
      <c r="B1161" s="7" t="str">
        <f>TEXT(Table1[[#This Row],[Date]],"MMM")</f>
        <v>Mar</v>
      </c>
      <c r="C1161" t="s">
        <v>44</v>
      </c>
      <c r="D1161" t="s">
        <v>53</v>
      </c>
      <c r="E1161" t="s">
        <v>41</v>
      </c>
      <c r="F1161" t="s">
        <v>30</v>
      </c>
      <c r="G1161" t="s">
        <v>31</v>
      </c>
      <c r="H1161" t="s">
        <v>32</v>
      </c>
      <c r="I1161" s="9">
        <v>85000</v>
      </c>
      <c r="J1161">
        <v>7</v>
      </c>
      <c r="K1161" t="s">
        <v>69</v>
      </c>
      <c r="L1161" s="9">
        <f t="shared" si="18"/>
        <v>68000</v>
      </c>
      <c r="M1161" s="9">
        <f>Table1[[#This Row],[Unit Price]]*Table1[[#This Row],[Quantity]]</f>
        <v>595000</v>
      </c>
      <c r="N1161" s="9">
        <f>Table1[[#This Row],[Cost Price]]*Table1[[#This Row],[Quantity]]</f>
        <v>476000</v>
      </c>
      <c r="O1161" s="9">
        <f>Table1[[#This Row],[Revenue]]-Table1[[#This Row],[COGS]]</f>
        <v>119000</v>
      </c>
      <c r="P1161" s="6">
        <v>1160</v>
      </c>
    </row>
    <row r="1162" spans="1:16">
      <c r="A1162" s="7" t="s">
        <v>165</v>
      </c>
      <c r="B1162" s="7" t="str">
        <f>TEXT(Table1[[#This Row],[Date]],"MMM")</f>
        <v>Apr</v>
      </c>
      <c r="C1162" t="s">
        <v>27</v>
      </c>
      <c r="D1162" t="s">
        <v>28</v>
      </c>
      <c r="E1162" t="s">
        <v>29</v>
      </c>
      <c r="F1162" t="s">
        <v>37</v>
      </c>
      <c r="G1162" t="s">
        <v>38</v>
      </c>
      <c r="H1162" t="s">
        <v>39</v>
      </c>
      <c r="I1162" s="9">
        <v>30000</v>
      </c>
      <c r="J1162">
        <v>6</v>
      </c>
      <c r="K1162" t="s">
        <v>47</v>
      </c>
      <c r="L1162" s="9">
        <f t="shared" si="18"/>
        <v>24000</v>
      </c>
      <c r="M1162" s="9">
        <f>Table1[[#This Row],[Unit Price]]*Table1[[#This Row],[Quantity]]</f>
        <v>180000</v>
      </c>
      <c r="N1162" s="9">
        <f>Table1[[#This Row],[Cost Price]]*Table1[[#This Row],[Quantity]]</f>
        <v>144000</v>
      </c>
      <c r="O1162" s="9">
        <f>Table1[[#This Row],[Revenue]]-Table1[[#This Row],[COGS]]</f>
        <v>36000</v>
      </c>
      <c r="P1162" s="6">
        <v>1161</v>
      </c>
    </row>
    <row r="1163" spans="1:16">
      <c r="A1163" s="7" t="s">
        <v>133</v>
      </c>
      <c r="B1163" s="7" t="str">
        <f>TEXT(Table1[[#This Row],[Date]],"MMM")</f>
        <v>Jan</v>
      </c>
      <c r="C1163" t="s">
        <v>27</v>
      </c>
      <c r="D1163" t="s">
        <v>36</v>
      </c>
      <c r="E1163" t="s">
        <v>29</v>
      </c>
      <c r="F1163" t="s">
        <v>37</v>
      </c>
      <c r="G1163" t="s">
        <v>38</v>
      </c>
      <c r="H1163" t="s">
        <v>39</v>
      </c>
      <c r="I1163" s="9">
        <v>30000</v>
      </c>
      <c r="J1163">
        <v>6</v>
      </c>
      <c r="K1163" t="s">
        <v>42</v>
      </c>
      <c r="L1163" s="9">
        <f t="shared" si="18"/>
        <v>24000</v>
      </c>
      <c r="M1163" s="9">
        <f>Table1[[#This Row],[Unit Price]]*Table1[[#This Row],[Quantity]]</f>
        <v>180000</v>
      </c>
      <c r="N1163" s="9">
        <f>Table1[[#This Row],[Cost Price]]*Table1[[#This Row],[Quantity]]</f>
        <v>144000</v>
      </c>
      <c r="O1163" s="9">
        <f>Table1[[#This Row],[Revenue]]-Table1[[#This Row],[COGS]]</f>
        <v>36000</v>
      </c>
      <c r="P1163" s="6">
        <v>1162</v>
      </c>
    </row>
    <row r="1164" spans="1:16">
      <c r="A1164" s="7" t="s">
        <v>135</v>
      </c>
      <c r="B1164" s="7" t="str">
        <f>TEXT(Table1[[#This Row],[Date]],"MMM")</f>
        <v>Mar</v>
      </c>
      <c r="C1164" t="s">
        <v>27</v>
      </c>
      <c r="D1164" t="s">
        <v>28</v>
      </c>
      <c r="E1164" t="s">
        <v>41</v>
      </c>
      <c r="F1164" t="s">
        <v>37</v>
      </c>
      <c r="G1164" t="s">
        <v>56</v>
      </c>
      <c r="H1164" t="s">
        <v>32</v>
      </c>
      <c r="I1164" s="9">
        <v>320000</v>
      </c>
      <c r="J1164">
        <v>2</v>
      </c>
      <c r="K1164" t="s">
        <v>65</v>
      </c>
      <c r="L1164" s="9">
        <f t="shared" si="18"/>
        <v>256000</v>
      </c>
      <c r="M1164" s="9">
        <f>Table1[[#This Row],[Unit Price]]*Table1[[#This Row],[Quantity]]</f>
        <v>640000</v>
      </c>
      <c r="N1164" s="9">
        <f>Table1[[#This Row],[Cost Price]]*Table1[[#This Row],[Quantity]]</f>
        <v>512000</v>
      </c>
      <c r="O1164" s="9">
        <f>Table1[[#This Row],[Revenue]]-Table1[[#This Row],[COGS]]</f>
        <v>128000</v>
      </c>
      <c r="P1164" s="6">
        <v>1163</v>
      </c>
    </row>
    <row r="1165" spans="1:16">
      <c r="A1165" s="7" t="s">
        <v>176</v>
      </c>
      <c r="B1165" s="7" t="str">
        <f>TEXT(Table1[[#This Row],[Date]],"MMM")</f>
        <v>Jan</v>
      </c>
      <c r="C1165" t="s">
        <v>27</v>
      </c>
      <c r="D1165" t="s">
        <v>53</v>
      </c>
      <c r="E1165" t="s">
        <v>29</v>
      </c>
      <c r="F1165" t="s">
        <v>37</v>
      </c>
      <c r="G1165" t="s">
        <v>46</v>
      </c>
      <c r="H1165" t="s">
        <v>39</v>
      </c>
      <c r="I1165" s="9">
        <v>60000</v>
      </c>
      <c r="J1165">
        <v>6</v>
      </c>
      <c r="K1165" t="s">
        <v>42</v>
      </c>
      <c r="L1165" s="9">
        <f t="shared" si="18"/>
        <v>48000</v>
      </c>
      <c r="M1165" s="9">
        <f>Table1[[#This Row],[Unit Price]]*Table1[[#This Row],[Quantity]]</f>
        <v>360000</v>
      </c>
      <c r="N1165" s="9">
        <f>Table1[[#This Row],[Cost Price]]*Table1[[#This Row],[Quantity]]</f>
        <v>288000</v>
      </c>
      <c r="O1165" s="9">
        <f>Table1[[#This Row],[Revenue]]-Table1[[#This Row],[COGS]]</f>
        <v>72000</v>
      </c>
      <c r="P1165" s="6">
        <v>1164</v>
      </c>
    </row>
    <row r="1166" spans="1:16">
      <c r="A1166" s="7" t="s">
        <v>177</v>
      </c>
      <c r="B1166" s="7" t="str">
        <f>TEXT(Table1[[#This Row],[Date]],"MMM")</f>
        <v>Mar</v>
      </c>
      <c r="C1166" t="s">
        <v>27</v>
      </c>
      <c r="D1166" t="s">
        <v>36</v>
      </c>
      <c r="E1166" t="s">
        <v>29</v>
      </c>
      <c r="F1166" t="s">
        <v>37</v>
      </c>
      <c r="G1166" t="s">
        <v>73</v>
      </c>
      <c r="H1166" t="s">
        <v>39</v>
      </c>
      <c r="I1166" s="9">
        <v>220000</v>
      </c>
      <c r="J1166">
        <v>10</v>
      </c>
      <c r="K1166" t="s">
        <v>69</v>
      </c>
      <c r="L1166" s="9">
        <f t="shared" si="18"/>
        <v>176000</v>
      </c>
      <c r="M1166" s="9">
        <f>Table1[[#This Row],[Unit Price]]*Table1[[#This Row],[Quantity]]</f>
        <v>2200000</v>
      </c>
      <c r="N1166" s="9">
        <f>Table1[[#This Row],[Cost Price]]*Table1[[#This Row],[Quantity]]</f>
        <v>1760000</v>
      </c>
      <c r="O1166" s="9">
        <f>Table1[[#This Row],[Revenue]]-Table1[[#This Row],[COGS]]</f>
        <v>440000</v>
      </c>
      <c r="P1166" s="6">
        <v>1165</v>
      </c>
    </row>
    <row r="1167" spans="1:16">
      <c r="A1167" s="7" t="s">
        <v>108</v>
      </c>
      <c r="B1167" s="7" t="str">
        <f>TEXT(Table1[[#This Row],[Date]],"MMM")</f>
        <v>Apr</v>
      </c>
      <c r="C1167" t="s">
        <v>27</v>
      </c>
      <c r="D1167" t="s">
        <v>53</v>
      </c>
      <c r="E1167" t="s">
        <v>29</v>
      </c>
      <c r="F1167" t="s">
        <v>30</v>
      </c>
      <c r="G1167" t="s">
        <v>46</v>
      </c>
      <c r="H1167" t="s">
        <v>39</v>
      </c>
      <c r="I1167" s="9">
        <v>60000</v>
      </c>
      <c r="J1167">
        <v>6</v>
      </c>
      <c r="K1167" t="s">
        <v>69</v>
      </c>
      <c r="L1167" s="9">
        <f t="shared" si="18"/>
        <v>48000</v>
      </c>
      <c r="M1167" s="9">
        <f>Table1[[#This Row],[Unit Price]]*Table1[[#This Row],[Quantity]]</f>
        <v>360000</v>
      </c>
      <c r="N1167" s="9">
        <f>Table1[[#This Row],[Cost Price]]*Table1[[#This Row],[Quantity]]</f>
        <v>288000</v>
      </c>
      <c r="O1167" s="9">
        <f>Table1[[#This Row],[Revenue]]-Table1[[#This Row],[COGS]]</f>
        <v>72000</v>
      </c>
      <c r="P1167" s="6">
        <v>1166</v>
      </c>
    </row>
    <row r="1168" spans="1:16">
      <c r="A1168" s="7" t="s">
        <v>84</v>
      </c>
      <c r="B1168" s="7" t="str">
        <f>TEXT(Table1[[#This Row],[Date]],"MMM")</f>
        <v>Jan</v>
      </c>
      <c r="C1168" t="s">
        <v>27</v>
      </c>
      <c r="D1168" t="s">
        <v>45</v>
      </c>
      <c r="E1168" t="s">
        <v>29</v>
      </c>
      <c r="F1168" t="s">
        <v>30</v>
      </c>
      <c r="G1168" t="s">
        <v>73</v>
      </c>
      <c r="H1168" t="s">
        <v>39</v>
      </c>
      <c r="I1168" s="9">
        <v>220000</v>
      </c>
      <c r="J1168">
        <v>7</v>
      </c>
      <c r="K1168" t="s">
        <v>65</v>
      </c>
      <c r="L1168" s="9">
        <f t="shared" si="18"/>
        <v>176000</v>
      </c>
      <c r="M1168" s="9">
        <f>Table1[[#This Row],[Unit Price]]*Table1[[#This Row],[Quantity]]</f>
        <v>1540000</v>
      </c>
      <c r="N1168" s="9">
        <f>Table1[[#This Row],[Cost Price]]*Table1[[#This Row],[Quantity]]</f>
        <v>1232000</v>
      </c>
      <c r="O1168" s="9">
        <f>Table1[[#This Row],[Revenue]]-Table1[[#This Row],[COGS]]</f>
        <v>308000</v>
      </c>
      <c r="P1168" s="6">
        <v>1167</v>
      </c>
    </row>
    <row r="1169" spans="1:16">
      <c r="A1169" s="7" t="s">
        <v>63</v>
      </c>
      <c r="B1169" s="7" t="str">
        <f>TEXT(Table1[[#This Row],[Date]],"MMM")</f>
        <v>Jan</v>
      </c>
      <c r="C1169" t="s">
        <v>35</v>
      </c>
      <c r="D1169" t="s">
        <v>36</v>
      </c>
      <c r="E1169" t="s">
        <v>41</v>
      </c>
      <c r="F1169" t="s">
        <v>37</v>
      </c>
      <c r="G1169" t="s">
        <v>67</v>
      </c>
      <c r="H1169" t="s">
        <v>51</v>
      </c>
      <c r="I1169" s="9">
        <v>420000</v>
      </c>
      <c r="J1169">
        <v>8</v>
      </c>
      <c r="K1169" t="s">
        <v>65</v>
      </c>
      <c r="L1169" s="9">
        <f t="shared" si="18"/>
        <v>336000</v>
      </c>
      <c r="M1169" s="9">
        <f>Table1[[#This Row],[Unit Price]]*Table1[[#This Row],[Quantity]]</f>
        <v>3360000</v>
      </c>
      <c r="N1169" s="9">
        <f>Table1[[#This Row],[Cost Price]]*Table1[[#This Row],[Quantity]]</f>
        <v>2688000</v>
      </c>
      <c r="O1169" s="9">
        <f>Table1[[#This Row],[Revenue]]-Table1[[#This Row],[COGS]]</f>
        <v>672000</v>
      </c>
      <c r="P1169" s="6">
        <v>1168</v>
      </c>
    </row>
    <row r="1170" spans="1:16">
      <c r="A1170" s="7" t="s">
        <v>100</v>
      </c>
      <c r="B1170" s="7" t="str">
        <f>TEXT(Table1[[#This Row],[Date]],"MMM")</f>
        <v>Jan</v>
      </c>
      <c r="C1170" t="s">
        <v>35</v>
      </c>
      <c r="D1170" t="s">
        <v>36</v>
      </c>
      <c r="E1170" t="s">
        <v>29</v>
      </c>
      <c r="F1170" t="s">
        <v>37</v>
      </c>
      <c r="G1170" t="s">
        <v>67</v>
      </c>
      <c r="H1170" t="s">
        <v>51</v>
      </c>
      <c r="I1170" s="9">
        <v>420000</v>
      </c>
      <c r="J1170">
        <v>1</v>
      </c>
      <c r="K1170" t="s">
        <v>69</v>
      </c>
      <c r="L1170" s="9">
        <f t="shared" si="18"/>
        <v>336000</v>
      </c>
      <c r="M1170" s="9">
        <f>Table1[[#This Row],[Unit Price]]*Table1[[#This Row],[Quantity]]</f>
        <v>420000</v>
      </c>
      <c r="N1170" s="9">
        <f>Table1[[#This Row],[Cost Price]]*Table1[[#This Row],[Quantity]]</f>
        <v>336000</v>
      </c>
      <c r="O1170" s="9">
        <f>Table1[[#This Row],[Revenue]]-Table1[[#This Row],[COGS]]</f>
        <v>84000</v>
      </c>
      <c r="P1170" s="6">
        <v>1169</v>
      </c>
    </row>
    <row r="1171" spans="1:16">
      <c r="A1171" s="7" t="s">
        <v>177</v>
      </c>
      <c r="B1171" s="7" t="str">
        <f>TEXT(Table1[[#This Row],[Date]],"MMM")</f>
        <v>Mar</v>
      </c>
      <c r="C1171" t="s">
        <v>35</v>
      </c>
      <c r="D1171" t="s">
        <v>28</v>
      </c>
      <c r="E1171" t="s">
        <v>41</v>
      </c>
      <c r="F1171" t="s">
        <v>37</v>
      </c>
      <c r="G1171" t="s">
        <v>71</v>
      </c>
      <c r="H1171" t="s">
        <v>51</v>
      </c>
      <c r="I1171" s="9">
        <v>250000</v>
      </c>
      <c r="J1171">
        <v>9</v>
      </c>
      <c r="K1171" t="s">
        <v>65</v>
      </c>
      <c r="L1171" s="9">
        <f t="shared" si="18"/>
        <v>200000</v>
      </c>
      <c r="M1171" s="9">
        <f>Table1[[#This Row],[Unit Price]]*Table1[[#This Row],[Quantity]]</f>
        <v>2250000</v>
      </c>
      <c r="N1171" s="9">
        <f>Table1[[#This Row],[Cost Price]]*Table1[[#This Row],[Quantity]]</f>
        <v>1800000</v>
      </c>
      <c r="O1171" s="9">
        <f>Table1[[#This Row],[Revenue]]-Table1[[#This Row],[COGS]]</f>
        <v>450000</v>
      </c>
      <c r="P1171" s="6">
        <v>1170</v>
      </c>
    </row>
    <row r="1172" spans="1:16">
      <c r="A1172" s="7" t="s">
        <v>174</v>
      </c>
      <c r="B1172" s="7" t="str">
        <f>TEXT(Table1[[#This Row],[Date]],"MMM")</f>
        <v>Feb</v>
      </c>
      <c r="C1172" t="s">
        <v>49</v>
      </c>
      <c r="D1172" t="s">
        <v>53</v>
      </c>
      <c r="E1172" t="s">
        <v>29</v>
      </c>
      <c r="F1172" t="s">
        <v>30</v>
      </c>
      <c r="G1172" t="s">
        <v>38</v>
      </c>
      <c r="H1172" t="s">
        <v>39</v>
      </c>
      <c r="I1172" s="9">
        <v>30000</v>
      </c>
      <c r="J1172">
        <v>3</v>
      </c>
      <c r="K1172" t="s">
        <v>42</v>
      </c>
      <c r="L1172" s="9">
        <f t="shared" si="18"/>
        <v>24000</v>
      </c>
      <c r="M1172" s="9">
        <f>Table1[[#This Row],[Unit Price]]*Table1[[#This Row],[Quantity]]</f>
        <v>90000</v>
      </c>
      <c r="N1172" s="9">
        <f>Table1[[#This Row],[Cost Price]]*Table1[[#This Row],[Quantity]]</f>
        <v>72000</v>
      </c>
      <c r="O1172" s="9">
        <f>Table1[[#This Row],[Revenue]]-Table1[[#This Row],[COGS]]</f>
        <v>18000</v>
      </c>
      <c r="P1172" s="6">
        <v>1171</v>
      </c>
    </row>
    <row r="1173" spans="1:16">
      <c r="A1173" s="7" t="s">
        <v>76</v>
      </c>
      <c r="B1173" s="7" t="str">
        <f>TEXT(Table1[[#This Row],[Date]],"MMM")</f>
        <v>May</v>
      </c>
      <c r="C1173" t="s">
        <v>49</v>
      </c>
      <c r="D1173" t="s">
        <v>45</v>
      </c>
      <c r="E1173" t="s">
        <v>29</v>
      </c>
      <c r="F1173" t="s">
        <v>30</v>
      </c>
      <c r="G1173" t="s">
        <v>56</v>
      </c>
      <c r="H1173" t="s">
        <v>32</v>
      </c>
      <c r="I1173" s="9">
        <v>320000</v>
      </c>
      <c r="J1173">
        <v>1</v>
      </c>
      <c r="K1173" t="s">
        <v>69</v>
      </c>
      <c r="L1173" s="9">
        <f t="shared" si="18"/>
        <v>256000</v>
      </c>
      <c r="M1173" s="9">
        <f>Table1[[#This Row],[Unit Price]]*Table1[[#This Row],[Quantity]]</f>
        <v>320000</v>
      </c>
      <c r="N1173" s="9">
        <f>Table1[[#This Row],[Cost Price]]*Table1[[#This Row],[Quantity]]</f>
        <v>256000</v>
      </c>
      <c r="O1173" s="9">
        <f>Table1[[#This Row],[Revenue]]-Table1[[#This Row],[COGS]]</f>
        <v>64000</v>
      </c>
      <c r="P1173" s="6">
        <v>1172</v>
      </c>
    </row>
    <row r="1174" spans="1:16">
      <c r="A1174" s="7" t="s">
        <v>159</v>
      </c>
      <c r="B1174" s="7" t="str">
        <f>TEXT(Table1[[#This Row],[Date]],"MMM")</f>
        <v>Feb</v>
      </c>
      <c r="C1174" t="s">
        <v>27</v>
      </c>
      <c r="D1174" t="s">
        <v>53</v>
      </c>
      <c r="E1174" t="s">
        <v>41</v>
      </c>
      <c r="F1174" t="s">
        <v>30</v>
      </c>
      <c r="G1174" t="s">
        <v>56</v>
      </c>
      <c r="H1174" t="s">
        <v>32</v>
      </c>
      <c r="I1174" s="9">
        <v>320000</v>
      </c>
      <c r="J1174">
        <v>10</v>
      </c>
      <c r="K1174" t="s">
        <v>47</v>
      </c>
      <c r="L1174" s="9">
        <f t="shared" si="18"/>
        <v>256000</v>
      </c>
      <c r="M1174" s="9">
        <f>Table1[[#This Row],[Unit Price]]*Table1[[#This Row],[Quantity]]</f>
        <v>3200000</v>
      </c>
      <c r="N1174" s="9">
        <f>Table1[[#This Row],[Cost Price]]*Table1[[#This Row],[Quantity]]</f>
        <v>2560000</v>
      </c>
      <c r="O1174" s="9">
        <f>Table1[[#This Row],[Revenue]]-Table1[[#This Row],[COGS]]</f>
        <v>640000</v>
      </c>
      <c r="P1174" s="6">
        <v>1173</v>
      </c>
    </row>
    <row r="1175" spans="1:16">
      <c r="A1175" s="7" t="s">
        <v>106</v>
      </c>
      <c r="B1175" s="7" t="str">
        <f>TEXT(Table1[[#This Row],[Date]],"MMM")</f>
        <v>Apr</v>
      </c>
      <c r="C1175" t="s">
        <v>49</v>
      </c>
      <c r="D1175" t="s">
        <v>36</v>
      </c>
      <c r="E1175" t="s">
        <v>41</v>
      </c>
      <c r="F1175" t="s">
        <v>30</v>
      </c>
      <c r="G1175" t="s">
        <v>54</v>
      </c>
      <c r="H1175" t="s">
        <v>39</v>
      </c>
      <c r="I1175" s="9">
        <v>180000</v>
      </c>
      <c r="J1175">
        <v>4</v>
      </c>
      <c r="K1175" t="s">
        <v>47</v>
      </c>
      <c r="L1175" s="9">
        <f t="shared" si="18"/>
        <v>144000</v>
      </c>
      <c r="M1175" s="9">
        <f>Table1[[#This Row],[Unit Price]]*Table1[[#This Row],[Quantity]]</f>
        <v>720000</v>
      </c>
      <c r="N1175" s="9">
        <f>Table1[[#This Row],[Cost Price]]*Table1[[#This Row],[Quantity]]</f>
        <v>576000</v>
      </c>
      <c r="O1175" s="9">
        <f>Table1[[#This Row],[Revenue]]-Table1[[#This Row],[COGS]]</f>
        <v>144000</v>
      </c>
      <c r="P1175" s="6">
        <v>1174</v>
      </c>
    </row>
    <row r="1176" spans="1:16">
      <c r="A1176" s="7" t="s">
        <v>75</v>
      </c>
      <c r="B1176" s="7" t="str">
        <f>TEXT(Table1[[#This Row],[Date]],"MMM")</f>
        <v>Mar</v>
      </c>
      <c r="C1176" t="s">
        <v>27</v>
      </c>
      <c r="D1176" t="s">
        <v>36</v>
      </c>
      <c r="E1176" t="s">
        <v>29</v>
      </c>
      <c r="F1176" t="s">
        <v>37</v>
      </c>
      <c r="G1176" t="s">
        <v>67</v>
      </c>
      <c r="H1176" t="s">
        <v>51</v>
      </c>
      <c r="I1176" s="9">
        <v>420000</v>
      </c>
      <c r="J1176">
        <v>5</v>
      </c>
      <c r="K1176" t="s">
        <v>65</v>
      </c>
      <c r="L1176" s="9">
        <f t="shared" si="18"/>
        <v>336000</v>
      </c>
      <c r="M1176" s="9">
        <f>Table1[[#This Row],[Unit Price]]*Table1[[#This Row],[Quantity]]</f>
        <v>2100000</v>
      </c>
      <c r="N1176" s="9">
        <f>Table1[[#This Row],[Cost Price]]*Table1[[#This Row],[Quantity]]</f>
        <v>1680000</v>
      </c>
      <c r="O1176" s="9">
        <f>Table1[[#This Row],[Revenue]]-Table1[[#This Row],[COGS]]</f>
        <v>420000</v>
      </c>
      <c r="P1176" s="6">
        <v>1175</v>
      </c>
    </row>
    <row r="1177" spans="1:16">
      <c r="A1177" s="7" t="s">
        <v>102</v>
      </c>
      <c r="B1177" s="7" t="str">
        <f>TEXT(Table1[[#This Row],[Date]],"MMM")</f>
        <v>Mar</v>
      </c>
      <c r="C1177" t="s">
        <v>49</v>
      </c>
      <c r="D1177" t="s">
        <v>53</v>
      </c>
      <c r="E1177" t="s">
        <v>29</v>
      </c>
      <c r="F1177" t="s">
        <v>30</v>
      </c>
      <c r="G1177" t="s">
        <v>46</v>
      </c>
      <c r="H1177" t="s">
        <v>39</v>
      </c>
      <c r="I1177" s="9">
        <v>60000</v>
      </c>
      <c r="J1177">
        <v>5</v>
      </c>
      <c r="K1177" t="s">
        <v>42</v>
      </c>
      <c r="L1177" s="9">
        <f t="shared" si="18"/>
        <v>48000</v>
      </c>
      <c r="M1177" s="9">
        <f>Table1[[#This Row],[Unit Price]]*Table1[[#This Row],[Quantity]]</f>
        <v>300000</v>
      </c>
      <c r="N1177" s="9">
        <f>Table1[[#This Row],[Cost Price]]*Table1[[#This Row],[Quantity]]</f>
        <v>240000</v>
      </c>
      <c r="O1177" s="9">
        <f>Table1[[#This Row],[Revenue]]-Table1[[#This Row],[COGS]]</f>
        <v>60000</v>
      </c>
      <c r="P1177" s="6">
        <v>1176</v>
      </c>
    </row>
    <row r="1178" spans="1:16">
      <c r="A1178" s="7" t="s">
        <v>74</v>
      </c>
      <c r="B1178" s="7" t="str">
        <f>TEXT(Table1[[#This Row],[Date]],"MMM")</f>
        <v>Feb</v>
      </c>
      <c r="C1178" t="s">
        <v>49</v>
      </c>
      <c r="D1178" t="s">
        <v>53</v>
      </c>
      <c r="E1178" t="s">
        <v>29</v>
      </c>
      <c r="F1178" t="s">
        <v>37</v>
      </c>
      <c r="G1178" t="s">
        <v>46</v>
      </c>
      <c r="H1178" t="s">
        <v>39</v>
      </c>
      <c r="I1178" s="9">
        <v>60000</v>
      </c>
      <c r="J1178">
        <v>9</v>
      </c>
      <c r="K1178" t="s">
        <v>65</v>
      </c>
      <c r="L1178" s="9">
        <f t="shared" si="18"/>
        <v>48000</v>
      </c>
      <c r="M1178" s="9">
        <f>Table1[[#This Row],[Unit Price]]*Table1[[#This Row],[Quantity]]</f>
        <v>540000</v>
      </c>
      <c r="N1178" s="9">
        <f>Table1[[#This Row],[Cost Price]]*Table1[[#This Row],[Quantity]]</f>
        <v>432000</v>
      </c>
      <c r="O1178" s="9">
        <f>Table1[[#This Row],[Revenue]]-Table1[[#This Row],[COGS]]</f>
        <v>108000</v>
      </c>
      <c r="P1178" s="6">
        <v>1177</v>
      </c>
    </row>
    <row r="1179" spans="1:16">
      <c r="A1179" s="7" t="s">
        <v>26</v>
      </c>
      <c r="B1179" s="7" t="str">
        <f>TEXT(Table1[[#This Row],[Date]],"MMM")</f>
        <v>Jan</v>
      </c>
      <c r="C1179" t="s">
        <v>35</v>
      </c>
      <c r="D1179" t="s">
        <v>45</v>
      </c>
      <c r="E1179" t="s">
        <v>41</v>
      </c>
      <c r="F1179" t="s">
        <v>37</v>
      </c>
      <c r="G1179" t="s">
        <v>50</v>
      </c>
      <c r="H1179" t="s">
        <v>51</v>
      </c>
      <c r="I1179" s="9">
        <v>300000</v>
      </c>
      <c r="J1179">
        <v>10</v>
      </c>
      <c r="K1179" t="s">
        <v>42</v>
      </c>
      <c r="L1179" s="9">
        <f t="shared" si="18"/>
        <v>240000</v>
      </c>
      <c r="M1179" s="9">
        <f>Table1[[#This Row],[Unit Price]]*Table1[[#This Row],[Quantity]]</f>
        <v>3000000</v>
      </c>
      <c r="N1179" s="9">
        <f>Table1[[#This Row],[Cost Price]]*Table1[[#This Row],[Quantity]]</f>
        <v>2400000</v>
      </c>
      <c r="O1179" s="9">
        <f>Table1[[#This Row],[Revenue]]-Table1[[#This Row],[COGS]]</f>
        <v>600000</v>
      </c>
      <c r="P1179" s="6">
        <v>1178</v>
      </c>
    </row>
    <row r="1180" spans="1:16">
      <c r="A1180" s="7" t="s">
        <v>123</v>
      </c>
      <c r="B1180" s="7" t="str">
        <f>TEXT(Table1[[#This Row],[Date]],"MMM")</f>
        <v>Apr</v>
      </c>
      <c r="C1180" t="s">
        <v>44</v>
      </c>
      <c r="D1180" t="s">
        <v>53</v>
      </c>
      <c r="E1180" t="s">
        <v>29</v>
      </c>
      <c r="F1180" t="s">
        <v>37</v>
      </c>
      <c r="G1180" t="s">
        <v>67</v>
      </c>
      <c r="H1180" t="s">
        <v>51</v>
      </c>
      <c r="I1180" s="9">
        <v>420000</v>
      </c>
      <c r="J1180">
        <v>8</v>
      </c>
      <c r="K1180" t="s">
        <v>69</v>
      </c>
      <c r="L1180" s="9">
        <f t="shared" si="18"/>
        <v>336000</v>
      </c>
      <c r="M1180" s="9">
        <f>Table1[[#This Row],[Unit Price]]*Table1[[#This Row],[Quantity]]</f>
        <v>3360000</v>
      </c>
      <c r="N1180" s="9">
        <f>Table1[[#This Row],[Cost Price]]*Table1[[#This Row],[Quantity]]</f>
        <v>2688000</v>
      </c>
      <c r="O1180" s="9">
        <f>Table1[[#This Row],[Revenue]]-Table1[[#This Row],[COGS]]</f>
        <v>672000</v>
      </c>
      <c r="P1180" s="6">
        <v>1179</v>
      </c>
    </row>
    <row r="1181" spans="1:16">
      <c r="A1181" s="7" t="s">
        <v>55</v>
      </c>
      <c r="B1181" s="7" t="str">
        <f>TEXT(Table1[[#This Row],[Date]],"MMM")</f>
        <v>Mar</v>
      </c>
      <c r="C1181" t="s">
        <v>44</v>
      </c>
      <c r="D1181" t="s">
        <v>45</v>
      </c>
      <c r="E1181" t="s">
        <v>41</v>
      </c>
      <c r="F1181" t="s">
        <v>37</v>
      </c>
      <c r="G1181" t="s">
        <v>54</v>
      </c>
      <c r="H1181" t="s">
        <v>39</v>
      </c>
      <c r="I1181" s="9">
        <v>180000</v>
      </c>
      <c r="J1181">
        <v>4</v>
      </c>
      <c r="K1181" t="s">
        <v>42</v>
      </c>
      <c r="L1181" s="9">
        <f t="shared" si="18"/>
        <v>144000</v>
      </c>
      <c r="M1181" s="9">
        <f>Table1[[#This Row],[Unit Price]]*Table1[[#This Row],[Quantity]]</f>
        <v>720000</v>
      </c>
      <c r="N1181" s="9">
        <f>Table1[[#This Row],[Cost Price]]*Table1[[#This Row],[Quantity]]</f>
        <v>576000</v>
      </c>
      <c r="O1181" s="9">
        <f>Table1[[#This Row],[Revenue]]-Table1[[#This Row],[COGS]]</f>
        <v>144000</v>
      </c>
      <c r="P1181" s="6">
        <v>1180</v>
      </c>
    </row>
    <row r="1182" spans="1:16">
      <c r="A1182" s="7" t="s">
        <v>86</v>
      </c>
      <c r="B1182" s="7" t="str">
        <f>TEXT(Table1[[#This Row],[Date]],"MMM")</f>
        <v>Feb</v>
      </c>
      <c r="C1182" t="s">
        <v>35</v>
      </c>
      <c r="D1182" t="s">
        <v>45</v>
      </c>
      <c r="E1182" t="s">
        <v>29</v>
      </c>
      <c r="F1182" t="s">
        <v>37</v>
      </c>
      <c r="G1182" t="s">
        <v>38</v>
      </c>
      <c r="H1182" t="s">
        <v>39</v>
      </c>
      <c r="I1182" s="9">
        <v>30000</v>
      </c>
      <c r="J1182">
        <v>5</v>
      </c>
      <c r="K1182" t="s">
        <v>65</v>
      </c>
      <c r="L1182" s="9">
        <f t="shared" si="18"/>
        <v>24000</v>
      </c>
      <c r="M1182" s="9">
        <f>Table1[[#This Row],[Unit Price]]*Table1[[#This Row],[Quantity]]</f>
        <v>150000</v>
      </c>
      <c r="N1182" s="9">
        <f>Table1[[#This Row],[Cost Price]]*Table1[[#This Row],[Quantity]]</f>
        <v>120000</v>
      </c>
      <c r="O1182" s="9">
        <f>Table1[[#This Row],[Revenue]]-Table1[[#This Row],[COGS]]</f>
        <v>30000</v>
      </c>
      <c r="P1182" s="6">
        <v>1181</v>
      </c>
    </row>
    <row r="1183" spans="1:16">
      <c r="A1183" s="7" t="s">
        <v>92</v>
      </c>
      <c r="B1183" s="7" t="str">
        <f>TEXT(Table1[[#This Row],[Date]],"MMM")</f>
        <v>Jan</v>
      </c>
      <c r="C1183" t="s">
        <v>49</v>
      </c>
      <c r="D1183" t="s">
        <v>36</v>
      </c>
      <c r="E1183" t="s">
        <v>29</v>
      </c>
      <c r="F1183" t="s">
        <v>30</v>
      </c>
      <c r="G1183" t="s">
        <v>71</v>
      </c>
      <c r="H1183" t="s">
        <v>51</v>
      </c>
      <c r="I1183" s="9">
        <v>250000</v>
      </c>
      <c r="J1183">
        <v>3</v>
      </c>
      <c r="K1183" t="s">
        <v>42</v>
      </c>
      <c r="L1183" s="9">
        <f t="shared" si="18"/>
        <v>200000</v>
      </c>
      <c r="M1183" s="9">
        <f>Table1[[#This Row],[Unit Price]]*Table1[[#This Row],[Quantity]]</f>
        <v>750000</v>
      </c>
      <c r="N1183" s="9">
        <f>Table1[[#This Row],[Cost Price]]*Table1[[#This Row],[Quantity]]</f>
        <v>600000</v>
      </c>
      <c r="O1183" s="9">
        <f>Table1[[#This Row],[Revenue]]-Table1[[#This Row],[COGS]]</f>
        <v>150000</v>
      </c>
      <c r="P1183" s="6">
        <v>1182</v>
      </c>
    </row>
    <row r="1184" spans="1:16">
      <c r="A1184" s="7" t="s">
        <v>59</v>
      </c>
      <c r="B1184" s="7" t="str">
        <f>TEXT(Table1[[#This Row],[Date]],"MMM")</f>
        <v>Mar</v>
      </c>
      <c r="C1184" t="s">
        <v>35</v>
      </c>
      <c r="D1184" t="s">
        <v>45</v>
      </c>
      <c r="E1184" t="s">
        <v>41</v>
      </c>
      <c r="F1184" t="s">
        <v>37</v>
      </c>
      <c r="G1184" t="s">
        <v>31</v>
      </c>
      <c r="H1184" t="s">
        <v>32</v>
      </c>
      <c r="I1184" s="9">
        <v>85000</v>
      </c>
      <c r="J1184">
        <v>8</v>
      </c>
      <c r="K1184" t="s">
        <v>47</v>
      </c>
      <c r="L1184" s="9">
        <f t="shared" si="18"/>
        <v>68000</v>
      </c>
      <c r="M1184" s="9">
        <f>Table1[[#This Row],[Unit Price]]*Table1[[#This Row],[Quantity]]</f>
        <v>680000</v>
      </c>
      <c r="N1184" s="9">
        <f>Table1[[#This Row],[Cost Price]]*Table1[[#This Row],[Quantity]]</f>
        <v>544000</v>
      </c>
      <c r="O1184" s="9">
        <f>Table1[[#This Row],[Revenue]]-Table1[[#This Row],[COGS]]</f>
        <v>136000</v>
      </c>
      <c r="P1184" s="6">
        <v>1183</v>
      </c>
    </row>
    <row r="1185" spans="1:16">
      <c r="A1185" s="7" t="s">
        <v>152</v>
      </c>
      <c r="B1185" s="7" t="str">
        <f>TEXT(Table1[[#This Row],[Date]],"MMM")</f>
        <v>Jan</v>
      </c>
      <c r="C1185" t="s">
        <v>44</v>
      </c>
      <c r="D1185" t="s">
        <v>28</v>
      </c>
      <c r="E1185" t="s">
        <v>41</v>
      </c>
      <c r="F1185" t="s">
        <v>30</v>
      </c>
      <c r="G1185" t="s">
        <v>46</v>
      </c>
      <c r="H1185" t="s">
        <v>39</v>
      </c>
      <c r="I1185" s="9">
        <v>60000</v>
      </c>
      <c r="J1185">
        <v>8</v>
      </c>
      <c r="K1185" t="s">
        <v>65</v>
      </c>
      <c r="L1185" s="9">
        <f t="shared" si="18"/>
        <v>48000</v>
      </c>
      <c r="M1185" s="9">
        <f>Table1[[#This Row],[Unit Price]]*Table1[[#This Row],[Quantity]]</f>
        <v>480000</v>
      </c>
      <c r="N1185" s="9">
        <f>Table1[[#This Row],[Cost Price]]*Table1[[#This Row],[Quantity]]</f>
        <v>384000</v>
      </c>
      <c r="O1185" s="9">
        <f>Table1[[#This Row],[Revenue]]-Table1[[#This Row],[COGS]]</f>
        <v>96000</v>
      </c>
      <c r="P1185" s="6">
        <v>1184</v>
      </c>
    </row>
    <row r="1186" spans="1:16">
      <c r="A1186" s="7" t="s">
        <v>177</v>
      </c>
      <c r="B1186" s="7" t="str">
        <f>TEXT(Table1[[#This Row],[Date]],"MMM")</f>
        <v>Mar</v>
      </c>
      <c r="C1186" t="s">
        <v>44</v>
      </c>
      <c r="D1186" t="s">
        <v>28</v>
      </c>
      <c r="E1186" t="s">
        <v>41</v>
      </c>
      <c r="F1186" t="s">
        <v>37</v>
      </c>
      <c r="G1186" t="s">
        <v>62</v>
      </c>
      <c r="H1186" t="s">
        <v>51</v>
      </c>
      <c r="I1186" s="9">
        <v>150000</v>
      </c>
      <c r="J1186">
        <v>5</v>
      </c>
      <c r="K1186" t="s">
        <v>33</v>
      </c>
      <c r="L1186" s="9">
        <f t="shared" si="18"/>
        <v>120000</v>
      </c>
      <c r="M1186" s="9">
        <f>Table1[[#This Row],[Unit Price]]*Table1[[#This Row],[Quantity]]</f>
        <v>750000</v>
      </c>
      <c r="N1186" s="9">
        <f>Table1[[#This Row],[Cost Price]]*Table1[[#This Row],[Quantity]]</f>
        <v>600000</v>
      </c>
      <c r="O1186" s="9">
        <f>Table1[[#This Row],[Revenue]]-Table1[[#This Row],[COGS]]</f>
        <v>150000</v>
      </c>
      <c r="P1186" s="6">
        <v>1185</v>
      </c>
    </row>
    <row r="1187" spans="1:16">
      <c r="A1187" s="7" t="s">
        <v>104</v>
      </c>
      <c r="B1187" s="7" t="str">
        <f>TEXT(Table1[[#This Row],[Date]],"MMM")</f>
        <v>Mar</v>
      </c>
      <c r="C1187" t="s">
        <v>49</v>
      </c>
      <c r="D1187" t="s">
        <v>28</v>
      </c>
      <c r="E1187" t="s">
        <v>41</v>
      </c>
      <c r="F1187" t="s">
        <v>30</v>
      </c>
      <c r="G1187" t="s">
        <v>56</v>
      </c>
      <c r="H1187" t="s">
        <v>32</v>
      </c>
      <c r="I1187" s="9">
        <v>320000</v>
      </c>
      <c r="J1187">
        <v>9</v>
      </c>
      <c r="K1187" t="s">
        <v>58</v>
      </c>
      <c r="L1187" s="9">
        <f t="shared" si="18"/>
        <v>256000</v>
      </c>
      <c r="M1187" s="9">
        <f>Table1[[#This Row],[Unit Price]]*Table1[[#This Row],[Quantity]]</f>
        <v>2880000</v>
      </c>
      <c r="N1187" s="9">
        <f>Table1[[#This Row],[Cost Price]]*Table1[[#This Row],[Quantity]]</f>
        <v>2304000</v>
      </c>
      <c r="O1187" s="9">
        <f>Table1[[#This Row],[Revenue]]-Table1[[#This Row],[COGS]]</f>
        <v>576000</v>
      </c>
      <c r="P1187" s="6">
        <v>1186</v>
      </c>
    </row>
    <row r="1188" spans="1:16">
      <c r="A1188" s="7" t="s">
        <v>86</v>
      </c>
      <c r="B1188" s="7" t="str">
        <f>TEXT(Table1[[#This Row],[Date]],"MMM")</f>
        <v>Feb</v>
      </c>
      <c r="C1188" t="s">
        <v>49</v>
      </c>
      <c r="D1188" t="s">
        <v>53</v>
      </c>
      <c r="E1188" t="s">
        <v>41</v>
      </c>
      <c r="F1188" t="s">
        <v>30</v>
      </c>
      <c r="G1188" t="s">
        <v>67</v>
      </c>
      <c r="H1188" t="s">
        <v>51</v>
      </c>
      <c r="I1188" s="9">
        <v>420000</v>
      </c>
      <c r="J1188">
        <v>7</v>
      </c>
      <c r="K1188" t="s">
        <v>33</v>
      </c>
      <c r="L1188" s="9">
        <f t="shared" si="18"/>
        <v>336000</v>
      </c>
      <c r="M1188" s="9">
        <f>Table1[[#This Row],[Unit Price]]*Table1[[#This Row],[Quantity]]</f>
        <v>2940000</v>
      </c>
      <c r="N1188" s="9">
        <f>Table1[[#This Row],[Cost Price]]*Table1[[#This Row],[Quantity]]</f>
        <v>2352000</v>
      </c>
      <c r="O1188" s="9">
        <f>Table1[[#This Row],[Revenue]]-Table1[[#This Row],[COGS]]</f>
        <v>588000</v>
      </c>
      <c r="P1188" s="6">
        <v>1187</v>
      </c>
    </row>
    <row r="1189" spans="1:16">
      <c r="A1189" s="7" t="s">
        <v>106</v>
      </c>
      <c r="B1189" s="7" t="str">
        <f>TEXT(Table1[[#This Row],[Date]],"MMM")</f>
        <v>Apr</v>
      </c>
      <c r="C1189" t="s">
        <v>44</v>
      </c>
      <c r="D1189" t="s">
        <v>45</v>
      </c>
      <c r="E1189" t="s">
        <v>41</v>
      </c>
      <c r="F1189" t="s">
        <v>37</v>
      </c>
      <c r="G1189" t="s">
        <v>46</v>
      </c>
      <c r="H1189" t="s">
        <v>39</v>
      </c>
      <c r="I1189" s="9">
        <v>60000</v>
      </c>
      <c r="J1189">
        <v>6</v>
      </c>
      <c r="K1189" t="s">
        <v>65</v>
      </c>
      <c r="L1189" s="9">
        <f t="shared" si="18"/>
        <v>48000</v>
      </c>
      <c r="M1189" s="9">
        <f>Table1[[#This Row],[Unit Price]]*Table1[[#This Row],[Quantity]]</f>
        <v>360000</v>
      </c>
      <c r="N1189" s="9">
        <f>Table1[[#This Row],[Cost Price]]*Table1[[#This Row],[Quantity]]</f>
        <v>288000</v>
      </c>
      <c r="O1189" s="9">
        <f>Table1[[#This Row],[Revenue]]-Table1[[#This Row],[COGS]]</f>
        <v>72000</v>
      </c>
      <c r="P1189" s="6">
        <v>1188</v>
      </c>
    </row>
    <row r="1190" spans="1:16">
      <c r="A1190" s="7" t="s">
        <v>171</v>
      </c>
      <c r="B1190" s="7" t="str">
        <f>TEXT(Table1[[#This Row],[Date]],"MMM")</f>
        <v>Mar</v>
      </c>
      <c r="C1190" t="s">
        <v>49</v>
      </c>
      <c r="D1190" t="s">
        <v>28</v>
      </c>
      <c r="E1190" t="s">
        <v>29</v>
      </c>
      <c r="F1190" t="s">
        <v>37</v>
      </c>
      <c r="G1190" t="s">
        <v>62</v>
      </c>
      <c r="H1190" t="s">
        <v>51</v>
      </c>
      <c r="I1190" s="9">
        <v>150000</v>
      </c>
      <c r="J1190">
        <v>7</v>
      </c>
      <c r="K1190" t="s">
        <v>69</v>
      </c>
      <c r="L1190" s="9">
        <f t="shared" si="18"/>
        <v>120000</v>
      </c>
      <c r="M1190" s="9">
        <f>Table1[[#This Row],[Unit Price]]*Table1[[#This Row],[Quantity]]</f>
        <v>1050000</v>
      </c>
      <c r="N1190" s="9">
        <f>Table1[[#This Row],[Cost Price]]*Table1[[#This Row],[Quantity]]</f>
        <v>840000</v>
      </c>
      <c r="O1190" s="9">
        <f>Table1[[#This Row],[Revenue]]-Table1[[#This Row],[COGS]]</f>
        <v>210000</v>
      </c>
      <c r="P1190" s="6">
        <v>1189</v>
      </c>
    </row>
    <row r="1191" spans="1:16">
      <c r="A1191" s="7" t="s">
        <v>66</v>
      </c>
      <c r="B1191" s="7" t="str">
        <f>TEXT(Table1[[#This Row],[Date]],"MMM")</f>
        <v>Mar</v>
      </c>
      <c r="C1191" t="s">
        <v>35</v>
      </c>
      <c r="D1191" t="s">
        <v>45</v>
      </c>
      <c r="E1191" t="s">
        <v>29</v>
      </c>
      <c r="F1191" t="s">
        <v>37</v>
      </c>
      <c r="G1191" t="s">
        <v>56</v>
      </c>
      <c r="H1191" t="s">
        <v>32</v>
      </c>
      <c r="I1191" s="9">
        <v>320000</v>
      </c>
      <c r="J1191">
        <v>10</v>
      </c>
      <c r="K1191" t="s">
        <v>47</v>
      </c>
      <c r="L1191" s="9">
        <f t="shared" si="18"/>
        <v>256000</v>
      </c>
      <c r="M1191" s="9">
        <f>Table1[[#This Row],[Unit Price]]*Table1[[#This Row],[Quantity]]</f>
        <v>3200000</v>
      </c>
      <c r="N1191" s="9">
        <f>Table1[[#This Row],[Cost Price]]*Table1[[#This Row],[Quantity]]</f>
        <v>2560000</v>
      </c>
      <c r="O1191" s="9">
        <f>Table1[[#This Row],[Revenue]]-Table1[[#This Row],[COGS]]</f>
        <v>640000</v>
      </c>
      <c r="P1191" s="6">
        <v>1190</v>
      </c>
    </row>
    <row r="1192" spans="1:16">
      <c r="A1192" s="7" t="s">
        <v>96</v>
      </c>
      <c r="B1192" s="7" t="str">
        <f>TEXT(Table1[[#This Row],[Date]],"MMM")</f>
        <v>Mar</v>
      </c>
      <c r="C1192" t="s">
        <v>35</v>
      </c>
      <c r="D1192" t="s">
        <v>28</v>
      </c>
      <c r="E1192" t="s">
        <v>41</v>
      </c>
      <c r="F1192" t="s">
        <v>30</v>
      </c>
      <c r="G1192" t="s">
        <v>50</v>
      </c>
      <c r="H1192" t="s">
        <v>51</v>
      </c>
      <c r="I1192" s="9">
        <v>300000</v>
      </c>
      <c r="J1192">
        <v>8</v>
      </c>
      <c r="K1192" t="s">
        <v>42</v>
      </c>
      <c r="L1192" s="9">
        <f t="shared" si="18"/>
        <v>240000</v>
      </c>
      <c r="M1192" s="9">
        <f>Table1[[#This Row],[Unit Price]]*Table1[[#This Row],[Quantity]]</f>
        <v>2400000</v>
      </c>
      <c r="N1192" s="9">
        <f>Table1[[#This Row],[Cost Price]]*Table1[[#This Row],[Quantity]]</f>
        <v>1920000</v>
      </c>
      <c r="O1192" s="9">
        <f>Table1[[#This Row],[Revenue]]-Table1[[#This Row],[COGS]]</f>
        <v>480000</v>
      </c>
      <c r="P1192" s="6">
        <v>1191</v>
      </c>
    </row>
    <row r="1193" spans="1:16">
      <c r="A1193" s="7" t="s">
        <v>117</v>
      </c>
      <c r="B1193" s="7" t="str">
        <f>TEXT(Table1[[#This Row],[Date]],"MMM")</f>
        <v>Jan</v>
      </c>
      <c r="C1193" t="s">
        <v>27</v>
      </c>
      <c r="D1193" t="s">
        <v>28</v>
      </c>
      <c r="E1193" t="s">
        <v>29</v>
      </c>
      <c r="F1193" t="s">
        <v>30</v>
      </c>
      <c r="G1193" t="s">
        <v>67</v>
      </c>
      <c r="H1193" t="s">
        <v>51</v>
      </c>
      <c r="I1193" s="9">
        <v>420000</v>
      </c>
      <c r="J1193">
        <v>5</v>
      </c>
      <c r="K1193" t="s">
        <v>58</v>
      </c>
      <c r="L1193" s="9">
        <f t="shared" si="18"/>
        <v>336000</v>
      </c>
      <c r="M1193" s="9">
        <f>Table1[[#This Row],[Unit Price]]*Table1[[#This Row],[Quantity]]</f>
        <v>2100000</v>
      </c>
      <c r="N1193" s="9">
        <f>Table1[[#This Row],[Cost Price]]*Table1[[#This Row],[Quantity]]</f>
        <v>1680000</v>
      </c>
      <c r="O1193" s="9">
        <f>Table1[[#This Row],[Revenue]]-Table1[[#This Row],[COGS]]</f>
        <v>420000</v>
      </c>
      <c r="P1193" s="6">
        <v>1192</v>
      </c>
    </row>
    <row r="1194" spans="1:16">
      <c r="A1194" s="7" t="s">
        <v>64</v>
      </c>
      <c r="B1194" s="7" t="str">
        <f>TEXT(Table1[[#This Row],[Date]],"MMM")</f>
        <v>Apr</v>
      </c>
      <c r="C1194" t="s">
        <v>35</v>
      </c>
      <c r="D1194" t="s">
        <v>45</v>
      </c>
      <c r="E1194" t="s">
        <v>29</v>
      </c>
      <c r="F1194" t="s">
        <v>37</v>
      </c>
      <c r="G1194" t="s">
        <v>73</v>
      </c>
      <c r="H1194" t="s">
        <v>39</v>
      </c>
      <c r="I1194" s="9">
        <v>220000</v>
      </c>
      <c r="J1194">
        <v>5</v>
      </c>
      <c r="K1194" t="s">
        <v>33</v>
      </c>
      <c r="L1194" s="9">
        <f t="shared" si="18"/>
        <v>176000</v>
      </c>
      <c r="M1194" s="9">
        <f>Table1[[#This Row],[Unit Price]]*Table1[[#This Row],[Quantity]]</f>
        <v>1100000</v>
      </c>
      <c r="N1194" s="9">
        <f>Table1[[#This Row],[Cost Price]]*Table1[[#This Row],[Quantity]]</f>
        <v>880000</v>
      </c>
      <c r="O1194" s="9">
        <f>Table1[[#This Row],[Revenue]]-Table1[[#This Row],[COGS]]</f>
        <v>220000</v>
      </c>
      <c r="P1194" s="6">
        <v>1193</v>
      </c>
    </row>
    <row r="1195" spans="1:16">
      <c r="A1195" s="7" t="s">
        <v>99</v>
      </c>
      <c r="B1195" s="7" t="str">
        <f>TEXT(Table1[[#This Row],[Date]],"MMM")</f>
        <v>Apr</v>
      </c>
      <c r="C1195" t="s">
        <v>27</v>
      </c>
      <c r="D1195" t="s">
        <v>28</v>
      </c>
      <c r="E1195" t="s">
        <v>41</v>
      </c>
      <c r="F1195" t="s">
        <v>37</v>
      </c>
      <c r="G1195" t="s">
        <v>56</v>
      </c>
      <c r="H1195" t="s">
        <v>32</v>
      </c>
      <c r="I1195" s="9">
        <v>320000</v>
      </c>
      <c r="J1195">
        <v>3</v>
      </c>
      <c r="K1195" t="s">
        <v>42</v>
      </c>
      <c r="L1195" s="9">
        <f t="shared" si="18"/>
        <v>256000</v>
      </c>
      <c r="M1195" s="9">
        <f>Table1[[#This Row],[Unit Price]]*Table1[[#This Row],[Quantity]]</f>
        <v>960000</v>
      </c>
      <c r="N1195" s="9">
        <f>Table1[[#This Row],[Cost Price]]*Table1[[#This Row],[Quantity]]</f>
        <v>768000</v>
      </c>
      <c r="O1195" s="9">
        <f>Table1[[#This Row],[Revenue]]-Table1[[#This Row],[COGS]]</f>
        <v>192000</v>
      </c>
      <c r="P1195" s="6">
        <v>1194</v>
      </c>
    </row>
    <row r="1196" spans="1:16">
      <c r="A1196" s="7" t="s">
        <v>106</v>
      </c>
      <c r="B1196" s="7" t="str">
        <f>TEXT(Table1[[#This Row],[Date]],"MMM")</f>
        <v>Apr</v>
      </c>
      <c r="C1196" t="s">
        <v>35</v>
      </c>
      <c r="D1196" t="s">
        <v>28</v>
      </c>
      <c r="E1196" t="s">
        <v>29</v>
      </c>
      <c r="F1196" t="s">
        <v>30</v>
      </c>
      <c r="G1196" t="s">
        <v>54</v>
      </c>
      <c r="H1196" t="s">
        <v>39</v>
      </c>
      <c r="I1196" s="9">
        <v>180000</v>
      </c>
      <c r="J1196">
        <v>9</v>
      </c>
      <c r="K1196" t="s">
        <v>69</v>
      </c>
      <c r="L1196" s="9">
        <f t="shared" si="18"/>
        <v>144000</v>
      </c>
      <c r="M1196" s="9">
        <f>Table1[[#This Row],[Unit Price]]*Table1[[#This Row],[Quantity]]</f>
        <v>1620000</v>
      </c>
      <c r="N1196" s="9">
        <f>Table1[[#This Row],[Cost Price]]*Table1[[#This Row],[Quantity]]</f>
        <v>1296000</v>
      </c>
      <c r="O1196" s="9">
        <f>Table1[[#This Row],[Revenue]]-Table1[[#This Row],[COGS]]</f>
        <v>324000</v>
      </c>
      <c r="P1196" s="6">
        <v>1195</v>
      </c>
    </row>
    <row r="1197" spans="1:16">
      <c r="A1197" s="7" t="s">
        <v>81</v>
      </c>
      <c r="B1197" s="7" t="str">
        <f>TEXT(Table1[[#This Row],[Date]],"MMM")</f>
        <v>Mar</v>
      </c>
      <c r="C1197" t="s">
        <v>49</v>
      </c>
      <c r="D1197" t="s">
        <v>28</v>
      </c>
      <c r="E1197" t="s">
        <v>29</v>
      </c>
      <c r="F1197" t="s">
        <v>30</v>
      </c>
      <c r="G1197" t="s">
        <v>50</v>
      </c>
      <c r="H1197" t="s">
        <v>51</v>
      </c>
      <c r="I1197" s="9">
        <v>300000</v>
      </c>
      <c r="J1197">
        <v>1</v>
      </c>
      <c r="K1197" t="s">
        <v>69</v>
      </c>
      <c r="L1197" s="9">
        <f t="shared" si="18"/>
        <v>240000</v>
      </c>
      <c r="M1197" s="9">
        <f>Table1[[#This Row],[Unit Price]]*Table1[[#This Row],[Quantity]]</f>
        <v>300000</v>
      </c>
      <c r="N1197" s="9">
        <f>Table1[[#This Row],[Cost Price]]*Table1[[#This Row],[Quantity]]</f>
        <v>240000</v>
      </c>
      <c r="O1197" s="9">
        <f>Table1[[#This Row],[Revenue]]-Table1[[#This Row],[COGS]]</f>
        <v>60000</v>
      </c>
      <c r="P1197" s="6">
        <v>1196</v>
      </c>
    </row>
    <row r="1198" spans="1:16">
      <c r="A1198" s="7" t="s">
        <v>143</v>
      </c>
      <c r="B1198" s="7" t="str">
        <f>TEXT(Table1[[#This Row],[Date]],"MMM")</f>
        <v>Apr</v>
      </c>
      <c r="C1198" t="s">
        <v>49</v>
      </c>
      <c r="D1198" t="s">
        <v>45</v>
      </c>
      <c r="E1198" t="s">
        <v>29</v>
      </c>
      <c r="F1198" t="s">
        <v>37</v>
      </c>
      <c r="G1198" t="s">
        <v>73</v>
      </c>
      <c r="H1198" t="s">
        <v>39</v>
      </c>
      <c r="I1198" s="9">
        <v>220000</v>
      </c>
      <c r="J1198">
        <v>7</v>
      </c>
      <c r="K1198" t="s">
        <v>69</v>
      </c>
      <c r="L1198" s="9">
        <f t="shared" si="18"/>
        <v>176000</v>
      </c>
      <c r="M1198" s="9">
        <f>Table1[[#This Row],[Unit Price]]*Table1[[#This Row],[Quantity]]</f>
        <v>1540000</v>
      </c>
      <c r="N1198" s="9">
        <f>Table1[[#This Row],[Cost Price]]*Table1[[#This Row],[Quantity]]</f>
        <v>1232000</v>
      </c>
      <c r="O1198" s="9">
        <f>Table1[[#This Row],[Revenue]]-Table1[[#This Row],[COGS]]</f>
        <v>308000</v>
      </c>
      <c r="P1198" s="6">
        <v>1197</v>
      </c>
    </row>
    <row r="1199" spans="1:16">
      <c r="A1199" s="7" t="s">
        <v>164</v>
      </c>
      <c r="B1199" s="7" t="str">
        <f>TEXT(Table1[[#This Row],[Date]],"MMM")</f>
        <v>Mar</v>
      </c>
      <c r="C1199" t="s">
        <v>35</v>
      </c>
      <c r="D1199" t="s">
        <v>36</v>
      </c>
      <c r="E1199" t="s">
        <v>41</v>
      </c>
      <c r="F1199" t="s">
        <v>37</v>
      </c>
      <c r="G1199" t="s">
        <v>31</v>
      </c>
      <c r="H1199" t="s">
        <v>32</v>
      </c>
      <c r="I1199" s="9">
        <v>85000</v>
      </c>
      <c r="J1199">
        <v>9</v>
      </c>
      <c r="K1199" t="s">
        <v>42</v>
      </c>
      <c r="L1199" s="9">
        <f t="shared" si="18"/>
        <v>68000</v>
      </c>
      <c r="M1199" s="9">
        <f>Table1[[#This Row],[Unit Price]]*Table1[[#This Row],[Quantity]]</f>
        <v>765000</v>
      </c>
      <c r="N1199" s="9">
        <f>Table1[[#This Row],[Cost Price]]*Table1[[#This Row],[Quantity]]</f>
        <v>612000</v>
      </c>
      <c r="O1199" s="9">
        <f>Table1[[#This Row],[Revenue]]-Table1[[#This Row],[COGS]]</f>
        <v>153000</v>
      </c>
      <c r="P1199" s="6">
        <v>1198</v>
      </c>
    </row>
    <row r="1200" spans="1:16">
      <c r="A1200" s="7" t="s">
        <v>144</v>
      </c>
      <c r="B1200" s="7" t="str">
        <f>TEXT(Table1[[#This Row],[Date]],"MMM")</f>
        <v>Feb</v>
      </c>
      <c r="C1200" t="s">
        <v>35</v>
      </c>
      <c r="D1200" t="s">
        <v>36</v>
      </c>
      <c r="E1200" t="s">
        <v>29</v>
      </c>
      <c r="F1200" t="s">
        <v>30</v>
      </c>
      <c r="G1200" t="s">
        <v>31</v>
      </c>
      <c r="H1200" t="s">
        <v>32</v>
      </c>
      <c r="I1200" s="9">
        <v>85000</v>
      </c>
      <c r="J1200">
        <v>4</v>
      </c>
      <c r="K1200" t="s">
        <v>47</v>
      </c>
      <c r="L1200" s="9">
        <f t="shared" si="18"/>
        <v>68000</v>
      </c>
      <c r="M1200" s="9">
        <f>Table1[[#This Row],[Unit Price]]*Table1[[#This Row],[Quantity]]</f>
        <v>340000</v>
      </c>
      <c r="N1200" s="9">
        <f>Table1[[#This Row],[Cost Price]]*Table1[[#This Row],[Quantity]]</f>
        <v>272000</v>
      </c>
      <c r="O1200" s="9">
        <f>Table1[[#This Row],[Revenue]]-Table1[[#This Row],[COGS]]</f>
        <v>68000</v>
      </c>
      <c r="P1200" s="6">
        <v>1199</v>
      </c>
    </row>
    <row r="1201" spans="1:16">
      <c r="A1201" s="7" t="s">
        <v>81</v>
      </c>
      <c r="B1201" s="7" t="str">
        <f>TEXT(Table1[[#This Row],[Date]],"MMM")</f>
        <v>Mar</v>
      </c>
      <c r="C1201" t="s">
        <v>35</v>
      </c>
      <c r="D1201" t="s">
        <v>53</v>
      </c>
      <c r="E1201" t="s">
        <v>29</v>
      </c>
      <c r="F1201" t="s">
        <v>37</v>
      </c>
      <c r="G1201" t="s">
        <v>46</v>
      </c>
      <c r="H1201" t="s">
        <v>39</v>
      </c>
      <c r="I1201" s="9">
        <v>60000</v>
      </c>
      <c r="J1201">
        <v>8</v>
      </c>
      <c r="K1201" t="s">
        <v>47</v>
      </c>
      <c r="L1201" s="9">
        <f t="shared" si="18"/>
        <v>48000</v>
      </c>
      <c r="M1201" s="9">
        <f>Table1[[#This Row],[Unit Price]]*Table1[[#This Row],[Quantity]]</f>
        <v>480000</v>
      </c>
      <c r="N1201" s="9">
        <f>Table1[[#This Row],[Cost Price]]*Table1[[#This Row],[Quantity]]</f>
        <v>384000</v>
      </c>
      <c r="O1201" s="9">
        <f>Table1[[#This Row],[Revenue]]-Table1[[#This Row],[COGS]]</f>
        <v>96000</v>
      </c>
      <c r="P1201" s="6">
        <v>1200</v>
      </c>
    </row>
    <row r="1202" spans="1:16">
      <c r="A1202" s="7" t="s">
        <v>61</v>
      </c>
      <c r="B1202" s="7" t="str">
        <f>TEXT(Table1[[#This Row],[Date]],"MMM")</f>
        <v>Jan</v>
      </c>
      <c r="C1202" t="s">
        <v>44</v>
      </c>
      <c r="D1202" t="s">
        <v>36</v>
      </c>
      <c r="E1202" t="s">
        <v>41</v>
      </c>
      <c r="F1202" t="s">
        <v>37</v>
      </c>
      <c r="G1202" t="s">
        <v>62</v>
      </c>
      <c r="H1202" t="s">
        <v>51</v>
      </c>
      <c r="I1202" s="9">
        <v>150000</v>
      </c>
      <c r="J1202">
        <v>6</v>
      </c>
      <c r="K1202" t="s">
        <v>58</v>
      </c>
      <c r="L1202" s="9">
        <f t="shared" si="18"/>
        <v>120000</v>
      </c>
      <c r="M1202" s="9">
        <f>Table1[[#This Row],[Unit Price]]*Table1[[#This Row],[Quantity]]</f>
        <v>900000</v>
      </c>
      <c r="N1202" s="9">
        <f>Table1[[#This Row],[Cost Price]]*Table1[[#This Row],[Quantity]]</f>
        <v>720000</v>
      </c>
      <c r="O1202" s="9">
        <f>Table1[[#This Row],[Revenue]]-Table1[[#This Row],[COGS]]</f>
        <v>180000</v>
      </c>
      <c r="P1202" s="6">
        <v>1201</v>
      </c>
    </row>
    <row r="1203" spans="1:16">
      <c r="A1203" s="7" t="s">
        <v>137</v>
      </c>
      <c r="B1203" s="7" t="str">
        <f>TEXT(Table1[[#This Row],[Date]],"MMM")</f>
        <v>Apr</v>
      </c>
      <c r="C1203" t="s">
        <v>35</v>
      </c>
      <c r="D1203" t="s">
        <v>45</v>
      </c>
      <c r="E1203" t="s">
        <v>41</v>
      </c>
      <c r="F1203" t="s">
        <v>30</v>
      </c>
      <c r="G1203" t="s">
        <v>31</v>
      </c>
      <c r="H1203" t="s">
        <v>32</v>
      </c>
      <c r="I1203" s="9">
        <v>85000</v>
      </c>
      <c r="J1203">
        <v>10</v>
      </c>
      <c r="K1203" t="s">
        <v>47</v>
      </c>
      <c r="L1203" s="9">
        <f t="shared" si="18"/>
        <v>68000</v>
      </c>
      <c r="M1203" s="9">
        <f>Table1[[#This Row],[Unit Price]]*Table1[[#This Row],[Quantity]]</f>
        <v>850000</v>
      </c>
      <c r="N1203" s="9">
        <f>Table1[[#This Row],[Cost Price]]*Table1[[#This Row],[Quantity]]</f>
        <v>680000</v>
      </c>
      <c r="O1203" s="9">
        <f>Table1[[#This Row],[Revenue]]-Table1[[#This Row],[COGS]]</f>
        <v>170000</v>
      </c>
      <c r="P1203" s="6">
        <v>1202</v>
      </c>
    </row>
    <row r="1204" spans="1:16">
      <c r="A1204" s="7" t="s">
        <v>149</v>
      </c>
      <c r="B1204" s="7" t="str">
        <f>TEXT(Table1[[#This Row],[Date]],"MMM")</f>
        <v>Apr</v>
      </c>
      <c r="C1204" t="s">
        <v>27</v>
      </c>
      <c r="D1204" t="s">
        <v>36</v>
      </c>
      <c r="E1204" t="s">
        <v>41</v>
      </c>
      <c r="F1204" t="s">
        <v>37</v>
      </c>
      <c r="G1204" t="s">
        <v>31</v>
      </c>
      <c r="H1204" t="s">
        <v>32</v>
      </c>
      <c r="I1204" s="9">
        <v>85000</v>
      </c>
      <c r="J1204">
        <v>3</v>
      </c>
      <c r="K1204" t="s">
        <v>69</v>
      </c>
      <c r="L1204" s="9">
        <f t="shared" si="18"/>
        <v>68000</v>
      </c>
      <c r="M1204" s="9">
        <f>Table1[[#This Row],[Unit Price]]*Table1[[#This Row],[Quantity]]</f>
        <v>255000</v>
      </c>
      <c r="N1204" s="9">
        <f>Table1[[#This Row],[Cost Price]]*Table1[[#This Row],[Quantity]]</f>
        <v>204000</v>
      </c>
      <c r="O1204" s="9">
        <f>Table1[[#This Row],[Revenue]]-Table1[[#This Row],[COGS]]</f>
        <v>51000</v>
      </c>
      <c r="P1204" s="6">
        <v>1203</v>
      </c>
    </row>
    <row r="1205" spans="1:16">
      <c r="A1205" s="7" t="s">
        <v>60</v>
      </c>
      <c r="B1205" s="7" t="str">
        <f>TEXT(Table1[[#This Row],[Date]],"MMM")</f>
        <v>Mar</v>
      </c>
      <c r="C1205" t="s">
        <v>27</v>
      </c>
      <c r="D1205" t="s">
        <v>45</v>
      </c>
      <c r="E1205" t="s">
        <v>41</v>
      </c>
      <c r="F1205" t="s">
        <v>30</v>
      </c>
      <c r="G1205" t="s">
        <v>50</v>
      </c>
      <c r="H1205" t="s">
        <v>51</v>
      </c>
      <c r="I1205" s="9">
        <v>300000</v>
      </c>
      <c r="J1205">
        <v>8</v>
      </c>
      <c r="K1205" t="s">
        <v>58</v>
      </c>
      <c r="L1205" s="9">
        <f t="shared" si="18"/>
        <v>240000</v>
      </c>
      <c r="M1205" s="9">
        <f>Table1[[#This Row],[Unit Price]]*Table1[[#This Row],[Quantity]]</f>
        <v>2400000</v>
      </c>
      <c r="N1205" s="9">
        <f>Table1[[#This Row],[Cost Price]]*Table1[[#This Row],[Quantity]]</f>
        <v>1920000</v>
      </c>
      <c r="O1205" s="9">
        <f>Table1[[#This Row],[Revenue]]-Table1[[#This Row],[COGS]]</f>
        <v>480000</v>
      </c>
      <c r="P1205" s="6">
        <v>1204</v>
      </c>
    </row>
    <row r="1206" spans="1:16">
      <c r="A1206" s="7" t="s">
        <v>151</v>
      </c>
      <c r="B1206" s="7" t="str">
        <f>TEXT(Table1[[#This Row],[Date]],"MMM")</f>
        <v>Feb</v>
      </c>
      <c r="C1206" t="s">
        <v>27</v>
      </c>
      <c r="D1206" t="s">
        <v>28</v>
      </c>
      <c r="E1206" t="s">
        <v>41</v>
      </c>
      <c r="F1206" t="s">
        <v>30</v>
      </c>
      <c r="G1206" t="s">
        <v>67</v>
      </c>
      <c r="H1206" t="s">
        <v>51</v>
      </c>
      <c r="I1206" s="9">
        <v>420000</v>
      </c>
      <c r="J1206">
        <v>6</v>
      </c>
      <c r="K1206" t="s">
        <v>65</v>
      </c>
      <c r="L1206" s="9">
        <f t="shared" si="18"/>
        <v>336000</v>
      </c>
      <c r="M1206" s="9">
        <f>Table1[[#This Row],[Unit Price]]*Table1[[#This Row],[Quantity]]</f>
        <v>2520000</v>
      </c>
      <c r="N1206" s="9">
        <f>Table1[[#This Row],[Cost Price]]*Table1[[#This Row],[Quantity]]</f>
        <v>2016000</v>
      </c>
      <c r="O1206" s="9">
        <f>Table1[[#This Row],[Revenue]]-Table1[[#This Row],[COGS]]</f>
        <v>504000</v>
      </c>
      <c r="P1206" s="6">
        <v>1205</v>
      </c>
    </row>
    <row r="1207" spans="1:16">
      <c r="A1207" s="7" t="s">
        <v>147</v>
      </c>
      <c r="B1207" s="7" t="str">
        <f>TEXT(Table1[[#This Row],[Date]],"MMM")</f>
        <v>Jan</v>
      </c>
      <c r="C1207" t="s">
        <v>44</v>
      </c>
      <c r="D1207" t="s">
        <v>45</v>
      </c>
      <c r="E1207" t="s">
        <v>41</v>
      </c>
      <c r="F1207" t="s">
        <v>30</v>
      </c>
      <c r="G1207" t="s">
        <v>71</v>
      </c>
      <c r="H1207" t="s">
        <v>51</v>
      </c>
      <c r="I1207" s="9">
        <v>250000</v>
      </c>
      <c r="J1207">
        <v>3</v>
      </c>
      <c r="K1207" t="s">
        <v>42</v>
      </c>
      <c r="L1207" s="9">
        <f t="shared" si="18"/>
        <v>200000</v>
      </c>
      <c r="M1207" s="9">
        <f>Table1[[#This Row],[Unit Price]]*Table1[[#This Row],[Quantity]]</f>
        <v>750000</v>
      </c>
      <c r="N1207" s="9">
        <f>Table1[[#This Row],[Cost Price]]*Table1[[#This Row],[Quantity]]</f>
        <v>600000</v>
      </c>
      <c r="O1207" s="9">
        <f>Table1[[#This Row],[Revenue]]-Table1[[#This Row],[COGS]]</f>
        <v>150000</v>
      </c>
      <c r="P1207" s="6">
        <v>1206</v>
      </c>
    </row>
    <row r="1208" spans="1:16">
      <c r="A1208" s="7" t="s">
        <v>153</v>
      </c>
      <c r="B1208" s="7" t="str">
        <f>TEXT(Table1[[#This Row],[Date]],"MMM")</f>
        <v>Mar</v>
      </c>
      <c r="C1208" t="s">
        <v>27</v>
      </c>
      <c r="D1208" t="s">
        <v>53</v>
      </c>
      <c r="E1208" t="s">
        <v>29</v>
      </c>
      <c r="F1208" t="s">
        <v>37</v>
      </c>
      <c r="G1208" t="s">
        <v>71</v>
      </c>
      <c r="H1208" t="s">
        <v>51</v>
      </c>
      <c r="I1208" s="9">
        <v>250000</v>
      </c>
      <c r="J1208">
        <v>8</v>
      </c>
      <c r="K1208" t="s">
        <v>47</v>
      </c>
      <c r="L1208" s="9">
        <f t="shared" si="18"/>
        <v>200000</v>
      </c>
      <c r="M1208" s="9">
        <f>Table1[[#This Row],[Unit Price]]*Table1[[#This Row],[Quantity]]</f>
        <v>2000000</v>
      </c>
      <c r="N1208" s="9">
        <f>Table1[[#This Row],[Cost Price]]*Table1[[#This Row],[Quantity]]</f>
        <v>1600000</v>
      </c>
      <c r="O1208" s="9">
        <f>Table1[[#This Row],[Revenue]]-Table1[[#This Row],[COGS]]</f>
        <v>400000</v>
      </c>
      <c r="P1208" s="6">
        <v>1207</v>
      </c>
    </row>
    <row r="1209" spans="1:16">
      <c r="A1209" s="7" t="s">
        <v>175</v>
      </c>
      <c r="B1209" s="7" t="str">
        <f>TEXT(Table1[[#This Row],[Date]],"MMM")</f>
        <v>Jan</v>
      </c>
      <c r="C1209" t="s">
        <v>49</v>
      </c>
      <c r="D1209" t="s">
        <v>36</v>
      </c>
      <c r="E1209" t="s">
        <v>41</v>
      </c>
      <c r="F1209" t="s">
        <v>30</v>
      </c>
      <c r="G1209" t="s">
        <v>31</v>
      </c>
      <c r="H1209" t="s">
        <v>32</v>
      </c>
      <c r="I1209" s="9">
        <v>85000</v>
      </c>
      <c r="J1209">
        <v>3</v>
      </c>
      <c r="K1209" t="s">
        <v>47</v>
      </c>
      <c r="L1209" s="9">
        <f t="shared" si="18"/>
        <v>68000</v>
      </c>
      <c r="M1209" s="9">
        <f>Table1[[#This Row],[Unit Price]]*Table1[[#This Row],[Quantity]]</f>
        <v>255000</v>
      </c>
      <c r="N1209" s="9">
        <f>Table1[[#This Row],[Cost Price]]*Table1[[#This Row],[Quantity]]</f>
        <v>204000</v>
      </c>
      <c r="O1209" s="9">
        <f>Table1[[#This Row],[Revenue]]-Table1[[#This Row],[COGS]]</f>
        <v>51000</v>
      </c>
      <c r="P1209" s="6">
        <v>1208</v>
      </c>
    </row>
    <row r="1210" spans="1:16">
      <c r="A1210" s="7" t="s">
        <v>161</v>
      </c>
      <c r="B1210" s="7" t="str">
        <f>TEXT(Table1[[#This Row],[Date]],"MMM")</f>
        <v>Mar</v>
      </c>
      <c r="C1210" t="s">
        <v>49</v>
      </c>
      <c r="D1210" t="s">
        <v>53</v>
      </c>
      <c r="E1210" t="s">
        <v>41</v>
      </c>
      <c r="F1210" t="s">
        <v>30</v>
      </c>
      <c r="G1210" t="s">
        <v>38</v>
      </c>
      <c r="H1210" t="s">
        <v>39</v>
      </c>
      <c r="I1210" s="9">
        <v>30000</v>
      </c>
      <c r="J1210">
        <v>7</v>
      </c>
      <c r="K1210" t="s">
        <v>47</v>
      </c>
      <c r="L1210" s="9">
        <f t="shared" si="18"/>
        <v>24000</v>
      </c>
      <c r="M1210" s="9">
        <f>Table1[[#This Row],[Unit Price]]*Table1[[#This Row],[Quantity]]</f>
        <v>210000</v>
      </c>
      <c r="N1210" s="9">
        <f>Table1[[#This Row],[Cost Price]]*Table1[[#This Row],[Quantity]]</f>
        <v>168000</v>
      </c>
      <c r="O1210" s="9">
        <f>Table1[[#This Row],[Revenue]]-Table1[[#This Row],[COGS]]</f>
        <v>42000</v>
      </c>
      <c r="P1210" s="6">
        <v>1209</v>
      </c>
    </row>
    <row r="1211" spans="1:16">
      <c r="A1211" s="7" t="s">
        <v>126</v>
      </c>
      <c r="B1211" s="7" t="str">
        <f>TEXT(Table1[[#This Row],[Date]],"MMM")</f>
        <v>Jan</v>
      </c>
      <c r="C1211" t="s">
        <v>35</v>
      </c>
      <c r="D1211" t="s">
        <v>45</v>
      </c>
      <c r="E1211" t="s">
        <v>29</v>
      </c>
      <c r="F1211" t="s">
        <v>37</v>
      </c>
      <c r="G1211" t="s">
        <v>46</v>
      </c>
      <c r="H1211" t="s">
        <v>39</v>
      </c>
      <c r="I1211" s="9">
        <v>60000</v>
      </c>
      <c r="J1211">
        <v>7</v>
      </c>
      <c r="K1211" t="s">
        <v>58</v>
      </c>
      <c r="L1211" s="9">
        <f t="shared" si="18"/>
        <v>48000</v>
      </c>
      <c r="M1211" s="9">
        <f>Table1[[#This Row],[Unit Price]]*Table1[[#This Row],[Quantity]]</f>
        <v>420000</v>
      </c>
      <c r="N1211" s="9">
        <f>Table1[[#This Row],[Cost Price]]*Table1[[#This Row],[Quantity]]</f>
        <v>336000</v>
      </c>
      <c r="O1211" s="9">
        <f>Table1[[#This Row],[Revenue]]-Table1[[#This Row],[COGS]]</f>
        <v>84000</v>
      </c>
      <c r="P1211" s="6">
        <v>1210</v>
      </c>
    </row>
    <row r="1212" spans="1:16">
      <c r="A1212" s="7" t="s">
        <v>146</v>
      </c>
      <c r="B1212" s="7" t="str">
        <f>TEXT(Table1[[#This Row],[Date]],"MMM")</f>
        <v>Jan</v>
      </c>
      <c r="C1212" t="s">
        <v>44</v>
      </c>
      <c r="D1212" t="s">
        <v>28</v>
      </c>
      <c r="E1212" t="s">
        <v>29</v>
      </c>
      <c r="F1212" t="s">
        <v>37</v>
      </c>
      <c r="G1212" t="s">
        <v>73</v>
      </c>
      <c r="H1212" t="s">
        <v>39</v>
      </c>
      <c r="I1212" s="9">
        <v>220000</v>
      </c>
      <c r="J1212">
        <v>10</v>
      </c>
      <c r="K1212" t="s">
        <v>42</v>
      </c>
      <c r="L1212" s="9">
        <f t="shared" si="18"/>
        <v>176000</v>
      </c>
      <c r="M1212" s="9">
        <f>Table1[[#This Row],[Unit Price]]*Table1[[#This Row],[Quantity]]</f>
        <v>2200000</v>
      </c>
      <c r="N1212" s="9">
        <f>Table1[[#This Row],[Cost Price]]*Table1[[#This Row],[Quantity]]</f>
        <v>1760000</v>
      </c>
      <c r="O1212" s="9">
        <f>Table1[[#This Row],[Revenue]]-Table1[[#This Row],[COGS]]</f>
        <v>440000</v>
      </c>
      <c r="P1212" s="6">
        <v>1211</v>
      </c>
    </row>
    <row r="1213" spans="1:16">
      <c r="A1213" s="7" t="s">
        <v>137</v>
      </c>
      <c r="B1213" s="7" t="str">
        <f>TEXT(Table1[[#This Row],[Date]],"MMM")</f>
        <v>Apr</v>
      </c>
      <c r="C1213" t="s">
        <v>44</v>
      </c>
      <c r="D1213" t="s">
        <v>36</v>
      </c>
      <c r="E1213" t="s">
        <v>29</v>
      </c>
      <c r="F1213" t="s">
        <v>37</v>
      </c>
      <c r="G1213" t="s">
        <v>71</v>
      </c>
      <c r="H1213" t="s">
        <v>51</v>
      </c>
      <c r="I1213" s="9">
        <v>250000</v>
      </c>
      <c r="J1213">
        <v>5</v>
      </c>
      <c r="K1213" t="s">
        <v>69</v>
      </c>
      <c r="L1213" s="9">
        <f t="shared" si="18"/>
        <v>200000</v>
      </c>
      <c r="M1213" s="9">
        <f>Table1[[#This Row],[Unit Price]]*Table1[[#This Row],[Quantity]]</f>
        <v>1250000</v>
      </c>
      <c r="N1213" s="9">
        <f>Table1[[#This Row],[Cost Price]]*Table1[[#This Row],[Quantity]]</f>
        <v>1000000</v>
      </c>
      <c r="O1213" s="9">
        <f>Table1[[#This Row],[Revenue]]-Table1[[#This Row],[COGS]]</f>
        <v>250000</v>
      </c>
      <c r="P1213" s="6">
        <v>1212</v>
      </c>
    </row>
    <row r="1214" spans="1:16">
      <c r="A1214" s="7" t="s">
        <v>168</v>
      </c>
      <c r="B1214" s="7" t="str">
        <f>TEXT(Table1[[#This Row],[Date]],"MMM")</f>
        <v>Apr</v>
      </c>
      <c r="C1214" t="s">
        <v>44</v>
      </c>
      <c r="D1214" t="s">
        <v>53</v>
      </c>
      <c r="E1214" t="s">
        <v>29</v>
      </c>
      <c r="F1214" t="s">
        <v>30</v>
      </c>
      <c r="G1214" t="s">
        <v>31</v>
      </c>
      <c r="H1214" t="s">
        <v>32</v>
      </c>
      <c r="I1214" s="9">
        <v>85000</v>
      </c>
      <c r="J1214">
        <v>7</v>
      </c>
      <c r="K1214" t="s">
        <v>69</v>
      </c>
      <c r="L1214" s="9">
        <f t="shared" si="18"/>
        <v>68000</v>
      </c>
      <c r="M1214" s="9">
        <f>Table1[[#This Row],[Unit Price]]*Table1[[#This Row],[Quantity]]</f>
        <v>595000</v>
      </c>
      <c r="N1214" s="9">
        <f>Table1[[#This Row],[Cost Price]]*Table1[[#This Row],[Quantity]]</f>
        <v>476000</v>
      </c>
      <c r="O1214" s="9">
        <f>Table1[[#This Row],[Revenue]]-Table1[[#This Row],[COGS]]</f>
        <v>119000</v>
      </c>
      <c r="P1214" s="6">
        <v>1213</v>
      </c>
    </row>
    <row r="1215" spans="1:16">
      <c r="A1215" s="7" t="s">
        <v>121</v>
      </c>
      <c r="B1215" s="7" t="str">
        <f>TEXT(Table1[[#This Row],[Date]],"MMM")</f>
        <v>Apr</v>
      </c>
      <c r="C1215" t="s">
        <v>27</v>
      </c>
      <c r="D1215" t="s">
        <v>36</v>
      </c>
      <c r="E1215" t="s">
        <v>41</v>
      </c>
      <c r="F1215" t="s">
        <v>30</v>
      </c>
      <c r="G1215" t="s">
        <v>62</v>
      </c>
      <c r="H1215" t="s">
        <v>51</v>
      </c>
      <c r="I1215" s="9">
        <v>150000</v>
      </c>
      <c r="J1215">
        <v>4</v>
      </c>
      <c r="K1215" t="s">
        <v>47</v>
      </c>
      <c r="L1215" s="9">
        <f t="shared" si="18"/>
        <v>120000</v>
      </c>
      <c r="M1215" s="9">
        <f>Table1[[#This Row],[Unit Price]]*Table1[[#This Row],[Quantity]]</f>
        <v>600000</v>
      </c>
      <c r="N1215" s="9">
        <f>Table1[[#This Row],[Cost Price]]*Table1[[#This Row],[Quantity]]</f>
        <v>480000</v>
      </c>
      <c r="O1215" s="9">
        <f>Table1[[#This Row],[Revenue]]-Table1[[#This Row],[COGS]]</f>
        <v>120000</v>
      </c>
      <c r="P1215" s="6">
        <v>1214</v>
      </c>
    </row>
    <row r="1216" spans="1:16">
      <c r="A1216" s="7" t="s">
        <v>137</v>
      </c>
      <c r="B1216" s="7" t="str">
        <f>TEXT(Table1[[#This Row],[Date]],"MMM")</f>
        <v>Apr</v>
      </c>
      <c r="C1216" t="s">
        <v>44</v>
      </c>
      <c r="D1216" t="s">
        <v>53</v>
      </c>
      <c r="E1216" t="s">
        <v>29</v>
      </c>
      <c r="F1216" t="s">
        <v>30</v>
      </c>
      <c r="G1216" t="s">
        <v>67</v>
      </c>
      <c r="H1216" t="s">
        <v>51</v>
      </c>
      <c r="I1216" s="9">
        <v>420000</v>
      </c>
      <c r="J1216">
        <v>5</v>
      </c>
      <c r="K1216" t="s">
        <v>42</v>
      </c>
      <c r="L1216" s="9">
        <f t="shared" si="18"/>
        <v>336000</v>
      </c>
      <c r="M1216" s="9">
        <f>Table1[[#This Row],[Unit Price]]*Table1[[#This Row],[Quantity]]</f>
        <v>2100000</v>
      </c>
      <c r="N1216" s="9">
        <f>Table1[[#This Row],[Cost Price]]*Table1[[#This Row],[Quantity]]</f>
        <v>1680000</v>
      </c>
      <c r="O1216" s="9">
        <f>Table1[[#This Row],[Revenue]]-Table1[[#This Row],[COGS]]</f>
        <v>420000</v>
      </c>
      <c r="P1216" s="6">
        <v>1215</v>
      </c>
    </row>
    <row r="1217" spans="1:16">
      <c r="A1217" s="7" t="s">
        <v>154</v>
      </c>
      <c r="B1217" s="7" t="str">
        <f>TEXT(Table1[[#This Row],[Date]],"MMM")</f>
        <v>Feb</v>
      </c>
      <c r="C1217" t="s">
        <v>35</v>
      </c>
      <c r="D1217" t="s">
        <v>45</v>
      </c>
      <c r="E1217" t="s">
        <v>29</v>
      </c>
      <c r="F1217" t="s">
        <v>30</v>
      </c>
      <c r="G1217" t="s">
        <v>46</v>
      </c>
      <c r="H1217" t="s">
        <v>39</v>
      </c>
      <c r="I1217" s="9">
        <v>60000</v>
      </c>
      <c r="J1217">
        <v>5</v>
      </c>
      <c r="K1217" t="s">
        <v>33</v>
      </c>
      <c r="L1217" s="9">
        <f t="shared" si="18"/>
        <v>48000</v>
      </c>
      <c r="M1217" s="9">
        <f>Table1[[#This Row],[Unit Price]]*Table1[[#This Row],[Quantity]]</f>
        <v>300000</v>
      </c>
      <c r="N1217" s="9">
        <f>Table1[[#This Row],[Cost Price]]*Table1[[#This Row],[Quantity]]</f>
        <v>240000</v>
      </c>
      <c r="O1217" s="9">
        <f>Table1[[#This Row],[Revenue]]-Table1[[#This Row],[COGS]]</f>
        <v>60000</v>
      </c>
      <c r="P1217" s="6">
        <v>1216</v>
      </c>
    </row>
    <row r="1218" spans="1:16">
      <c r="A1218" s="7" t="s">
        <v>90</v>
      </c>
      <c r="B1218" s="7" t="str">
        <f>TEXT(Table1[[#This Row],[Date]],"MMM")</f>
        <v>Feb</v>
      </c>
      <c r="C1218" t="s">
        <v>44</v>
      </c>
      <c r="D1218" t="s">
        <v>28</v>
      </c>
      <c r="E1218" t="s">
        <v>41</v>
      </c>
      <c r="F1218" t="s">
        <v>30</v>
      </c>
      <c r="G1218" t="s">
        <v>71</v>
      </c>
      <c r="H1218" t="s">
        <v>51</v>
      </c>
      <c r="I1218" s="9">
        <v>250000</v>
      </c>
      <c r="J1218">
        <v>10</v>
      </c>
      <c r="K1218" t="s">
        <v>42</v>
      </c>
      <c r="L1218" s="9">
        <f t="shared" ref="L1218:L1281" si="19">I1218-I1218*0.2</f>
        <v>200000</v>
      </c>
      <c r="M1218" s="9">
        <f>Table1[[#This Row],[Unit Price]]*Table1[[#This Row],[Quantity]]</f>
        <v>2500000</v>
      </c>
      <c r="N1218" s="9">
        <f>Table1[[#This Row],[Cost Price]]*Table1[[#This Row],[Quantity]]</f>
        <v>2000000</v>
      </c>
      <c r="O1218" s="9">
        <f>Table1[[#This Row],[Revenue]]-Table1[[#This Row],[COGS]]</f>
        <v>500000</v>
      </c>
      <c r="P1218" s="6">
        <v>1217</v>
      </c>
    </row>
    <row r="1219" spans="1:16">
      <c r="A1219" s="7" t="s">
        <v>137</v>
      </c>
      <c r="B1219" s="7" t="str">
        <f>TEXT(Table1[[#This Row],[Date]],"MMM")</f>
        <v>Apr</v>
      </c>
      <c r="C1219" t="s">
        <v>27</v>
      </c>
      <c r="D1219" t="s">
        <v>36</v>
      </c>
      <c r="E1219" t="s">
        <v>29</v>
      </c>
      <c r="F1219" t="s">
        <v>30</v>
      </c>
      <c r="G1219" t="s">
        <v>46</v>
      </c>
      <c r="H1219" t="s">
        <v>39</v>
      </c>
      <c r="I1219" s="9">
        <v>60000</v>
      </c>
      <c r="J1219">
        <v>3</v>
      </c>
      <c r="K1219" t="s">
        <v>42</v>
      </c>
      <c r="L1219" s="9">
        <f t="shared" si="19"/>
        <v>48000</v>
      </c>
      <c r="M1219" s="9">
        <f>Table1[[#This Row],[Unit Price]]*Table1[[#This Row],[Quantity]]</f>
        <v>180000</v>
      </c>
      <c r="N1219" s="9">
        <f>Table1[[#This Row],[Cost Price]]*Table1[[#This Row],[Quantity]]</f>
        <v>144000</v>
      </c>
      <c r="O1219" s="9">
        <f>Table1[[#This Row],[Revenue]]-Table1[[#This Row],[COGS]]</f>
        <v>36000</v>
      </c>
      <c r="P1219" s="6">
        <v>1218</v>
      </c>
    </row>
    <row r="1220" spans="1:16">
      <c r="A1220" s="7" t="s">
        <v>150</v>
      </c>
      <c r="B1220" s="7" t="str">
        <f>TEXT(Table1[[#This Row],[Date]],"MMM")</f>
        <v>Jan</v>
      </c>
      <c r="C1220" t="s">
        <v>27</v>
      </c>
      <c r="D1220" t="s">
        <v>53</v>
      </c>
      <c r="E1220" t="s">
        <v>41</v>
      </c>
      <c r="F1220" t="s">
        <v>30</v>
      </c>
      <c r="G1220" t="s">
        <v>73</v>
      </c>
      <c r="H1220" t="s">
        <v>39</v>
      </c>
      <c r="I1220" s="9">
        <v>220000</v>
      </c>
      <c r="J1220">
        <v>5</v>
      </c>
      <c r="K1220" t="s">
        <v>65</v>
      </c>
      <c r="L1220" s="9">
        <f t="shared" si="19"/>
        <v>176000</v>
      </c>
      <c r="M1220" s="9">
        <f>Table1[[#This Row],[Unit Price]]*Table1[[#This Row],[Quantity]]</f>
        <v>1100000</v>
      </c>
      <c r="N1220" s="9">
        <f>Table1[[#This Row],[Cost Price]]*Table1[[#This Row],[Quantity]]</f>
        <v>880000</v>
      </c>
      <c r="O1220" s="9">
        <f>Table1[[#This Row],[Revenue]]-Table1[[#This Row],[COGS]]</f>
        <v>220000</v>
      </c>
      <c r="P1220" s="6">
        <v>1219</v>
      </c>
    </row>
    <row r="1221" spans="1:16">
      <c r="A1221" s="7" t="s">
        <v>165</v>
      </c>
      <c r="B1221" s="7" t="str">
        <f>TEXT(Table1[[#This Row],[Date]],"MMM")</f>
        <v>Apr</v>
      </c>
      <c r="C1221" t="s">
        <v>44</v>
      </c>
      <c r="D1221" t="s">
        <v>28</v>
      </c>
      <c r="E1221" t="s">
        <v>41</v>
      </c>
      <c r="F1221" t="s">
        <v>37</v>
      </c>
      <c r="G1221" t="s">
        <v>67</v>
      </c>
      <c r="H1221" t="s">
        <v>51</v>
      </c>
      <c r="I1221" s="9">
        <v>420000</v>
      </c>
      <c r="J1221">
        <v>3</v>
      </c>
      <c r="K1221" t="s">
        <v>47</v>
      </c>
      <c r="L1221" s="9">
        <f t="shared" si="19"/>
        <v>336000</v>
      </c>
      <c r="M1221" s="9">
        <f>Table1[[#This Row],[Unit Price]]*Table1[[#This Row],[Quantity]]</f>
        <v>1260000</v>
      </c>
      <c r="N1221" s="9">
        <f>Table1[[#This Row],[Cost Price]]*Table1[[#This Row],[Quantity]]</f>
        <v>1008000</v>
      </c>
      <c r="O1221" s="9">
        <f>Table1[[#This Row],[Revenue]]-Table1[[#This Row],[COGS]]</f>
        <v>252000</v>
      </c>
      <c r="P1221" s="6">
        <v>1220</v>
      </c>
    </row>
    <row r="1222" spans="1:16">
      <c r="A1222" s="7" t="s">
        <v>68</v>
      </c>
      <c r="B1222" s="7" t="str">
        <f>TEXT(Table1[[#This Row],[Date]],"MMM")</f>
        <v>Mar</v>
      </c>
      <c r="C1222" t="s">
        <v>27</v>
      </c>
      <c r="D1222" t="s">
        <v>36</v>
      </c>
      <c r="E1222" t="s">
        <v>41</v>
      </c>
      <c r="F1222" t="s">
        <v>37</v>
      </c>
      <c r="G1222" t="s">
        <v>46</v>
      </c>
      <c r="H1222" t="s">
        <v>39</v>
      </c>
      <c r="I1222" s="9">
        <v>60000</v>
      </c>
      <c r="J1222">
        <v>7</v>
      </c>
      <c r="K1222" t="s">
        <v>58</v>
      </c>
      <c r="L1222" s="9">
        <f t="shared" si="19"/>
        <v>48000</v>
      </c>
      <c r="M1222" s="9">
        <f>Table1[[#This Row],[Unit Price]]*Table1[[#This Row],[Quantity]]</f>
        <v>420000</v>
      </c>
      <c r="N1222" s="9">
        <f>Table1[[#This Row],[Cost Price]]*Table1[[#This Row],[Quantity]]</f>
        <v>336000</v>
      </c>
      <c r="O1222" s="9">
        <f>Table1[[#This Row],[Revenue]]-Table1[[#This Row],[COGS]]</f>
        <v>84000</v>
      </c>
      <c r="P1222" s="6">
        <v>1221</v>
      </c>
    </row>
    <row r="1223" spans="1:16">
      <c r="A1223" s="7" t="s">
        <v>75</v>
      </c>
      <c r="B1223" s="7" t="str">
        <f>TEXT(Table1[[#This Row],[Date]],"MMM")</f>
        <v>Mar</v>
      </c>
      <c r="C1223" t="s">
        <v>27</v>
      </c>
      <c r="D1223" t="s">
        <v>28</v>
      </c>
      <c r="E1223" t="s">
        <v>29</v>
      </c>
      <c r="F1223" t="s">
        <v>30</v>
      </c>
      <c r="G1223" t="s">
        <v>73</v>
      </c>
      <c r="H1223" t="s">
        <v>39</v>
      </c>
      <c r="I1223" s="9">
        <v>220000</v>
      </c>
      <c r="J1223">
        <v>8</v>
      </c>
      <c r="K1223" t="s">
        <v>47</v>
      </c>
      <c r="L1223" s="9">
        <f t="shared" si="19"/>
        <v>176000</v>
      </c>
      <c r="M1223" s="9">
        <f>Table1[[#This Row],[Unit Price]]*Table1[[#This Row],[Quantity]]</f>
        <v>1760000</v>
      </c>
      <c r="N1223" s="9">
        <f>Table1[[#This Row],[Cost Price]]*Table1[[#This Row],[Quantity]]</f>
        <v>1408000</v>
      </c>
      <c r="O1223" s="9">
        <f>Table1[[#This Row],[Revenue]]-Table1[[#This Row],[COGS]]</f>
        <v>352000</v>
      </c>
      <c r="P1223" s="6">
        <v>1222</v>
      </c>
    </row>
    <row r="1224" spans="1:16">
      <c r="A1224" s="7" t="s">
        <v>76</v>
      </c>
      <c r="B1224" s="7" t="str">
        <f>TEXT(Table1[[#This Row],[Date]],"MMM")</f>
        <v>May</v>
      </c>
      <c r="C1224" t="s">
        <v>27</v>
      </c>
      <c r="D1224" t="s">
        <v>53</v>
      </c>
      <c r="E1224" t="s">
        <v>41</v>
      </c>
      <c r="F1224" t="s">
        <v>37</v>
      </c>
      <c r="G1224" t="s">
        <v>71</v>
      </c>
      <c r="H1224" t="s">
        <v>51</v>
      </c>
      <c r="I1224" s="9">
        <v>250000</v>
      </c>
      <c r="J1224">
        <v>6</v>
      </c>
      <c r="K1224" t="s">
        <v>65</v>
      </c>
      <c r="L1224" s="9">
        <f t="shared" si="19"/>
        <v>200000</v>
      </c>
      <c r="M1224" s="9">
        <f>Table1[[#This Row],[Unit Price]]*Table1[[#This Row],[Quantity]]</f>
        <v>1500000</v>
      </c>
      <c r="N1224" s="9">
        <f>Table1[[#This Row],[Cost Price]]*Table1[[#This Row],[Quantity]]</f>
        <v>1200000</v>
      </c>
      <c r="O1224" s="9">
        <f>Table1[[#This Row],[Revenue]]-Table1[[#This Row],[COGS]]</f>
        <v>300000</v>
      </c>
      <c r="P1224" s="6">
        <v>1223</v>
      </c>
    </row>
    <row r="1225" spans="1:16">
      <c r="A1225" s="7" t="s">
        <v>155</v>
      </c>
      <c r="B1225" s="7" t="str">
        <f>TEXT(Table1[[#This Row],[Date]],"MMM")</f>
        <v>Apr</v>
      </c>
      <c r="C1225" t="s">
        <v>27</v>
      </c>
      <c r="D1225" t="s">
        <v>36</v>
      </c>
      <c r="E1225" t="s">
        <v>41</v>
      </c>
      <c r="F1225" t="s">
        <v>30</v>
      </c>
      <c r="G1225" t="s">
        <v>62</v>
      </c>
      <c r="H1225" t="s">
        <v>51</v>
      </c>
      <c r="I1225" s="9">
        <v>150000</v>
      </c>
      <c r="J1225">
        <v>5</v>
      </c>
      <c r="K1225" t="s">
        <v>47</v>
      </c>
      <c r="L1225" s="9">
        <f t="shared" si="19"/>
        <v>120000</v>
      </c>
      <c r="M1225" s="9">
        <f>Table1[[#This Row],[Unit Price]]*Table1[[#This Row],[Quantity]]</f>
        <v>750000</v>
      </c>
      <c r="N1225" s="9">
        <f>Table1[[#This Row],[Cost Price]]*Table1[[#This Row],[Quantity]]</f>
        <v>600000</v>
      </c>
      <c r="O1225" s="9">
        <f>Table1[[#This Row],[Revenue]]-Table1[[#This Row],[COGS]]</f>
        <v>150000</v>
      </c>
      <c r="P1225" s="6">
        <v>1224</v>
      </c>
    </row>
    <row r="1226" spans="1:16">
      <c r="A1226" s="7" t="s">
        <v>63</v>
      </c>
      <c r="B1226" s="7" t="str">
        <f>TEXT(Table1[[#This Row],[Date]],"MMM")</f>
        <v>Jan</v>
      </c>
      <c r="C1226" t="s">
        <v>49</v>
      </c>
      <c r="D1226" t="s">
        <v>36</v>
      </c>
      <c r="E1226" t="s">
        <v>41</v>
      </c>
      <c r="F1226" t="s">
        <v>30</v>
      </c>
      <c r="G1226" t="s">
        <v>31</v>
      </c>
      <c r="H1226" t="s">
        <v>32</v>
      </c>
      <c r="I1226" s="9">
        <v>85000</v>
      </c>
      <c r="J1226">
        <v>2</v>
      </c>
      <c r="K1226" t="s">
        <v>58</v>
      </c>
      <c r="L1226" s="9">
        <f t="shared" si="19"/>
        <v>68000</v>
      </c>
      <c r="M1226" s="9">
        <f>Table1[[#This Row],[Unit Price]]*Table1[[#This Row],[Quantity]]</f>
        <v>170000</v>
      </c>
      <c r="N1226" s="9">
        <f>Table1[[#This Row],[Cost Price]]*Table1[[#This Row],[Quantity]]</f>
        <v>136000</v>
      </c>
      <c r="O1226" s="9">
        <f>Table1[[#This Row],[Revenue]]-Table1[[#This Row],[COGS]]</f>
        <v>34000</v>
      </c>
      <c r="P1226" s="6">
        <v>1225</v>
      </c>
    </row>
    <row r="1227" spans="1:16">
      <c r="A1227" s="7" t="s">
        <v>144</v>
      </c>
      <c r="B1227" s="7" t="str">
        <f>TEXT(Table1[[#This Row],[Date]],"MMM")</f>
        <v>Feb</v>
      </c>
      <c r="C1227" t="s">
        <v>44</v>
      </c>
      <c r="D1227" t="s">
        <v>28</v>
      </c>
      <c r="E1227" t="s">
        <v>41</v>
      </c>
      <c r="F1227" t="s">
        <v>37</v>
      </c>
      <c r="G1227" t="s">
        <v>31</v>
      </c>
      <c r="H1227" t="s">
        <v>32</v>
      </c>
      <c r="I1227" s="9">
        <v>85000</v>
      </c>
      <c r="J1227">
        <v>6</v>
      </c>
      <c r="K1227" t="s">
        <v>42</v>
      </c>
      <c r="L1227" s="9">
        <f t="shared" si="19"/>
        <v>68000</v>
      </c>
      <c r="M1227" s="9">
        <f>Table1[[#This Row],[Unit Price]]*Table1[[#This Row],[Quantity]]</f>
        <v>510000</v>
      </c>
      <c r="N1227" s="9">
        <f>Table1[[#This Row],[Cost Price]]*Table1[[#This Row],[Quantity]]</f>
        <v>408000</v>
      </c>
      <c r="O1227" s="9">
        <f>Table1[[#This Row],[Revenue]]-Table1[[#This Row],[COGS]]</f>
        <v>102000</v>
      </c>
      <c r="P1227" s="6">
        <v>1226</v>
      </c>
    </row>
    <row r="1228" spans="1:16">
      <c r="A1228" s="7" t="s">
        <v>160</v>
      </c>
      <c r="B1228" s="7" t="str">
        <f>TEXT(Table1[[#This Row],[Date]],"MMM")</f>
        <v>Jan</v>
      </c>
      <c r="C1228" t="s">
        <v>27</v>
      </c>
      <c r="D1228" t="s">
        <v>53</v>
      </c>
      <c r="E1228" t="s">
        <v>41</v>
      </c>
      <c r="F1228" t="s">
        <v>30</v>
      </c>
      <c r="G1228" t="s">
        <v>62</v>
      </c>
      <c r="H1228" t="s">
        <v>51</v>
      </c>
      <c r="I1228" s="9">
        <v>150000</v>
      </c>
      <c r="J1228">
        <v>5</v>
      </c>
      <c r="K1228" t="s">
        <v>58</v>
      </c>
      <c r="L1228" s="9">
        <f t="shared" si="19"/>
        <v>120000</v>
      </c>
      <c r="M1228" s="9">
        <f>Table1[[#This Row],[Unit Price]]*Table1[[#This Row],[Quantity]]</f>
        <v>750000</v>
      </c>
      <c r="N1228" s="9">
        <f>Table1[[#This Row],[Cost Price]]*Table1[[#This Row],[Quantity]]</f>
        <v>600000</v>
      </c>
      <c r="O1228" s="9">
        <f>Table1[[#This Row],[Revenue]]-Table1[[#This Row],[COGS]]</f>
        <v>150000</v>
      </c>
      <c r="P1228" s="6">
        <v>1227</v>
      </c>
    </row>
    <row r="1229" spans="1:16">
      <c r="A1229" s="7" t="s">
        <v>145</v>
      </c>
      <c r="B1229" s="7" t="str">
        <f>TEXT(Table1[[#This Row],[Date]],"MMM")</f>
        <v>Jan</v>
      </c>
      <c r="C1229" t="s">
        <v>27</v>
      </c>
      <c r="D1229" t="s">
        <v>45</v>
      </c>
      <c r="E1229" t="s">
        <v>41</v>
      </c>
      <c r="F1229" t="s">
        <v>37</v>
      </c>
      <c r="G1229" t="s">
        <v>67</v>
      </c>
      <c r="H1229" t="s">
        <v>51</v>
      </c>
      <c r="I1229" s="9">
        <v>420000</v>
      </c>
      <c r="J1229">
        <v>4</v>
      </c>
      <c r="K1229" t="s">
        <v>65</v>
      </c>
      <c r="L1229" s="9">
        <f t="shared" si="19"/>
        <v>336000</v>
      </c>
      <c r="M1229" s="9">
        <f>Table1[[#This Row],[Unit Price]]*Table1[[#This Row],[Quantity]]</f>
        <v>1680000</v>
      </c>
      <c r="N1229" s="9">
        <f>Table1[[#This Row],[Cost Price]]*Table1[[#This Row],[Quantity]]</f>
        <v>1344000</v>
      </c>
      <c r="O1229" s="9">
        <f>Table1[[#This Row],[Revenue]]-Table1[[#This Row],[COGS]]</f>
        <v>336000</v>
      </c>
      <c r="P1229" s="6">
        <v>1228</v>
      </c>
    </row>
    <row r="1230" spans="1:16">
      <c r="A1230" s="7" t="s">
        <v>138</v>
      </c>
      <c r="B1230" s="7" t="str">
        <f>TEXT(Table1[[#This Row],[Date]],"MMM")</f>
        <v>Apr</v>
      </c>
      <c r="C1230" t="s">
        <v>35</v>
      </c>
      <c r="D1230" t="s">
        <v>45</v>
      </c>
      <c r="E1230" t="s">
        <v>41</v>
      </c>
      <c r="F1230" t="s">
        <v>37</v>
      </c>
      <c r="G1230" t="s">
        <v>50</v>
      </c>
      <c r="H1230" t="s">
        <v>51</v>
      </c>
      <c r="I1230" s="9">
        <v>300000</v>
      </c>
      <c r="J1230">
        <v>6</v>
      </c>
      <c r="K1230" t="s">
        <v>69</v>
      </c>
      <c r="L1230" s="9">
        <f t="shared" si="19"/>
        <v>240000</v>
      </c>
      <c r="M1230" s="9">
        <f>Table1[[#This Row],[Unit Price]]*Table1[[#This Row],[Quantity]]</f>
        <v>1800000</v>
      </c>
      <c r="N1230" s="9">
        <f>Table1[[#This Row],[Cost Price]]*Table1[[#This Row],[Quantity]]</f>
        <v>1440000</v>
      </c>
      <c r="O1230" s="9">
        <f>Table1[[#This Row],[Revenue]]-Table1[[#This Row],[COGS]]</f>
        <v>360000</v>
      </c>
      <c r="P1230" s="6">
        <v>1229</v>
      </c>
    </row>
    <row r="1231" spans="1:16">
      <c r="A1231" s="7" t="s">
        <v>177</v>
      </c>
      <c r="B1231" s="7" t="str">
        <f>TEXT(Table1[[#This Row],[Date]],"MMM")</f>
        <v>Mar</v>
      </c>
      <c r="C1231" t="s">
        <v>49</v>
      </c>
      <c r="D1231" t="s">
        <v>28</v>
      </c>
      <c r="E1231" t="s">
        <v>41</v>
      </c>
      <c r="F1231" t="s">
        <v>30</v>
      </c>
      <c r="G1231" t="s">
        <v>46</v>
      </c>
      <c r="H1231" t="s">
        <v>39</v>
      </c>
      <c r="I1231" s="9">
        <v>60000</v>
      </c>
      <c r="J1231">
        <v>2</v>
      </c>
      <c r="K1231" t="s">
        <v>65</v>
      </c>
      <c r="L1231" s="9">
        <f t="shared" si="19"/>
        <v>48000</v>
      </c>
      <c r="M1231" s="9">
        <f>Table1[[#This Row],[Unit Price]]*Table1[[#This Row],[Quantity]]</f>
        <v>120000</v>
      </c>
      <c r="N1231" s="9">
        <f>Table1[[#This Row],[Cost Price]]*Table1[[#This Row],[Quantity]]</f>
        <v>96000</v>
      </c>
      <c r="O1231" s="9">
        <f>Table1[[#This Row],[Revenue]]-Table1[[#This Row],[COGS]]</f>
        <v>24000</v>
      </c>
      <c r="P1231" s="6">
        <v>1230</v>
      </c>
    </row>
    <row r="1232" spans="1:16">
      <c r="A1232" s="7" t="s">
        <v>63</v>
      </c>
      <c r="B1232" s="7" t="str">
        <f>TEXT(Table1[[#This Row],[Date]],"MMM")</f>
        <v>Jan</v>
      </c>
      <c r="C1232" t="s">
        <v>49</v>
      </c>
      <c r="D1232" t="s">
        <v>53</v>
      </c>
      <c r="E1232" t="s">
        <v>41</v>
      </c>
      <c r="F1232" t="s">
        <v>30</v>
      </c>
      <c r="G1232" t="s">
        <v>31</v>
      </c>
      <c r="H1232" t="s">
        <v>32</v>
      </c>
      <c r="I1232" s="9">
        <v>85000</v>
      </c>
      <c r="J1232">
        <v>5</v>
      </c>
      <c r="K1232" t="s">
        <v>58</v>
      </c>
      <c r="L1232" s="9">
        <f t="shared" si="19"/>
        <v>68000</v>
      </c>
      <c r="M1232" s="9">
        <f>Table1[[#This Row],[Unit Price]]*Table1[[#This Row],[Quantity]]</f>
        <v>425000</v>
      </c>
      <c r="N1232" s="9">
        <f>Table1[[#This Row],[Cost Price]]*Table1[[#This Row],[Quantity]]</f>
        <v>340000</v>
      </c>
      <c r="O1232" s="9">
        <f>Table1[[#This Row],[Revenue]]-Table1[[#This Row],[COGS]]</f>
        <v>85000</v>
      </c>
      <c r="P1232" s="6">
        <v>1231</v>
      </c>
    </row>
    <row r="1233" spans="1:16">
      <c r="A1233" s="7" t="s">
        <v>167</v>
      </c>
      <c r="B1233" s="7" t="str">
        <f>TEXT(Table1[[#This Row],[Date]],"MMM")</f>
        <v>Apr</v>
      </c>
      <c r="C1233" t="s">
        <v>27</v>
      </c>
      <c r="D1233" t="s">
        <v>53</v>
      </c>
      <c r="E1233" t="s">
        <v>29</v>
      </c>
      <c r="F1233" t="s">
        <v>37</v>
      </c>
      <c r="G1233" t="s">
        <v>46</v>
      </c>
      <c r="H1233" t="s">
        <v>39</v>
      </c>
      <c r="I1233" s="9">
        <v>60000</v>
      </c>
      <c r="J1233">
        <v>3</v>
      </c>
      <c r="K1233" t="s">
        <v>42</v>
      </c>
      <c r="L1233" s="9">
        <f t="shared" si="19"/>
        <v>48000</v>
      </c>
      <c r="M1233" s="9">
        <f>Table1[[#This Row],[Unit Price]]*Table1[[#This Row],[Quantity]]</f>
        <v>180000</v>
      </c>
      <c r="N1233" s="9">
        <f>Table1[[#This Row],[Cost Price]]*Table1[[#This Row],[Quantity]]</f>
        <v>144000</v>
      </c>
      <c r="O1233" s="9">
        <f>Table1[[#This Row],[Revenue]]-Table1[[#This Row],[COGS]]</f>
        <v>36000</v>
      </c>
      <c r="P1233" s="6">
        <v>1232</v>
      </c>
    </row>
    <row r="1234" spans="1:16">
      <c r="A1234" s="7" t="s">
        <v>72</v>
      </c>
      <c r="B1234" s="7" t="str">
        <f>TEXT(Table1[[#This Row],[Date]],"MMM")</f>
        <v>Feb</v>
      </c>
      <c r="C1234" t="s">
        <v>49</v>
      </c>
      <c r="D1234" t="s">
        <v>53</v>
      </c>
      <c r="E1234" t="s">
        <v>41</v>
      </c>
      <c r="F1234" t="s">
        <v>30</v>
      </c>
      <c r="G1234" t="s">
        <v>31</v>
      </c>
      <c r="H1234" t="s">
        <v>32</v>
      </c>
      <c r="I1234" s="9">
        <v>85000</v>
      </c>
      <c r="J1234">
        <v>7</v>
      </c>
      <c r="K1234" t="s">
        <v>58</v>
      </c>
      <c r="L1234" s="9">
        <f t="shared" si="19"/>
        <v>68000</v>
      </c>
      <c r="M1234" s="9">
        <f>Table1[[#This Row],[Unit Price]]*Table1[[#This Row],[Quantity]]</f>
        <v>595000</v>
      </c>
      <c r="N1234" s="9">
        <f>Table1[[#This Row],[Cost Price]]*Table1[[#This Row],[Quantity]]</f>
        <v>476000</v>
      </c>
      <c r="O1234" s="9">
        <f>Table1[[#This Row],[Revenue]]-Table1[[#This Row],[COGS]]</f>
        <v>119000</v>
      </c>
      <c r="P1234" s="6">
        <v>1233</v>
      </c>
    </row>
    <row r="1235" spans="1:16">
      <c r="A1235" s="7" t="s">
        <v>77</v>
      </c>
      <c r="B1235" s="7" t="str">
        <f>TEXT(Table1[[#This Row],[Date]],"MMM")</f>
        <v>Apr</v>
      </c>
      <c r="C1235" t="s">
        <v>49</v>
      </c>
      <c r="D1235" t="s">
        <v>36</v>
      </c>
      <c r="E1235" t="s">
        <v>41</v>
      </c>
      <c r="F1235" t="s">
        <v>30</v>
      </c>
      <c r="G1235" t="s">
        <v>54</v>
      </c>
      <c r="H1235" t="s">
        <v>39</v>
      </c>
      <c r="I1235" s="9">
        <v>180000</v>
      </c>
      <c r="J1235">
        <v>5</v>
      </c>
      <c r="K1235" t="s">
        <v>69</v>
      </c>
      <c r="L1235" s="9">
        <f t="shared" si="19"/>
        <v>144000</v>
      </c>
      <c r="M1235" s="9">
        <f>Table1[[#This Row],[Unit Price]]*Table1[[#This Row],[Quantity]]</f>
        <v>900000</v>
      </c>
      <c r="N1235" s="9">
        <f>Table1[[#This Row],[Cost Price]]*Table1[[#This Row],[Quantity]]</f>
        <v>720000</v>
      </c>
      <c r="O1235" s="9">
        <f>Table1[[#This Row],[Revenue]]-Table1[[#This Row],[COGS]]</f>
        <v>180000</v>
      </c>
      <c r="P1235" s="6">
        <v>1234</v>
      </c>
    </row>
    <row r="1236" spans="1:16">
      <c r="A1236" s="7" t="s">
        <v>135</v>
      </c>
      <c r="B1236" s="7" t="str">
        <f>TEXT(Table1[[#This Row],[Date]],"MMM")</f>
        <v>Mar</v>
      </c>
      <c r="C1236" t="s">
        <v>35</v>
      </c>
      <c r="D1236" t="s">
        <v>36</v>
      </c>
      <c r="E1236" t="s">
        <v>29</v>
      </c>
      <c r="F1236" t="s">
        <v>30</v>
      </c>
      <c r="G1236" t="s">
        <v>67</v>
      </c>
      <c r="H1236" t="s">
        <v>51</v>
      </c>
      <c r="I1236" s="9">
        <v>420000</v>
      </c>
      <c r="J1236">
        <v>5</v>
      </c>
      <c r="K1236" t="s">
        <v>47</v>
      </c>
      <c r="L1236" s="9">
        <f t="shared" si="19"/>
        <v>336000</v>
      </c>
      <c r="M1236" s="9">
        <f>Table1[[#This Row],[Unit Price]]*Table1[[#This Row],[Quantity]]</f>
        <v>2100000</v>
      </c>
      <c r="N1236" s="9">
        <f>Table1[[#This Row],[Cost Price]]*Table1[[#This Row],[Quantity]]</f>
        <v>1680000</v>
      </c>
      <c r="O1236" s="9">
        <f>Table1[[#This Row],[Revenue]]-Table1[[#This Row],[COGS]]</f>
        <v>420000</v>
      </c>
      <c r="P1236" s="6">
        <v>1235</v>
      </c>
    </row>
    <row r="1237" spans="1:16">
      <c r="A1237" s="7" t="s">
        <v>108</v>
      </c>
      <c r="B1237" s="7" t="str">
        <f>TEXT(Table1[[#This Row],[Date]],"MMM")</f>
        <v>Apr</v>
      </c>
      <c r="C1237" t="s">
        <v>35</v>
      </c>
      <c r="D1237" t="s">
        <v>53</v>
      </c>
      <c r="E1237" t="s">
        <v>41</v>
      </c>
      <c r="F1237" t="s">
        <v>37</v>
      </c>
      <c r="G1237" t="s">
        <v>31</v>
      </c>
      <c r="H1237" t="s">
        <v>32</v>
      </c>
      <c r="I1237" s="9">
        <v>85000</v>
      </c>
      <c r="J1237">
        <v>6</v>
      </c>
      <c r="K1237" t="s">
        <v>47</v>
      </c>
      <c r="L1237" s="9">
        <f t="shared" si="19"/>
        <v>68000</v>
      </c>
      <c r="M1237" s="9">
        <f>Table1[[#This Row],[Unit Price]]*Table1[[#This Row],[Quantity]]</f>
        <v>510000</v>
      </c>
      <c r="N1237" s="9">
        <f>Table1[[#This Row],[Cost Price]]*Table1[[#This Row],[Quantity]]</f>
        <v>408000</v>
      </c>
      <c r="O1237" s="9">
        <f>Table1[[#This Row],[Revenue]]-Table1[[#This Row],[COGS]]</f>
        <v>102000</v>
      </c>
      <c r="P1237" s="6">
        <v>1236</v>
      </c>
    </row>
    <row r="1238" spans="1:16">
      <c r="A1238" s="7" t="s">
        <v>103</v>
      </c>
      <c r="B1238" s="7" t="str">
        <f>TEXT(Table1[[#This Row],[Date]],"MMM")</f>
        <v>Mar</v>
      </c>
      <c r="C1238" t="s">
        <v>49</v>
      </c>
      <c r="D1238" t="s">
        <v>28</v>
      </c>
      <c r="E1238" t="s">
        <v>29</v>
      </c>
      <c r="F1238" t="s">
        <v>37</v>
      </c>
      <c r="G1238" t="s">
        <v>67</v>
      </c>
      <c r="H1238" t="s">
        <v>51</v>
      </c>
      <c r="I1238" s="9">
        <v>420000</v>
      </c>
      <c r="J1238">
        <v>7</v>
      </c>
      <c r="K1238" t="s">
        <v>33</v>
      </c>
      <c r="L1238" s="9">
        <f t="shared" si="19"/>
        <v>336000</v>
      </c>
      <c r="M1238" s="9">
        <f>Table1[[#This Row],[Unit Price]]*Table1[[#This Row],[Quantity]]</f>
        <v>2940000</v>
      </c>
      <c r="N1238" s="9">
        <f>Table1[[#This Row],[Cost Price]]*Table1[[#This Row],[Quantity]]</f>
        <v>2352000</v>
      </c>
      <c r="O1238" s="9">
        <f>Table1[[#This Row],[Revenue]]-Table1[[#This Row],[COGS]]</f>
        <v>588000</v>
      </c>
      <c r="P1238" s="6">
        <v>1237</v>
      </c>
    </row>
    <row r="1239" spans="1:16">
      <c r="A1239" s="7" t="s">
        <v>159</v>
      </c>
      <c r="B1239" s="7" t="str">
        <f>TEXT(Table1[[#This Row],[Date]],"MMM")</f>
        <v>Feb</v>
      </c>
      <c r="C1239" t="s">
        <v>44</v>
      </c>
      <c r="D1239" t="s">
        <v>53</v>
      </c>
      <c r="E1239" t="s">
        <v>41</v>
      </c>
      <c r="F1239" t="s">
        <v>30</v>
      </c>
      <c r="G1239" t="s">
        <v>67</v>
      </c>
      <c r="H1239" t="s">
        <v>51</v>
      </c>
      <c r="I1239" s="9">
        <v>420000</v>
      </c>
      <c r="J1239">
        <v>9</v>
      </c>
      <c r="K1239" t="s">
        <v>69</v>
      </c>
      <c r="L1239" s="9">
        <f t="shared" si="19"/>
        <v>336000</v>
      </c>
      <c r="M1239" s="9">
        <f>Table1[[#This Row],[Unit Price]]*Table1[[#This Row],[Quantity]]</f>
        <v>3780000</v>
      </c>
      <c r="N1239" s="9">
        <f>Table1[[#This Row],[Cost Price]]*Table1[[#This Row],[Quantity]]</f>
        <v>3024000</v>
      </c>
      <c r="O1239" s="9">
        <f>Table1[[#This Row],[Revenue]]-Table1[[#This Row],[COGS]]</f>
        <v>756000</v>
      </c>
      <c r="P1239" s="6">
        <v>1238</v>
      </c>
    </row>
    <row r="1240" spans="1:16">
      <c r="A1240" s="7" t="s">
        <v>90</v>
      </c>
      <c r="B1240" s="7" t="str">
        <f>TEXT(Table1[[#This Row],[Date]],"MMM")</f>
        <v>Feb</v>
      </c>
      <c r="C1240" t="s">
        <v>27</v>
      </c>
      <c r="D1240" t="s">
        <v>36</v>
      </c>
      <c r="E1240" t="s">
        <v>41</v>
      </c>
      <c r="F1240" t="s">
        <v>30</v>
      </c>
      <c r="G1240" t="s">
        <v>50</v>
      </c>
      <c r="H1240" t="s">
        <v>51</v>
      </c>
      <c r="I1240" s="9">
        <v>300000</v>
      </c>
      <c r="J1240">
        <v>3</v>
      </c>
      <c r="K1240" t="s">
        <v>65</v>
      </c>
      <c r="L1240" s="9">
        <f t="shared" si="19"/>
        <v>240000</v>
      </c>
      <c r="M1240" s="9">
        <f>Table1[[#This Row],[Unit Price]]*Table1[[#This Row],[Quantity]]</f>
        <v>900000</v>
      </c>
      <c r="N1240" s="9">
        <f>Table1[[#This Row],[Cost Price]]*Table1[[#This Row],[Quantity]]</f>
        <v>720000</v>
      </c>
      <c r="O1240" s="9">
        <f>Table1[[#This Row],[Revenue]]-Table1[[#This Row],[COGS]]</f>
        <v>180000</v>
      </c>
      <c r="P1240" s="6">
        <v>1239</v>
      </c>
    </row>
    <row r="1241" spans="1:16">
      <c r="A1241" s="7" t="s">
        <v>145</v>
      </c>
      <c r="B1241" s="7" t="str">
        <f>TEXT(Table1[[#This Row],[Date]],"MMM")</f>
        <v>Jan</v>
      </c>
      <c r="C1241" t="s">
        <v>35</v>
      </c>
      <c r="D1241" t="s">
        <v>45</v>
      </c>
      <c r="E1241" t="s">
        <v>29</v>
      </c>
      <c r="F1241" t="s">
        <v>30</v>
      </c>
      <c r="G1241" t="s">
        <v>31</v>
      </c>
      <c r="H1241" t="s">
        <v>32</v>
      </c>
      <c r="I1241" s="9">
        <v>85000</v>
      </c>
      <c r="J1241">
        <v>9</v>
      </c>
      <c r="K1241" t="s">
        <v>65</v>
      </c>
      <c r="L1241" s="9">
        <f t="shared" si="19"/>
        <v>68000</v>
      </c>
      <c r="M1241" s="9">
        <f>Table1[[#This Row],[Unit Price]]*Table1[[#This Row],[Quantity]]</f>
        <v>765000</v>
      </c>
      <c r="N1241" s="9">
        <f>Table1[[#This Row],[Cost Price]]*Table1[[#This Row],[Quantity]]</f>
        <v>612000</v>
      </c>
      <c r="O1241" s="9">
        <f>Table1[[#This Row],[Revenue]]-Table1[[#This Row],[COGS]]</f>
        <v>153000</v>
      </c>
      <c r="P1241" s="6">
        <v>1240</v>
      </c>
    </row>
    <row r="1242" spans="1:16">
      <c r="A1242" s="7" t="s">
        <v>141</v>
      </c>
      <c r="B1242" s="7" t="str">
        <f>TEXT(Table1[[#This Row],[Date]],"MMM")</f>
        <v>Mar</v>
      </c>
      <c r="C1242" t="s">
        <v>44</v>
      </c>
      <c r="D1242" t="s">
        <v>28</v>
      </c>
      <c r="E1242" t="s">
        <v>41</v>
      </c>
      <c r="F1242" t="s">
        <v>37</v>
      </c>
      <c r="G1242" t="s">
        <v>73</v>
      </c>
      <c r="H1242" t="s">
        <v>39</v>
      </c>
      <c r="I1242" s="9">
        <v>220000</v>
      </c>
      <c r="J1242">
        <v>7</v>
      </c>
      <c r="K1242" t="s">
        <v>58</v>
      </c>
      <c r="L1242" s="9">
        <f t="shared" si="19"/>
        <v>176000</v>
      </c>
      <c r="M1242" s="9">
        <f>Table1[[#This Row],[Unit Price]]*Table1[[#This Row],[Quantity]]</f>
        <v>1540000</v>
      </c>
      <c r="N1242" s="9">
        <f>Table1[[#This Row],[Cost Price]]*Table1[[#This Row],[Quantity]]</f>
        <v>1232000</v>
      </c>
      <c r="O1242" s="9">
        <f>Table1[[#This Row],[Revenue]]-Table1[[#This Row],[COGS]]</f>
        <v>308000</v>
      </c>
      <c r="P1242" s="6">
        <v>1241</v>
      </c>
    </row>
    <row r="1243" spans="1:16">
      <c r="A1243" s="7" t="s">
        <v>142</v>
      </c>
      <c r="B1243" s="7" t="str">
        <f>TEXT(Table1[[#This Row],[Date]],"MMM")</f>
        <v>Apr</v>
      </c>
      <c r="C1243" t="s">
        <v>27</v>
      </c>
      <c r="D1243" t="s">
        <v>36</v>
      </c>
      <c r="E1243" t="s">
        <v>41</v>
      </c>
      <c r="F1243" t="s">
        <v>37</v>
      </c>
      <c r="G1243" t="s">
        <v>50</v>
      </c>
      <c r="H1243" t="s">
        <v>51</v>
      </c>
      <c r="I1243" s="9">
        <v>300000</v>
      </c>
      <c r="J1243">
        <v>10</v>
      </c>
      <c r="K1243" t="s">
        <v>33</v>
      </c>
      <c r="L1243" s="9">
        <f t="shared" si="19"/>
        <v>240000</v>
      </c>
      <c r="M1243" s="9">
        <f>Table1[[#This Row],[Unit Price]]*Table1[[#This Row],[Quantity]]</f>
        <v>3000000</v>
      </c>
      <c r="N1243" s="9">
        <f>Table1[[#This Row],[Cost Price]]*Table1[[#This Row],[Quantity]]</f>
        <v>2400000</v>
      </c>
      <c r="O1243" s="9">
        <f>Table1[[#This Row],[Revenue]]-Table1[[#This Row],[COGS]]</f>
        <v>600000</v>
      </c>
      <c r="P1243" s="6">
        <v>1242</v>
      </c>
    </row>
    <row r="1244" spans="1:16">
      <c r="A1244" s="7" t="s">
        <v>114</v>
      </c>
      <c r="B1244" s="7" t="str">
        <f>TEXT(Table1[[#This Row],[Date]],"MMM")</f>
        <v>Apr</v>
      </c>
      <c r="C1244" t="s">
        <v>27</v>
      </c>
      <c r="D1244" t="s">
        <v>28</v>
      </c>
      <c r="E1244" t="s">
        <v>29</v>
      </c>
      <c r="F1244" t="s">
        <v>37</v>
      </c>
      <c r="G1244" t="s">
        <v>31</v>
      </c>
      <c r="H1244" t="s">
        <v>32</v>
      </c>
      <c r="I1244" s="9">
        <v>85000</v>
      </c>
      <c r="J1244">
        <v>8</v>
      </c>
      <c r="K1244" t="s">
        <v>65</v>
      </c>
      <c r="L1244" s="9">
        <f t="shared" si="19"/>
        <v>68000</v>
      </c>
      <c r="M1244" s="9">
        <f>Table1[[#This Row],[Unit Price]]*Table1[[#This Row],[Quantity]]</f>
        <v>680000</v>
      </c>
      <c r="N1244" s="9">
        <f>Table1[[#This Row],[Cost Price]]*Table1[[#This Row],[Quantity]]</f>
        <v>544000</v>
      </c>
      <c r="O1244" s="9">
        <f>Table1[[#This Row],[Revenue]]-Table1[[#This Row],[COGS]]</f>
        <v>136000</v>
      </c>
      <c r="P1244" s="6">
        <v>1243</v>
      </c>
    </row>
    <row r="1245" spans="1:16">
      <c r="A1245" s="7" t="s">
        <v>86</v>
      </c>
      <c r="B1245" s="7" t="str">
        <f>TEXT(Table1[[#This Row],[Date]],"MMM")</f>
        <v>Feb</v>
      </c>
      <c r="C1245" t="s">
        <v>35</v>
      </c>
      <c r="D1245" t="s">
        <v>36</v>
      </c>
      <c r="E1245" t="s">
        <v>41</v>
      </c>
      <c r="F1245" t="s">
        <v>30</v>
      </c>
      <c r="G1245" t="s">
        <v>38</v>
      </c>
      <c r="H1245" t="s">
        <v>39</v>
      </c>
      <c r="I1245" s="9">
        <v>30000</v>
      </c>
      <c r="J1245">
        <v>3</v>
      </c>
      <c r="K1245" t="s">
        <v>65</v>
      </c>
      <c r="L1245" s="9">
        <f t="shared" si="19"/>
        <v>24000</v>
      </c>
      <c r="M1245" s="9">
        <f>Table1[[#This Row],[Unit Price]]*Table1[[#This Row],[Quantity]]</f>
        <v>90000</v>
      </c>
      <c r="N1245" s="9">
        <f>Table1[[#This Row],[Cost Price]]*Table1[[#This Row],[Quantity]]</f>
        <v>72000</v>
      </c>
      <c r="O1245" s="9">
        <f>Table1[[#This Row],[Revenue]]-Table1[[#This Row],[COGS]]</f>
        <v>18000</v>
      </c>
      <c r="P1245" s="6">
        <v>1244</v>
      </c>
    </row>
    <row r="1246" spans="1:16">
      <c r="A1246" s="7" t="s">
        <v>125</v>
      </c>
      <c r="B1246" s="7" t="str">
        <f>TEXT(Table1[[#This Row],[Date]],"MMM")</f>
        <v>Feb</v>
      </c>
      <c r="C1246" t="s">
        <v>44</v>
      </c>
      <c r="D1246" t="s">
        <v>45</v>
      </c>
      <c r="E1246" t="s">
        <v>41</v>
      </c>
      <c r="F1246" t="s">
        <v>37</v>
      </c>
      <c r="G1246" t="s">
        <v>31</v>
      </c>
      <c r="H1246" t="s">
        <v>32</v>
      </c>
      <c r="I1246" s="9">
        <v>85000</v>
      </c>
      <c r="J1246">
        <v>8</v>
      </c>
      <c r="K1246" t="s">
        <v>58</v>
      </c>
      <c r="L1246" s="9">
        <f t="shared" si="19"/>
        <v>68000</v>
      </c>
      <c r="M1246" s="9">
        <f>Table1[[#This Row],[Unit Price]]*Table1[[#This Row],[Quantity]]</f>
        <v>680000</v>
      </c>
      <c r="N1246" s="9">
        <f>Table1[[#This Row],[Cost Price]]*Table1[[#This Row],[Quantity]]</f>
        <v>544000</v>
      </c>
      <c r="O1246" s="9">
        <f>Table1[[#This Row],[Revenue]]-Table1[[#This Row],[COGS]]</f>
        <v>136000</v>
      </c>
      <c r="P1246" s="6">
        <v>1245</v>
      </c>
    </row>
    <row r="1247" spans="1:16">
      <c r="A1247" s="7" t="s">
        <v>80</v>
      </c>
      <c r="B1247" s="7" t="str">
        <f>TEXT(Table1[[#This Row],[Date]],"MMM")</f>
        <v>Feb</v>
      </c>
      <c r="C1247" t="s">
        <v>27</v>
      </c>
      <c r="D1247" t="s">
        <v>45</v>
      </c>
      <c r="E1247" t="s">
        <v>29</v>
      </c>
      <c r="F1247" t="s">
        <v>37</v>
      </c>
      <c r="G1247" t="s">
        <v>54</v>
      </c>
      <c r="H1247" t="s">
        <v>39</v>
      </c>
      <c r="I1247" s="9">
        <v>180000</v>
      </c>
      <c r="J1247">
        <v>3</v>
      </c>
      <c r="K1247" t="s">
        <v>58</v>
      </c>
      <c r="L1247" s="9">
        <f t="shared" si="19"/>
        <v>144000</v>
      </c>
      <c r="M1247" s="9">
        <f>Table1[[#This Row],[Unit Price]]*Table1[[#This Row],[Quantity]]</f>
        <v>540000</v>
      </c>
      <c r="N1247" s="9">
        <f>Table1[[#This Row],[Cost Price]]*Table1[[#This Row],[Quantity]]</f>
        <v>432000</v>
      </c>
      <c r="O1247" s="9">
        <f>Table1[[#This Row],[Revenue]]-Table1[[#This Row],[COGS]]</f>
        <v>108000</v>
      </c>
      <c r="P1247" s="6">
        <v>1246</v>
      </c>
    </row>
    <row r="1248" spans="1:16">
      <c r="A1248" s="7" t="s">
        <v>164</v>
      </c>
      <c r="B1248" s="7" t="str">
        <f>TEXT(Table1[[#This Row],[Date]],"MMM")</f>
        <v>Mar</v>
      </c>
      <c r="C1248" t="s">
        <v>49</v>
      </c>
      <c r="D1248" t="s">
        <v>28</v>
      </c>
      <c r="E1248" t="s">
        <v>29</v>
      </c>
      <c r="F1248" t="s">
        <v>30</v>
      </c>
      <c r="G1248" t="s">
        <v>73</v>
      </c>
      <c r="H1248" t="s">
        <v>39</v>
      </c>
      <c r="I1248" s="9">
        <v>220000</v>
      </c>
      <c r="J1248">
        <v>7</v>
      </c>
      <c r="K1248" t="s">
        <v>65</v>
      </c>
      <c r="L1248" s="9">
        <f t="shared" si="19"/>
        <v>176000</v>
      </c>
      <c r="M1248" s="9">
        <f>Table1[[#This Row],[Unit Price]]*Table1[[#This Row],[Quantity]]</f>
        <v>1540000</v>
      </c>
      <c r="N1248" s="9">
        <f>Table1[[#This Row],[Cost Price]]*Table1[[#This Row],[Quantity]]</f>
        <v>1232000</v>
      </c>
      <c r="O1248" s="9">
        <f>Table1[[#This Row],[Revenue]]-Table1[[#This Row],[COGS]]</f>
        <v>308000</v>
      </c>
      <c r="P1248" s="6">
        <v>1247</v>
      </c>
    </row>
    <row r="1249" spans="1:16">
      <c r="A1249" s="7" t="s">
        <v>55</v>
      </c>
      <c r="B1249" s="7" t="str">
        <f>TEXT(Table1[[#This Row],[Date]],"MMM")</f>
        <v>Mar</v>
      </c>
      <c r="C1249" t="s">
        <v>49</v>
      </c>
      <c r="D1249" t="s">
        <v>45</v>
      </c>
      <c r="E1249" t="s">
        <v>29</v>
      </c>
      <c r="F1249" t="s">
        <v>30</v>
      </c>
      <c r="G1249" t="s">
        <v>54</v>
      </c>
      <c r="H1249" t="s">
        <v>39</v>
      </c>
      <c r="I1249" s="9">
        <v>180000</v>
      </c>
      <c r="J1249">
        <v>8</v>
      </c>
      <c r="K1249" t="s">
        <v>69</v>
      </c>
      <c r="L1249" s="9">
        <f t="shared" si="19"/>
        <v>144000</v>
      </c>
      <c r="M1249" s="9">
        <f>Table1[[#This Row],[Unit Price]]*Table1[[#This Row],[Quantity]]</f>
        <v>1440000</v>
      </c>
      <c r="N1249" s="9">
        <f>Table1[[#This Row],[Cost Price]]*Table1[[#This Row],[Quantity]]</f>
        <v>1152000</v>
      </c>
      <c r="O1249" s="9">
        <f>Table1[[#This Row],[Revenue]]-Table1[[#This Row],[COGS]]</f>
        <v>288000</v>
      </c>
      <c r="P1249" s="6">
        <v>1248</v>
      </c>
    </row>
    <row r="1250" spans="1:16">
      <c r="A1250" s="7" t="s">
        <v>172</v>
      </c>
      <c r="B1250" s="7" t="str">
        <f>TEXT(Table1[[#This Row],[Date]],"MMM")</f>
        <v>Mar</v>
      </c>
      <c r="C1250" t="s">
        <v>44</v>
      </c>
      <c r="D1250" t="s">
        <v>53</v>
      </c>
      <c r="E1250" t="s">
        <v>29</v>
      </c>
      <c r="F1250" t="s">
        <v>30</v>
      </c>
      <c r="G1250" t="s">
        <v>38</v>
      </c>
      <c r="H1250" t="s">
        <v>39</v>
      </c>
      <c r="I1250" s="9">
        <v>30000</v>
      </c>
      <c r="J1250">
        <v>1</v>
      </c>
      <c r="K1250" t="s">
        <v>47</v>
      </c>
      <c r="L1250" s="9">
        <f t="shared" si="19"/>
        <v>24000</v>
      </c>
      <c r="M1250" s="9">
        <f>Table1[[#This Row],[Unit Price]]*Table1[[#This Row],[Quantity]]</f>
        <v>30000</v>
      </c>
      <c r="N1250" s="9">
        <f>Table1[[#This Row],[Cost Price]]*Table1[[#This Row],[Quantity]]</f>
        <v>24000</v>
      </c>
      <c r="O1250" s="9">
        <f>Table1[[#This Row],[Revenue]]-Table1[[#This Row],[COGS]]</f>
        <v>6000</v>
      </c>
      <c r="P1250" s="6">
        <v>1249</v>
      </c>
    </row>
    <row r="1251" spans="1:16">
      <c r="A1251" s="7" t="s">
        <v>90</v>
      </c>
      <c r="B1251" s="7" t="str">
        <f>TEXT(Table1[[#This Row],[Date]],"MMM")</f>
        <v>Feb</v>
      </c>
      <c r="C1251" t="s">
        <v>35</v>
      </c>
      <c r="D1251" t="s">
        <v>36</v>
      </c>
      <c r="E1251" t="s">
        <v>29</v>
      </c>
      <c r="F1251" t="s">
        <v>30</v>
      </c>
      <c r="G1251" t="s">
        <v>38</v>
      </c>
      <c r="H1251" t="s">
        <v>39</v>
      </c>
      <c r="I1251" s="9">
        <v>30000</v>
      </c>
      <c r="J1251">
        <v>8</v>
      </c>
      <c r="K1251" t="s">
        <v>58</v>
      </c>
      <c r="L1251" s="9">
        <f t="shared" si="19"/>
        <v>24000</v>
      </c>
      <c r="M1251" s="9">
        <f>Table1[[#This Row],[Unit Price]]*Table1[[#This Row],[Quantity]]</f>
        <v>240000</v>
      </c>
      <c r="N1251" s="9">
        <f>Table1[[#This Row],[Cost Price]]*Table1[[#This Row],[Quantity]]</f>
        <v>192000</v>
      </c>
      <c r="O1251" s="9">
        <f>Table1[[#This Row],[Revenue]]-Table1[[#This Row],[COGS]]</f>
        <v>48000</v>
      </c>
      <c r="P1251" s="6">
        <v>1250</v>
      </c>
    </row>
    <row r="1252" spans="1:16">
      <c r="A1252" s="7" t="s">
        <v>154</v>
      </c>
      <c r="B1252" s="7" t="str">
        <f>TEXT(Table1[[#This Row],[Date]],"MMM")</f>
        <v>Feb</v>
      </c>
      <c r="C1252" t="s">
        <v>44</v>
      </c>
      <c r="D1252" t="s">
        <v>28</v>
      </c>
      <c r="E1252" t="s">
        <v>29</v>
      </c>
      <c r="F1252" t="s">
        <v>30</v>
      </c>
      <c r="G1252" t="s">
        <v>54</v>
      </c>
      <c r="H1252" t="s">
        <v>39</v>
      </c>
      <c r="I1252" s="9">
        <v>180000</v>
      </c>
      <c r="J1252">
        <v>3</v>
      </c>
      <c r="K1252" t="s">
        <v>69</v>
      </c>
      <c r="L1252" s="9">
        <f t="shared" si="19"/>
        <v>144000</v>
      </c>
      <c r="M1252" s="9">
        <f>Table1[[#This Row],[Unit Price]]*Table1[[#This Row],[Quantity]]</f>
        <v>540000</v>
      </c>
      <c r="N1252" s="9">
        <f>Table1[[#This Row],[Cost Price]]*Table1[[#This Row],[Quantity]]</f>
        <v>432000</v>
      </c>
      <c r="O1252" s="9">
        <f>Table1[[#This Row],[Revenue]]-Table1[[#This Row],[COGS]]</f>
        <v>108000</v>
      </c>
      <c r="P1252" s="6">
        <v>1251</v>
      </c>
    </row>
    <row r="1253" spans="1:16">
      <c r="A1253" s="7" t="s">
        <v>151</v>
      </c>
      <c r="B1253" s="7" t="str">
        <f>TEXT(Table1[[#This Row],[Date]],"MMM")</f>
        <v>Feb</v>
      </c>
      <c r="C1253" t="s">
        <v>44</v>
      </c>
      <c r="D1253" t="s">
        <v>36</v>
      </c>
      <c r="E1253" t="s">
        <v>29</v>
      </c>
      <c r="F1253" t="s">
        <v>37</v>
      </c>
      <c r="G1253" t="s">
        <v>31</v>
      </c>
      <c r="H1253" t="s">
        <v>32</v>
      </c>
      <c r="I1253" s="9">
        <v>85000</v>
      </c>
      <c r="J1253">
        <v>7</v>
      </c>
      <c r="K1253" t="s">
        <v>42</v>
      </c>
      <c r="L1253" s="9">
        <f t="shared" si="19"/>
        <v>68000</v>
      </c>
      <c r="M1253" s="9">
        <f>Table1[[#This Row],[Unit Price]]*Table1[[#This Row],[Quantity]]</f>
        <v>595000</v>
      </c>
      <c r="N1253" s="9">
        <f>Table1[[#This Row],[Cost Price]]*Table1[[#This Row],[Quantity]]</f>
        <v>476000</v>
      </c>
      <c r="O1253" s="9">
        <f>Table1[[#This Row],[Revenue]]-Table1[[#This Row],[COGS]]</f>
        <v>119000</v>
      </c>
      <c r="P1253" s="6">
        <v>1252</v>
      </c>
    </row>
    <row r="1254" spans="1:16">
      <c r="A1254" s="7" t="s">
        <v>173</v>
      </c>
      <c r="B1254" s="7" t="str">
        <f>TEXT(Table1[[#This Row],[Date]],"MMM")</f>
        <v>Mar</v>
      </c>
      <c r="C1254" t="s">
        <v>27</v>
      </c>
      <c r="D1254" t="s">
        <v>36</v>
      </c>
      <c r="E1254" t="s">
        <v>29</v>
      </c>
      <c r="F1254" t="s">
        <v>37</v>
      </c>
      <c r="G1254" t="s">
        <v>38</v>
      </c>
      <c r="H1254" t="s">
        <v>39</v>
      </c>
      <c r="I1254" s="9">
        <v>30000</v>
      </c>
      <c r="J1254">
        <v>7</v>
      </c>
      <c r="K1254" t="s">
        <v>47</v>
      </c>
      <c r="L1254" s="9">
        <f t="shared" si="19"/>
        <v>24000</v>
      </c>
      <c r="M1254" s="9">
        <f>Table1[[#This Row],[Unit Price]]*Table1[[#This Row],[Quantity]]</f>
        <v>210000</v>
      </c>
      <c r="N1254" s="9">
        <f>Table1[[#This Row],[Cost Price]]*Table1[[#This Row],[Quantity]]</f>
        <v>168000</v>
      </c>
      <c r="O1254" s="9">
        <f>Table1[[#This Row],[Revenue]]-Table1[[#This Row],[COGS]]</f>
        <v>42000</v>
      </c>
      <c r="P1254" s="6">
        <v>1253</v>
      </c>
    </row>
    <row r="1255" spans="1:16">
      <c r="A1255" s="7" t="s">
        <v>171</v>
      </c>
      <c r="B1255" s="7" t="str">
        <f>TEXT(Table1[[#This Row],[Date]],"MMM")</f>
        <v>Mar</v>
      </c>
      <c r="C1255" t="s">
        <v>49</v>
      </c>
      <c r="D1255" t="s">
        <v>53</v>
      </c>
      <c r="E1255" t="s">
        <v>29</v>
      </c>
      <c r="F1255" t="s">
        <v>37</v>
      </c>
      <c r="G1255" t="s">
        <v>46</v>
      </c>
      <c r="H1255" t="s">
        <v>39</v>
      </c>
      <c r="I1255" s="9">
        <v>60000</v>
      </c>
      <c r="J1255">
        <v>3</v>
      </c>
      <c r="K1255" t="s">
        <v>47</v>
      </c>
      <c r="L1255" s="9">
        <f t="shared" si="19"/>
        <v>48000</v>
      </c>
      <c r="M1255" s="9">
        <f>Table1[[#This Row],[Unit Price]]*Table1[[#This Row],[Quantity]]</f>
        <v>180000</v>
      </c>
      <c r="N1255" s="9">
        <f>Table1[[#This Row],[Cost Price]]*Table1[[#This Row],[Quantity]]</f>
        <v>144000</v>
      </c>
      <c r="O1255" s="9">
        <f>Table1[[#This Row],[Revenue]]-Table1[[#This Row],[COGS]]</f>
        <v>36000</v>
      </c>
      <c r="P1255" s="6">
        <v>1254</v>
      </c>
    </row>
    <row r="1256" spans="1:16">
      <c r="A1256" s="7" t="s">
        <v>136</v>
      </c>
      <c r="B1256" s="7" t="str">
        <f>TEXT(Table1[[#This Row],[Date]],"MMM")</f>
        <v>Feb</v>
      </c>
      <c r="C1256" t="s">
        <v>49</v>
      </c>
      <c r="D1256" t="s">
        <v>53</v>
      </c>
      <c r="E1256" t="s">
        <v>29</v>
      </c>
      <c r="F1256" t="s">
        <v>37</v>
      </c>
      <c r="G1256" t="s">
        <v>31</v>
      </c>
      <c r="H1256" t="s">
        <v>32</v>
      </c>
      <c r="I1256" s="9">
        <v>85000</v>
      </c>
      <c r="J1256">
        <v>5</v>
      </c>
      <c r="K1256" t="s">
        <v>33</v>
      </c>
      <c r="L1256" s="9">
        <f t="shared" si="19"/>
        <v>68000</v>
      </c>
      <c r="M1256" s="9">
        <f>Table1[[#This Row],[Unit Price]]*Table1[[#This Row],[Quantity]]</f>
        <v>425000</v>
      </c>
      <c r="N1256" s="9">
        <f>Table1[[#This Row],[Cost Price]]*Table1[[#This Row],[Quantity]]</f>
        <v>340000</v>
      </c>
      <c r="O1256" s="9">
        <f>Table1[[#This Row],[Revenue]]-Table1[[#This Row],[COGS]]</f>
        <v>85000</v>
      </c>
      <c r="P1256" s="6">
        <v>1255</v>
      </c>
    </row>
    <row r="1257" spans="1:16">
      <c r="A1257" s="7" t="s">
        <v>154</v>
      </c>
      <c r="B1257" s="7" t="str">
        <f>TEXT(Table1[[#This Row],[Date]],"MMM")</f>
        <v>Feb</v>
      </c>
      <c r="C1257" t="s">
        <v>35</v>
      </c>
      <c r="D1257" t="s">
        <v>53</v>
      </c>
      <c r="E1257" t="s">
        <v>41</v>
      </c>
      <c r="F1257" t="s">
        <v>30</v>
      </c>
      <c r="G1257" t="s">
        <v>67</v>
      </c>
      <c r="H1257" t="s">
        <v>51</v>
      </c>
      <c r="I1257" s="9">
        <v>420000</v>
      </c>
      <c r="J1257">
        <v>1</v>
      </c>
      <c r="K1257" t="s">
        <v>33</v>
      </c>
      <c r="L1257" s="9">
        <f t="shared" si="19"/>
        <v>336000</v>
      </c>
      <c r="M1257" s="9">
        <f>Table1[[#This Row],[Unit Price]]*Table1[[#This Row],[Quantity]]</f>
        <v>420000</v>
      </c>
      <c r="N1257" s="9">
        <f>Table1[[#This Row],[Cost Price]]*Table1[[#This Row],[Quantity]]</f>
        <v>336000</v>
      </c>
      <c r="O1257" s="9">
        <f>Table1[[#This Row],[Revenue]]-Table1[[#This Row],[COGS]]</f>
        <v>84000</v>
      </c>
      <c r="P1257" s="6">
        <v>1256</v>
      </c>
    </row>
    <row r="1258" spans="1:16">
      <c r="A1258" s="7" t="s">
        <v>142</v>
      </c>
      <c r="B1258" s="7" t="str">
        <f>TEXT(Table1[[#This Row],[Date]],"MMM")</f>
        <v>Apr</v>
      </c>
      <c r="C1258" t="s">
        <v>44</v>
      </c>
      <c r="D1258" t="s">
        <v>45</v>
      </c>
      <c r="E1258" t="s">
        <v>41</v>
      </c>
      <c r="F1258" t="s">
        <v>37</v>
      </c>
      <c r="G1258" t="s">
        <v>38</v>
      </c>
      <c r="H1258" t="s">
        <v>39</v>
      </c>
      <c r="I1258" s="9">
        <v>30000</v>
      </c>
      <c r="J1258">
        <v>5</v>
      </c>
      <c r="K1258" t="s">
        <v>33</v>
      </c>
      <c r="L1258" s="9">
        <f t="shared" si="19"/>
        <v>24000</v>
      </c>
      <c r="M1258" s="9">
        <f>Table1[[#This Row],[Unit Price]]*Table1[[#This Row],[Quantity]]</f>
        <v>150000</v>
      </c>
      <c r="N1258" s="9">
        <f>Table1[[#This Row],[Cost Price]]*Table1[[#This Row],[Quantity]]</f>
        <v>120000</v>
      </c>
      <c r="O1258" s="9">
        <f>Table1[[#This Row],[Revenue]]-Table1[[#This Row],[COGS]]</f>
        <v>30000</v>
      </c>
      <c r="P1258" s="6">
        <v>1257</v>
      </c>
    </row>
    <row r="1259" spans="1:16">
      <c r="A1259" s="7" t="s">
        <v>137</v>
      </c>
      <c r="B1259" s="7" t="str">
        <f>TEXT(Table1[[#This Row],[Date]],"MMM")</f>
        <v>Apr</v>
      </c>
      <c r="C1259" t="s">
        <v>27</v>
      </c>
      <c r="D1259" t="s">
        <v>45</v>
      </c>
      <c r="E1259" t="s">
        <v>29</v>
      </c>
      <c r="F1259" t="s">
        <v>30</v>
      </c>
      <c r="G1259" t="s">
        <v>71</v>
      </c>
      <c r="H1259" t="s">
        <v>51</v>
      </c>
      <c r="I1259" s="9">
        <v>250000</v>
      </c>
      <c r="J1259">
        <v>9</v>
      </c>
      <c r="K1259" t="s">
        <v>58</v>
      </c>
      <c r="L1259" s="9">
        <f t="shared" si="19"/>
        <v>200000</v>
      </c>
      <c r="M1259" s="9">
        <f>Table1[[#This Row],[Unit Price]]*Table1[[#This Row],[Quantity]]</f>
        <v>2250000</v>
      </c>
      <c r="N1259" s="9">
        <f>Table1[[#This Row],[Cost Price]]*Table1[[#This Row],[Quantity]]</f>
        <v>1800000</v>
      </c>
      <c r="O1259" s="9">
        <f>Table1[[#This Row],[Revenue]]-Table1[[#This Row],[COGS]]</f>
        <v>450000</v>
      </c>
      <c r="P1259" s="6">
        <v>1258</v>
      </c>
    </row>
    <row r="1260" spans="1:16">
      <c r="A1260" s="7" t="s">
        <v>63</v>
      </c>
      <c r="B1260" s="7" t="str">
        <f>TEXT(Table1[[#This Row],[Date]],"MMM")</f>
        <v>Jan</v>
      </c>
      <c r="C1260" t="s">
        <v>49</v>
      </c>
      <c r="D1260" t="s">
        <v>36</v>
      </c>
      <c r="E1260" t="s">
        <v>41</v>
      </c>
      <c r="F1260" t="s">
        <v>30</v>
      </c>
      <c r="G1260" t="s">
        <v>62</v>
      </c>
      <c r="H1260" t="s">
        <v>51</v>
      </c>
      <c r="I1260" s="9">
        <v>150000</v>
      </c>
      <c r="J1260">
        <v>3</v>
      </c>
      <c r="K1260" t="s">
        <v>69</v>
      </c>
      <c r="L1260" s="9">
        <f t="shared" si="19"/>
        <v>120000</v>
      </c>
      <c r="M1260" s="9">
        <f>Table1[[#This Row],[Unit Price]]*Table1[[#This Row],[Quantity]]</f>
        <v>450000</v>
      </c>
      <c r="N1260" s="9">
        <f>Table1[[#This Row],[Cost Price]]*Table1[[#This Row],[Quantity]]</f>
        <v>360000</v>
      </c>
      <c r="O1260" s="9">
        <f>Table1[[#This Row],[Revenue]]-Table1[[#This Row],[COGS]]</f>
        <v>90000</v>
      </c>
      <c r="P1260" s="6">
        <v>1259</v>
      </c>
    </row>
    <row r="1261" spans="1:16">
      <c r="A1261" s="7" t="s">
        <v>26</v>
      </c>
      <c r="B1261" s="7" t="str">
        <f>TEXT(Table1[[#This Row],[Date]],"MMM")</f>
        <v>Jan</v>
      </c>
      <c r="C1261" t="s">
        <v>35</v>
      </c>
      <c r="D1261" t="s">
        <v>36</v>
      </c>
      <c r="E1261" t="s">
        <v>41</v>
      </c>
      <c r="F1261" t="s">
        <v>30</v>
      </c>
      <c r="G1261" t="s">
        <v>50</v>
      </c>
      <c r="H1261" t="s">
        <v>51</v>
      </c>
      <c r="I1261" s="9">
        <v>300000</v>
      </c>
      <c r="J1261">
        <v>5</v>
      </c>
      <c r="K1261" t="s">
        <v>69</v>
      </c>
      <c r="L1261" s="9">
        <f t="shared" si="19"/>
        <v>240000</v>
      </c>
      <c r="M1261" s="9">
        <f>Table1[[#This Row],[Unit Price]]*Table1[[#This Row],[Quantity]]</f>
        <v>1500000</v>
      </c>
      <c r="N1261" s="9">
        <f>Table1[[#This Row],[Cost Price]]*Table1[[#This Row],[Quantity]]</f>
        <v>1200000</v>
      </c>
      <c r="O1261" s="9">
        <f>Table1[[#This Row],[Revenue]]-Table1[[#This Row],[COGS]]</f>
        <v>300000</v>
      </c>
      <c r="P1261" s="6">
        <v>1260</v>
      </c>
    </row>
    <row r="1262" spans="1:16">
      <c r="A1262" s="7" t="s">
        <v>145</v>
      </c>
      <c r="B1262" s="7" t="str">
        <f>TEXT(Table1[[#This Row],[Date]],"MMM")</f>
        <v>Jan</v>
      </c>
      <c r="C1262" t="s">
        <v>27</v>
      </c>
      <c r="D1262" t="s">
        <v>28</v>
      </c>
      <c r="E1262" t="s">
        <v>29</v>
      </c>
      <c r="F1262" t="s">
        <v>37</v>
      </c>
      <c r="G1262" t="s">
        <v>56</v>
      </c>
      <c r="H1262" t="s">
        <v>32</v>
      </c>
      <c r="I1262" s="9">
        <v>320000</v>
      </c>
      <c r="J1262">
        <v>5</v>
      </c>
      <c r="K1262" t="s">
        <v>33</v>
      </c>
      <c r="L1262" s="9">
        <f t="shared" si="19"/>
        <v>256000</v>
      </c>
      <c r="M1262" s="9">
        <f>Table1[[#This Row],[Unit Price]]*Table1[[#This Row],[Quantity]]</f>
        <v>1600000</v>
      </c>
      <c r="N1262" s="9">
        <f>Table1[[#This Row],[Cost Price]]*Table1[[#This Row],[Quantity]]</f>
        <v>1280000</v>
      </c>
      <c r="O1262" s="9">
        <f>Table1[[#This Row],[Revenue]]-Table1[[#This Row],[COGS]]</f>
        <v>320000</v>
      </c>
      <c r="P1262" s="6">
        <v>1261</v>
      </c>
    </row>
    <row r="1263" spans="1:16">
      <c r="A1263" s="7" t="s">
        <v>101</v>
      </c>
      <c r="B1263" s="7" t="str">
        <f>TEXT(Table1[[#This Row],[Date]],"MMM")</f>
        <v>Jan</v>
      </c>
      <c r="C1263" t="s">
        <v>27</v>
      </c>
      <c r="D1263" t="s">
        <v>53</v>
      </c>
      <c r="E1263" t="s">
        <v>41</v>
      </c>
      <c r="F1263" t="s">
        <v>37</v>
      </c>
      <c r="G1263" t="s">
        <v>31</v>
      </c>
      <c r="H1263" t="s">
        <v>32</v>
      </c>
      <c r="I1263" s="9">
        <v>85000</v>
      </c>
      <c r="J1263">
        <v>10</v>
      </c>
      <c r="K1263" t="s">
        <v>65</v>
      </c>
      <c r="L1263" s="9">
        <f t="shared" si="19"/>
        <v>68000</v>
      </c>
      <c r="M1263" s="9">
        <f>Table1[[#This Row],[Unit Price]]*Table1[[#This Row],[Quantity]]</f>
        <v>850000</v>
      </c>
      <c r="N1263" s="9">
        <f>Table1[[#This Row],[Cost Price]]*Table1[[#This Row],[Quantity]]</f>
        <v>680000</v>
      </c>
      <c r="O1263" s="9">
        <f>Table1[[#This Row],[Revenue]]-Table1[[#This Row],[COGS]]</f>
        <v>170000</v>
      </c>
      <c r="P1263" s="6">
        <v>1262</v>
      </c>
    </row>
    <row r="1264" spans="1:16">
      <c r="A1264" s="7" t="s">
        <v>61</v>
      </c>
      <c r="B1264" s="7" t="str">
        <f>TEXT(Table1[[#This Row],[Date]],"MMM")</f>
        <v>Jan</v>
      </c>
      <c r="C1264" t="s">
        <v>27</v>
      </c>
      <c r="D1264" t="s">
        <v>36</v>
      </c>
      <c r="E1264" t="s">
        <v>29</v>
      </c>
      <c r="F1264" t="s">
        <v>37</v>
      </c>
      <c r="G1264" t="s">
        <v>54</v>
      </c>
      <c r="H1264" t="s">
        <v>39</v>
      </c>
      <c r="I1264" s="9">
        <v>180000</v>
      </c>
      <c r="J1264">
        <v>3</v>
      </c>
      <c r="K1264" t="s">
        <v>65</v>
      </c>
      <c r="L1264" s="9">
        <f t="shared" si="19"/>
        <v>144000</v>
      </c>
      <c r="M1264" s="9">
        <f>Table1[[#This Row],[Unit Price]]*Table1[[#This Row],[Quantity]]</f>
        <v>540000</v>
      </c>
      <c r="N1264" s="9">
        <f>Table1[[#This Row],[Cost Price]]*Table1[[#This Row],[Quantity]]</f>
        <v>432000</v>
      </c>
      <c r="O1264" s="9">
        <f>Table1[[#This Row],[Revenue]]-Table1[[#This Row],[COGS]]</f>
        <v>108000</v>
      </c>
      <c r="P1264" s="6">
        <v>1263</v>
      </c>
    </row>
    <row r="1265" spans="1:16">
      <c r="A1265" s="7" t="s">
        <v>141</v>
      </c>
      <c r="B1265" s="7" t="str">
        <f>TEXT(Table1[[#This Row],[Date]],"MMM")</f>
        <v>Mar</v>
      </c>
      <c r="C1265" t="s">
        <v>35</v>
      </c>
      <c r="D1265" t="s">
        <v>53</v>
      </c>
      <c r="E1265" t="s">
        <v>41</v>
      </c>
      <c r="F1265" t="s">
        <v>37</v>
      </c>
      <c r="G1265" t="s">
        <v>38</v>
      </c>
      <c r="H1265" t="s">
        <v>39</v>
      </c>
      <c r="I1265" s="9">
        <v>30000</v>
      </c>
      <c r="J1265">
        <v>3</v>
      </c>
      <c r="K1265" t="s">
        <v>69</v>
      </c>
      <c r="L1265" s="9">
        <f t="shared" si="19"/>
        <v>24000</v>
      </c>
      <c r="M1265" s="9">
        <f>Table1[[#This Row],[Unit Price]]*Table1[[#This Row],[Quantity]]</f>
        <v>90000</v>
      </c>
      <c r="N1265" s="9">
        <f>Table1[[#This Row],[Cost Price]]*Table1[[#This Row],[Quantity]]</f>
        <v>72000</v>
      </c>
      <c r="O1265" s="9">
        <f>Table1[[#This Row],[Revenue]]-Table1[[#This Row],[COGS]]</f>
        <v>18000</v>
      </c>
      <c r="P1265" s="6">
        <v>1264</v>
      </c>
    </row>
    <row r="1266" spans="1:16">
      <c r="A1266" s="7" t="s">
        <v>94</v>
      </c>
      <c r="B1266" s="7" t="str">
        <f>TEXT(Table1[[#This Row],[Date]],"MMM")</f>
        <v>Jan</v>
      </c>
      <c r="C1266" t="s">
        <v>49</v>
      </c>
      <c r="D1266" t="s">
        <v>36</v>
      </c>
      <c r="E1266" t="s">
        <v>29</v>
      </c>
      <c r="F1266" t="s">
        <v>37</v>
      </c>
      <c r="G1266" t="s">
        <v>62</v>
      </c>
      <c r="H1266" t="s">
        <v>51</v>
      </c>
      <c r="I1266" s="9">
        <v>150000</v>
      </c>
      <c r="J1266">
        <v>5</v>
      </c>
      <c r="K1266" t="s">
        <v>65</v>
      </c>
      <c r="L1266" s="9">
        <f t="shared" si="19"/>
        <v>120000</v>
      </c>
      <c r="M1266" s="9">
        <f>Table1[[#This Row],[Unit Price]]*Table1[[#This Row],[Quantity]]</f>
        <v>750000</v>
      </c>
      <c r="N1266" s="9">
        <f>Table1[[#This Row],[Cost Price]]*Table1[[#This Row],[Quantity]]</f>
        <v>600000</v>
      </c>
      <c r="O1266" s="9">
        <f>Table1[[#This Row],[Revenue]]-Table1[[#This Row],[COGS]]</f>
        <v>150000</v>
      </c>
      <c r="P1266" s="6">
        <v>1265</v>
      </c>
    </row>
    <row r="1267" spans="1:16">
      <c r="A1267" s="7" t="s">
        <v>174</v>
      </c>
      <c r="B1267" s="7" t="str">
        <f>TEXT(Table1[[#This Row],[Date]],"MMM")</f>
        <v>Feb</v>
      </c>
      <c r="C1267" t="s">
        <v>49</v>
      </c>
      <c r="D1267" t="s">
        <v>45</v>
      </c>
      <c r="E1267" t="s">
        <v>29</v>
      </c>
      <c r="F1267" t="s">
        <v>30</v>
      </c>
      <c r="G1267" t="s">
        <v>50</v>
      </c>
      <c r="H1267" t="s">
        <v>51</v>
      </c>
      <c r="I1267" s="9">
        <v>300000</v>
      </c>
      <c r="J1267">
        <v>4</v>
      </c>
      <c r="K1267" t="s">
        <v>58</v>
      </c>
      <c r="L1267" s="9">
        <f t="shared" si="19"/>
        <v>240000</v>
      </c>
      <c r="M1267" s="9">
        <f>Table1[[#This Row],[Unit Price]]*Table1[[#This Row],[Quantity]]</f>
        <v>1200000</v>
      </c>
      <c r="N1267" s="9">
        <f>Table1[[#This Row],[Cost Price]]*Table1[[#This Row],[Quantity]]</f>
        <v>960000</v>
      </c>
      <c r="O1267" s="9">
        <f>Table1[[#This Row],[Revenue]]-Table1[[#This Row],[COGS]]</f>
        <v>240000</v>
      </c>
      <c r="P1267" s="6">
        <v>1266</v>
      </c>
    </row>
    <row r="1268" spans="1:16">
      <c r="A1268" s="7" t="s">
        <v>133</v>
      </c>
      <c r="B1268" s="7" t="str">
        <f>TEXT(Table1[[#This Row],[Date]],"MMM")</f>
        <v>Jan</v>
      </c>
      <c r="C1268" t="s">
        <v>35</v>
      </c>
      <c r="D1268" t="s">
        <v>45</v>
      </c>
      <c r="E1268" t="s">
        <v>41</v>
      </c>
      <c r="F1268" t="s">
        <v>37</v>
      </c>
      <c r="G1268" t="s">
        <v>38</v>
      </c>
      <c r="H1268" t="s">
        <v>39</v>
      </c>
      <c r="I1268" s="9">
        <v>30000</v>
      </c>
      <c r="J1268">
        <v>8</v>
      </c>
      <c r="K1268" t="s">
        <v>65</v>
      </c>
      <c r="L1268" s="9">
        <f t="shared" si="19"/>
        <v>24000</v>
      </c>
      <c r="M1268" s="9">
        <f>Table1[[#This Row],[Unit Price]]*Table1[[#This Row],[Quantity]]</f>
        <v>240000</v>
      </c>
      <c r="N1268" s="9">
        <f>Table1[[#This Row],[Cost Price]]*Table1[[#This Row],[Quantity]]</f>
        <v>192000</v>
      </c>
      <c r="O1268" s="9">
        <f>Table1[[#This Row],[Revenue]]-Table1[[#This Row],[COGS]]</f>
        <v>48000</v>
      </c>
      <c r="P1268" s="6">
        <v>1267</v>
      </c>
    </row>
    <row r="1269" spans="1:16">
      <c r="A1269" s="7" t="s">
        <v>79</v>
      </c>
      <c r="B1269" s="7" t="str">
        <f>TEXT(Table1[[#This Row],[Date]],"MMM")</f>
        <v>Feb</v>
      </c>
      <c r="C1269" t="s">
        <v>27</v>
      </c>
      <c r="D1269" t="s">
        <v>28</v>
      </c>
      <c r="E1269" t="s">
        <v>29</v>
      </c>
      <c r="F1269" t="s">
        <v>37</v>
      </c>
      <c r="G1269" t="s">
        <v>73</v>
      </c>
      <c r="H1269" t="s">
        <v>39</v>
      </c>
      <c r="I1269" s="9">
        <v>220000</v>
      </c>
      <c r="J1269">
        <v>10</v>
      </c>
      <c r="K1269" t="s">
        <v>42</v>
      </c>
      <c r="L1269" s="9">
        <f t="shared" si="19"/>
        <v>176000</v>
      </c>
      <c r="M1269" s="9">
        <f>Table1[[#This Row],[Unit Price]]*Table1[[#This Row],[Quantity]]</f>
        <v>2200000</v>
      </c>
      <c r="N1269" s="9">
        <f>Table1[[#This Row],[Cost Price]]*Table1[[#This Row],[Quantity]]</f>
        <v>1760000</v>
      </c>
      <c r="O1269" s="9">
        <f>Table1[[#This Row],[Revenue]]-Table1[[#This Row],[COGS]]</f>
        <v>440000</v>
      </c>
      <c r="P1269" s="6">
        <v>1268</v>
      </c>
    </row>
    <row r="1270" spans="1:16">
      <c r="A1270" s="7" t="s">
        <v>55</v>
      </c>
      <c r="B1270" s="7" t="str">
        <f>TEXT(Table1[[#This Row],[Date]],"MMM")</f>
        <v>Mar</v>
      </c>
      <c r="C1270" t="s">
        <v>44</v>
      </c>
      <c r="D1270" t="s">
        <v>45</v>
      </c>
      <c r="E1270" t="s">
        <v>29</v>
      </c>
      <c r="F1270" t="s">
        <v>30</v>
      </c>
      <c r="G1270" t="s">
        <v>38</v>
      </c>
      <c r="H1270" t="s">
        <v>39</v>
      </c>
      <c r="I1270" s="9">
        <v>30000</v>
      </c>
      <c r="J1270">
        <v>10</v>
      </c>
      <c r="K1270" t="s">
        <v>47</v>
      </c>
      <c r="L1270" s="9">
        <f t="shared" si="19"/>
        <v>24000</v>
      </c>
      <c r="M1270" s="9">
        <f>Table1[[#This Row],[Unit Price]]*Table1[[#This Row],[Quantity]]</f>
        <v>300000</v>
      </c>
      <c r="N1270" s="9">
        <f>Table1[[#This Row],[Cost Price]]*Table1[[#This Row],[Quantity]]</f>
        <v>240000</v>
      </c>
      <c r="O1270" s="9">
        <f>Table1[[#This Row],[Revenue]]-Table1[[#This Row],[COGS]]</f>
        <v>60000</v>
      </c>
      <c r="P1270" s="6">
        <v>1269</v>
      </c>
    </row>
    <row r="1271" spans="1:16">
      <c r="A1271" s="7" t="s">
        <v>43</v>
      </c>
      <c r="B1271" s="7" t="str">
        <f>TEXT(Table1[[#This Row],[Date]],"MMM")</f>
        <v>Apr</v>
      </c>
      <c r="C1271" t="s">
        <v>35</v>
      </c>
      <c r="D1271" t="s">
        <v>36</v>
      </c>
      <c r="E1271" t="s">
        <v>41</v>
      </c>
      <c r="F1271" t="s">
        <v>37</v>
      </c>
      <c r="G1271" t="s">
        <v>71</v>
      </c>
      <c r="H1271" t="s">
        <v>51</v>
      </c>
      <c r="I1271" s="9">
        <v>250000</v>
      </c>
      <c r="J1271">
        <v>5</v>
      </c>
      <c r="K1271" t="s">
        <v>33</v>
      </c>
      <c r="L1271" s="9">
        <f t="shared" si="19"/>
        <v>200000</v>
      </c>
      <c r="M1271" s="9">
        <f>Table1[[#This Row],[Unit Price]]*Table1[[#This Row],[Quantity]]</f>
        <v>1250000</v>
      </c>
      <c r="N1271" s="9">
        <f>Table1[[#This Row],[Cost Price]]*Table1[[#This Row],[Quantity]]</f>
        <v>1000000</v>
      </c>
      <c r="O1271" s="9">
        <f>Table1[[#This Row],[Revenue]]-Table1[[#This Row],[COGS]]</f>
        <v>250000</v>
      </c>
      <c r="P1271" s="6">
        <v>1270</v>
      </c>
    </row>
    <row r="1272" spans="1:16">
      <c r="A1272" s="7" t="s">
        <v>95</v>
      </c>
      <c r="B1272" s="7" t="str">
        <f>TEXT(Table1[[#This Row],[Date]],"MMM")</f>
        <v>Feb</v>
      </c>
      <c r="C1272" t="s">
        <v>44</v>
      </c>
      <c r="D1272" t="s">
        <v>36</v>
      </c>
      <c r="E1272" t="s">
        <v>41</v>
      </c>
      <c r="F1272" t="s">
        <v>37</v>
      </c>
      <c r="G1272" t="s">
        <v>62</v>
      </c>
      <c r="H1272" t="s">
        <v>51</v>
      </c>
      <c r="I1272" s="9">
        <v>150000</v>
      </c>
      <c r="J1272">
        <v>8</v>
      </c>
      <c r="K1272" t="s">
        <v>33</v>
      </c>
      <c r="L1272" s="9">
        <f t="shared" si="19"/>
        <v>120000</v>
      </c>
      <c r="M1272" s="9">
        <f>Table1[[#This Row],[Unit Price]]*Table1[[#This Row],[Quantity]]</f>
        <v>1200000</v>
      </c>
      <c r="N1272" s="9">
        <f>Table1[[#This Row],[Cost Price]]*Table1[[#This Row],[Quantity]]</f>
        <v>960000</v>
      </c>
      <c r="O1272" s="9">
        <f>Table1[[#This Row],[Revenue]]-Table1[[#This Row],[COGS]]</f>
        <v>240000</v>
      </c>
      <c r="P1272" s="6">
        <v>1271</v>
      </c>
    </row>
    <row r="1273" spans="1:16">
      <c r="A1273" s="7" t="s">
        <v>123</v>
      </c>
      <c r="B1273" s="7" t="str">
        <f>TEXT(Table1[[#This Row],[Date]],"MMM")</f>
        <v>Apr</v>
      </c>
      <c r="C1273" t="s">
        <v>44</v>
      </c>
      <c r="D1273" t="s">
        <v>28</v>
      </c>
      <c r="E1273" t="s">
        <v>29</v>
      </c>
      <c r="F1273" t="s">
        <v>37</v>
      </c>
      <c r="G1273" t="s">
        <v>31</v>
      </c>
      <c r="H1273" t="s">
        <v>32</v>
      </c>
      <c r="I1273" s="9">
        <v>85000</v>
      </c>
      <c r="J1273">
        <v>1</v>
      </c>
      <c r="K1273" t="s">
        <v>33</v>
      </c>
      <c r="L1273" s="9">
        <f t="shared" si="19"/>
        <v>68000</v>
      </c>
      <c r="M1273" s="9">
        <f>Table1[[#This Row],[Unit Price]]*Table1[[#This Row],[Quantity]]</f>
        <v>85000</v>
      </c>
      <c r="N1273" s="9">
        <f>Table1[[#This Row],[Cost Price]]*Table1[[#This Row],[Quantity]]</f>
        <v>68000</v>
      </c>
      <c r="O1273" s="9">
        <f>Table1[[#This Row],[Revenue]]-Table1[[#This Row],[COGS]]</f>
        <v>17000</v>
      </c>
      <c r="P1273" s="6">
        <v>1272</v>
      </c>
    </row>
    <row r="1274" spans="1:16">
      <c r="A1274" s="7" t="s">
        <v>76</v>
      </c>
      <c r="B1274" s="7" t="str">
        <f>TEXT(Table1[[#This Row],[Date]],"MMM")</f>
        <v>May</v>
      </c>
      <c r="C1274" t="s">
        <v>35</v>
      </c>
      <c r="D1274" t="s">
        <v>45</v>
      </c>
      <c r="E1274" t="s">
        <v>29</v>
      </c>
      <c r="F1274" t="s">
        <v>30</v>
      </c>
      <c r="G1274" t="s">
        <v>73</v>
      </c>
      <c r="H1274" t="s">
        <v>39</v>
      </c>
      <c r="I1274" s="9">
        <v>220000</v>
      </c>
      <c r="J1274">
        <v>2</v>
      </c>
      <c r="K1274" t="s">
        <v>65</v>
      </c>
      <c r="L1274" s="9">
        <f t="shared" si="19"/>
        <v>176000</v>
      </c>
      <c r="M1274" s="9">
        <f>Table1[[#This Row],[Unit Price]]*Table1[[#This Row],[Quantity]]</f>
        <v>440000</v>
      </c>
      <c r="N1274" s="9">
        <f>Table1[[#This Row],[Cost Price]]*Table1[[#This Row],[Quantity]]</f>
        <v>352000</v>
      </c>
      <c r="O1274" s="9">
        <f>Table1[[#This Row],[Revenue]]-Table1[[#This Row],[COGS]]</f>
        <v>88000</v>
      </c>
      <c r="P1274" s="6">
        <v>1273</v>
      </c>
    </row>
    <row r="1275" spans="1:16">
      <c r="A1275" s="7" t="s">
        <v>92</v>
      </c>
      <c r="B1275" s="7" t="str">
        <f>TEXT(Table1[[#This Row],[Date]],"MMM")</f>
        <v>Jan</v>
      </c>
      <c r="C1275" t="s">
        <v>44</v>
      </c>
      <c r="D1275" t="s">
        <v>36</v>
      </c>
      <c r="E1275" t="s">
        <v>41</v>
      </c>
      <c r="F1275" t="s">
        <v>30</v>
      </c>
      <c r="G1275" t="s">
        <v>46</v>
      </c>
      <c r="H1275" t="s">
        <v>39</v>
      </c>
      <c r="I1275" s="9">
        <v>60000</v>
      </c>
      <c r="J1275">
        <v>9</v>
      </c>
      <c r="K1275" t="s">
        <v>47</v>
      </c>
      <c r="L1275" s="9">
        <f t="shared" si="19"/>
        <v>48000</v>
      </c>
      <c r="M1275" s="9">
        <f>Table1[[#This Row],[Unit Price]]*Table1[[#This Row],[Quantity]]</f>
        <v>540000</v>
      </c>
      <c r="N1275" s="9">
        <f>Table1[[#This Row],[Cost Price]]*Table1[[#This Row],[Quantity]]</f>
        <v>432000</v>
      </c>
      <c r="O1275" s="9">
        <f>Table1[[#This Row],[Revenue]]-Table1[[#This Row],[COGS]]</f>
        <v>108000</v>
      </c>
      <c r="P1275" s="6">
        <v>1274</v>
      </c>
    </row>
    <row r="1276" spans="1:16">
      <c r="A1276" s="7" t="s">
        <v>112</v>
      </c>
      <c r="B1276" s="7" t="str">
        <f>TEXT(Table1[[#This Row],[Date]],"MMM")</f>
        <v>Feb</v>
      </c>
      <c r="C1276" t="s">
        <v>49</v>
      </c>
      <c r="D1276" t="s">
        <v>45</v>
      </c>
      <c r="E1276" t="s">
        <v>29</v>
      </c>
      <c r="F1276" t="s">
        <v>30</v>
      </c>
      <c r="G1276" t="s">
        <v>71</v>
      </c>
      <c r="H1276" t="s">
        <v>51</v>
      </c>
      <c r="I1276" s="9">
        <v>250000</v>
      </c>
      <c r="J1276">
        <v>9</v>
      </c>
      <c r="K1276" t="s">
        <v>58</v>
      </c>
      <c r="L1276" s="9">
        <f t="shared" si="19"/>
        <v>200000</v>
      </c>
      <c r="M1276" s="9">
        <f>Table1[[#This Row],[Unit Price]]*Table1[[#This Row],[Quantity]]</f>
        <v>2250000</v>
      </c>
      <c r="N1276" s="9">
        <f>Table1[[#This Row],[Cost Price]]*Table1[[#This Row],[Quantity]]</f>
        <v>1800000</v>
      </c>
      <c r="O1276" s="9">
        <f>Table1[[#This Row],[Revenue]]-Table1[[#This Row],[COGS]]</f>
        <v>450000</v>
      </c>
      <c r="P1276" s="6">
        <v>1275</v>
      </c>
    </row>
    <row r="1277" spans="1:16">
      <c r="A1277" s="7" t="s">
        <v>164</v>
      </c>
      <c r="B1277" s="7" t="str">
        <f>TEXT(Table1[[#This Row],[Date]],"MMM")</f>
        <v>Mar</v>
      </c>
      <c r="C1277" t="s">
        <v>35</v>
      </c>
      <c r="D1277" t="s">
        <v>28</v>
      </c>
      <c r="E1277" t="s">
        <v>29</v>
      </c>
      <c r="F1277" t="s">
        <v>37</v>
      </c>
      <c r="G1277" t="s">
        <v>31</v>
      </c>
      <c r="H1277" t="s">
        <v>32</v>
      </c>
      <c r="I1277" s="9">
        <v>85000</v>
      </c>
      <c r="J1277">
        <v>7</v>
      </c>
      <c r="K1277" t="s">
        <v>65</v>
      </c>
      <c r="L1277" s="9">
        <f t="shared" si="19"/>
        <v>68000</v>
      </c>
      <c r="M1277" s="9">
        <f>Table1[[#This Row],[Unit Price]]*Table1[[#This Row],[Quantity]]</f>
        <v>595000</v>
      </c>
      <c r="N1277" s="9">
        <f>Table1[[#This Row],[Cost Price]]*Table1[[#This Row],[Quantity]]</f>
        <v>476000</v>
      </c>
      <c r="O1277" s="9">
        <f>Table1[[#This Row],[Revenue]]-Table1[[#This Row],[COGS]]</f>
        <v>119000</v>
      </c>
      <c r="P1277" s="6">
        <v>1276</v>
      </c>
    </row>
    <row r="1278" spans="1:16">
      <c r="A1278" s="7" t="s">
        <v>64</v>
      </c>
      <c r="B1278" s="7" t="str">
        <f>TEXT(Table1[[#This Row],[Date]],"MMM")</f>
        <v>Apr</v>
      </c>
      <c r="C1278" t="s">
        <v>44</v>
      </c>
      <c r="D1278" t="s">
        <v>45</v>
      </c>
      <c r="E1278" t="s">
        <v>29</v>
      </c>
      <c r="F1278" t="s">
        <v>37</v>
      </c>
      <c r="G1278" t="s">
        <v>62</v>
      </c>
      <c r="H1278" t="s">
        <v>51</v>
      </c>
      <c r="I1278" s="9">
        <v>150000</v>
      </c>
      <c r="J1278">
        <v>7</v>
      </c>
      <c r="K1278" t="s">
        <v>58</v>
      </c>
      <c r="L1278" s="9">
        <f t="shared" si="19"/>
        <v>120000</v>
      </c>
      <c r="M1278" s="9">
        <f>Table1[[#This Row],[Unit Price]]*Table1[[#This Row],[Quantity]]</f>
        <v>1050000</v>
      </c>
      <c r="N1278" s="9">
        <f>Table1[[#This Row],[Cost Price]]*Table1[[#This Row],[Quantity]]</f>
        <v>840000</v>
      </c>
      <c r="O1278" s="9">
        <f>Table1[[#This Row],[Revenue]]-Table1[[#This Row],[COGS]]</f>
        <v>210000</v>
      </c>
      <c r="P1278" s="6">
        <v>1277</v>
      </c>
    </row>
    <row r="1279" spans="1:16">
      <c r="A1279" s="7" t="s">
        <v>79</v>
      </c>
      <c r="B1279" s="7" t="str">
        <f>TEXT(Table1[[#This Row],[Date]],"MMM")</f>
        <v>Feb</v>
      </c>
      <c r="C1279" t="s">
        <v>35</v>
      </c>
      <c r="D1279" t="s">
        <v>45</v>
      </c>
      <c r="E1279" t="s">
        <v>41</v>
      </c>
      <c r="F1279" t="s">
        <v>30</v>
      </c>
      <c r="G1279" t="s">
        <v>38</v>
      </c>
      <c r="H1279" t="s">
        <v>39</v>
      </c>
      <c r="I1279" s="9">
        <v>30000</v>
      </c>
      <c r="J1279">
        <v>3</v>
      </c>
      <c r="K1279" t="s">
        <v>42</v>
      </c>
      <c r="L1279" s="9">
        <f t="shared" si="19"/>
        <v>24000</v>
      </c>
      <c r="M1279" s="9">
        <f>Table1[[#This Row],[Unit Price]]*Table1[[#This Row],[Quantity]]</f>
        <v>90000</v>
      </c>
      <c r="N1279" s="9">
        <f>Table1[[#This Row],[Cost Price]]*Table1[[#This Row],[Quantity]]</f>
        <v>72000</v>
      </c>
      <c r="O1279" s="9">
        <f>Table1[[#This Row],[Revenue]]-Table1[[#This Row],[COGS]]</f>
        <v>18000</v>
      </c>
      <c r="P1279" s="6">
        <v>1278</v>
      </c>
    </row>
    <row r="1280" spans="1:16">
      <c r="A1280" s="7" t="s">
        <v>167</v>
      </c>
      <c r="B1280" s="7" t="str">
        <f>TEXT(Table1[[#This Row],[Date]],"MMM")</f>
        <v>Apr</v>
      </c>
      <c r="C1280" t="s">
        <v>35</v>
      </c>
      <c r="D1280" t="s">
        <v>45</v>
      </c>
      <c r="E1280" t="s">
        <v>41</v>
      </c>
      <c r="F1280" t="s">
        <v>37</v>
      </c>
      <c r="G1280" t="s">
        <v>38</v>
      </c>
      <c r="H1280" t="s">
        <v>39</v>
      </c>
      <c r="I1280" s="9">
        <v>30000</v>
      </c>
      <c r="J1280">
        <v>3</v>
      </c>
      <c r="K1280" t="s">
        <v>69</v>
      </c>
      <c r="L1280" s="9">
        <f t="shared" si="19"/>
        <v>24000</v>
      </c>
      <c r="M1280" s="9">
        <f>Table1[[#This Row],[Unit Price]]*Table1[[#This Row],[Quantity]]</f>
        <v>90000</v>
      </c>
      <c r="N1280" s="9">
        <f>Table1[[#This Row],[Cost Price]]*Table1[[#This Row],[Quantity]]</f>
        <v>72000</v>
      </c>
      <c r="O1280" s="9">
        <f>Table1[[#This Row],[Revenue]]-Table1[[#This Row],[COGS]]</f>
        <v>18000</v>
      </c>
      <c r="P1280" s="6">
        <v>1279</v>
      </c>
    </row>
    <row r="1281" spans="1:16">
      <c r="A1281" s="7" t="s">
        <v>148</v>
      </c>
      <c r="B1281" s="7" t="str">
        <f>TEXT(Table1[[#This Row],[Date]],"MMM")</f>
        <v>Feb</v>
      </c>
      <c r="C1281" t="s">
        <v>49</v>
      </c>
      <c r="D1281" t="s">
        <v>53</v>
      </c>
      <c r="E1281" t="s">
        <v>29</v>
      </c>
      <c r="F1281" t="s">
        <v>30</v>
      </c>
      <c r="G1281" t="s">
        <v>38</v>
      </c>
      <c r="H1281" t="s">
        <v>39</v>
      </c>
      <c r="I1281" s="9">
        <v>30000</v>
      </c>
      <c r="J1281">
        <v>4</v>
      </c>
      <c r="K1281" t="s">
        <v>65</v>
      </c>
      <c r="L1281" s="9">
        <f t="shared" si="19"/>
        <v>24000</v>
      </c>
      <c r="M1281" s="9">
        <f>Table1[[#This Row],[Unit Price]]*Table1[[#This Row],[Quantity]]</f>
        <v>120000</v>
      </c>
      <c r="N1281" s="9">
        <f>Table1[[#This Row],[Cost Price]]*Table1[[#This Row],[Quantity]]</f>
        <v>96000</v>
      </c>
      <c r="O1281" s="9">
        <f>Table1[[#This Row],[Revenue]]-Table1[[#This Row],[COGS]]</f>
        <v>24000</v>
      </c>
      <c r="P1281" s="6">
        <v>1280</v>
      </c>
    </row>
    <row r="1282" spans="1:16">
      <c r="A1282" s="7" t="s">
        <v>163</v>
      </c>
      <c r="B1282" s="7" t="str">
        <f>TEXT(Table1[[#This Row],[Date]],"MMM")</f>
        <v>Apr</v>
      </c>
      <c r="C1282" t="s">
        <v>44</v>
      </c>
      <c r="D1282" t="s">
        <v>36</v>
      </c>
      <c r="E1282" t="s">
        <v>29</v>
      </c>
      <c r="F1282" t="s">
        <v>37</v>
      </c>
      <c r="G1282" t="s">
        <v>46</v>
      </c>
      <c r="H1282" t="s">
        <v>39</v>
      </c>
      <c r="I1282" s="9">
        <v>60000</v>
      </c>
      <c r="J1282">
        <v>9</v>
      </c>
      <c r="K1282" t="s">
        <v>42</v>
      </c>
      <c r="L1282" s="9">
        <f t="shared" ref="L1282:L1345" si="20">I1282-I1282*0.2</f>
        <v>48000</v>
      </c>
      <c r="M1282" s="9">
        <f>Table1[[#This Row],[Unit Price]]*Table1[[#This Row],[Quantity]]</f>
        <v>540000</v>
      </c>
      <c r="N1282" s="9">
        <f>Table1[[#This Row],[Cost Price]]*Table1[[#This Row],[Quantity]]</f>
        <v>432000</v>
      </c>
      <c r="O1282" s="9">
        <f>Table1[[#This Row],[Revenue]]-Table1[[#This Row],[COGS]]</f>
        <v>108000</v>
      </c>
      <c r="P1282" s="6">
        <v>1281</v>
      </c>
    </row>
    <row r="1283" spans="1:16">
      <c r="A1283" s="7" t="s">
        <v>139</v>
      </c>
      <c r="B1283" s="7" t="str">
        <f>TEXT(Table1[[#This Row],[Date]],"MMM")</f>
        <v>Jan</v>
      </c>
      <c r="C1283" t="s">
        <v>44</v>
      </c>
      <c r="D1283" t="s">
        <v>53</v>
      </c>
      <c r="E1283" t="s">
        <v>41</v>
      </c>
      <c r="F1283" t="s">
        <v>30</v>
      </c>
      <c r="G1283" t="s">
        <v>46</v>
      </c>
      <c r="H1283" t="s">
        <v>39</v>
      </c>
      <c r="I1283" s="9">
        <v>60000</v>
      </c>
      <c r="J1283">
        <v>9</v>
      </c>
      <c r="K1283" t="s">
        <v>58</v>
      </c>
      <c r="L1283" s="9">
        <f t="shared" si="20"/>
        <v>48000</v>
      </c>
      <c r="M1283" s="9">
        <f>Table1[[#This Row],[Unit Price]]*Table1[[#This Row],[Quantity]]</f>
        <v>540000</v>
      </c>
      <c r="N1283" s="9">
        <f>Table1[[#This Row],[Cost Price]]*Table1[[#This Row],[Quantity]]</f>
        <v>432000</v>
      </c>
      <c r="O1283" s="9">
        <f>Table1[[#This Row],[Revenue]]-Table1[[#This Row],[COGS]]</f>
        <v>108000</v>
      </c>
      <c r="P1283" s="6">
        <v>1282</v>
      </c>
    </row>
    <row r="1284" spans="1:16">
      <c r="A1284" s="7" t="s">
        <v>109</v>
      </c>
      <c r="B1284" s="7" t="str">
        <f>TEXT(Table1[[#This Row],[Date]],"MMM")</f>
        <v>Mar</v>
      </c>
      <c r="C1284" t="s">
        <v>44</v>
      </c>
      <c r="D1284" t="s">
        <v>28</v>
      </c>
      <c r="E1284" t="s">
        <v>41</v>
      </c>
      <c r="F1284" t="s">
        <v>30</v>
      </c>
      <c r="G1284" t="s">
        <v>67</v>
      </c>
      <c r="H1284" t="s">
        <v>51</v>
      </c>
      <c r="I1284" s="9">
        <v>420000</v>
      </c>
      <c r="J1284">
        <v>2</v>
      </c>
      <c r="K1284" t="s">
        <v>47</v>
      </c>
      <c r="L1284" s="9">
        <f t="shared" si="20"/>
        <v>336000</v>
      </c>
      <c r="M1284" s="9">
        <f>Table1[[#This Row],[Unit Price]]*Table1[[#This Row],[Quantity]]</f>
        <v>840000</v>
      </c>
      <c r="N1284" s="9">
        <f>Table1[[#This Row],[Cost Price]]*Table1[[#This Row],[Quantity]]</f>
        <v>672000</v>
      </c>
      <c r="O1284" s="9">
        <f>Table1[[#This Row],[Revenue]]-Table1[[#This Row],[COGS]]</f>
        <v>168000</v>
      </c>
      <c r="P1284" s="6">
        <v>1283</v>
      </c>
    </row>
    <row r="1285" spans="1:16">
      <c r="A1285" s="7" t="s">
        <v>153</v>
      </c>
      <c r="B1285" s="7" t="str">
        <f>TEXT(Table1[[#This Row],[Date]],"MMM")</f>
        <v>Mar</v>
      </c>
      <c r="C1285" t="s">
        <v>49</v>
      </c>
      <c r="D1285" t="s">
        <v>45</v>
      </c>
      <c r="E1285" t="s">
        <v>29</v>
      </c>
      <c r="F1285" t="s">
        <v>37</v>
      </c>
      <c r="G1285" t="s">
        <v>56</v>
      </c>
      <c r="H1285" t="s">
        <v>32</v>
      </c>
      <c r="I1285" s="9">
        <v>320000</v>
      </c>
      <c r="J1285">
        <v>1</v>
      </c>
      <c r="K1285" t="s">
        <v>69</v>
      </c>
      <c r="L1285" s="9">
        <f t="shared" si="20"/>
        <v>256000</v>
      </c>
      <c r="M1285" s="9">
        <f>Table1[[#This Row],[Unit Price]]*Table1[[#This Row],[Quantity]]</f>
        <v>320000</v>
      </c>
      <c r="N1285" s="9">
        <f>Table1[[#This Row],[Cost Price]]*Table1[[#This Row],[Quantity]]</f>
        <v>256000</v>
      </c>
      <c r="O1285" s="9">
        <f>Table1[[#This Row],[Revenue]]-Table1[[#This Row],[COGS]]</f>
        <v>64000</v>
      </c>
      <c r="P1285" s="6">
        <v>1284</v>
      </c>
    </row>
    <row r="1286" spans="1:16">
      <c r="A1286" s="7" t="s">
        <v>101</v>
      </c>
      <c r="B1286" s="7" t="str">
        <f>TEXT(Table1[[#This Row],[Date]],"MMM")</f>
        <v>Jan</v>
      </c>
      <c r="C1286" t="s">
        <v>27</v>
      </c>
      <c r="D1286" t="s">
        <v>28</v>
      </c>
      <c r="E1286" t="s">
        <v>29</v>
      </c>
      <c r="F1286" t="s">
        <v>37</v>
      </c>
      <c r="G1286" t="s">
        <v>38</v>
      </c>
      <c r="H1286" t="s">
        <v>39</v>
      </c>
      <c r="I1286" s="9">
        <v>30000</v>
      </c>
      <c r="J1286">
        <v>5</v>
      </c>
      <c r="K1286" t="s">
        <v>42</v>
      </c>
      <c r="L1286" s="9">
        <f t="shared" si="20"/>
        <v>24000</v>
      </c>
      <c r="M1286" s="9">
        <f>Table1[[#This Row],[Unit Price]]*Table1[[#This Row],[Quantity]]</f>
        <v>150000</v>
      </c>
      <c r="N1286" s="9">
        <f>Table1[[#This Row],[Cost Price]]*Table1[[#This Row],[Quantity]]</f>
        <v>120000</v>
      </c>
      <c r="O1286" s="9">
        <f>Table1[[#This Row],[Revenue]]-Table1[[#This Row],[COGS]]</f>
        <v>30000</v>
      </c>
      <c r="P1286" s="6">
        <v>1285</v>
      </c>
    </row>
    <row r="1287" spans="1:16">
      <c r="A1287" s="7" t="s">
        <v>141</v>
      </c>
      <c r="B1287" s="7" t="str">
        <f>TEXT(Table1[[#This Row],[Date]],"MMM")</f>
        <v>Mar</v>
      </c>
      <c r="C1287" t="s">
        <v>27</v>
      </c>
      <c r="D1287" t="s">
        <v>45</v>
      </c>
      <c r="E1287" s="1" t="s">
        <v>41</v>
      </c>
      <c r="F1287" t="s">
        <v>37</v>
      </c>
      <c r="G1287" t="s">
        <v>31</v>
      </c>
      <c r="H1287" t="s">
        <v>32</v>
      </c>
      <c r="I1287" s="9">
        <v>85000</v>
      </c>
      <c r="J1287">
        <v>5</v>
      </c>
      <c r="K1287" t="s">
        <v>69</v>
      </c>
      <c r="L1287" s="9">
        <f t="shared" si="20"/>
        <v>68000</v>
      </c>
      <c r="M1287" s="9">
        <f>Table1[[#This Row],[Unit Price]]*Table1[[#This Row],[Quantity]]</f>
        <v>425000</v>
      </c>
      <c r="N1287" s="9">
        <f>Table1[[#This Row],[Cost Price]]*Table1[[#This Row],[Quantity]]</f>
        <v>340000</v>
      </c>
      <c r="O1287" s="9">
        <f>Table1[[#This Row],[Revenue]]-Table1[[#This Row],[COGS]]</f>
        <v>85000</v>
      </c>
      <c r="P1287" s="6">
        <v>1286</v>
      </c>
    </row>
    <row r="1288" spans="1:16">
      <c r="A1288" s="7" t="s">
        <v>126</v>
      </c>
      <c r="B1288" s="7" t="str">
        <f>TEXT(Table1[[#This Row],[Date]],"MMM")</f>
        <v>Jan</v>
      </c>
      <c r="C1288" t="s">
        <v>27</v>
      </c>
      <c r="D1288" t="s">
        <v>45</v>
      </c>
      <c r="E1288" s="1" t="s">
        <v>41</v>
      </c>
      <c r="F1288" t="s">
        <v>30</v>
      </c>
      <c r="G1288" t="s">
        <v>67</v>
      </c>
      <c r="H1288" t="s">
        <v>51</v>
      </c>
      <c r="I1288" s="9">
        <v>420000</v>
      </c>
      <c r="J1288">
        <v>10</v>
      </c>
      <c r="K1288" t="s">
        <v>58</v>
      </c>
      <c r="L1288" s="9">
        <f t="shared" si="20"/>
        <v>336000</v>
      </c>
      <c r="M1288" s="9">
        <f>Table1[[#This Row],[Unit Price]]*Table1[[#This Row],[Quantity]]</f>
        <v>4200000</v>
      </c>
      <c r="N1288" s="9">
        <f>Table1[[#This Row],[Cost Price]]*Table1[[#This Row],[Quantity]]</f>
        <v>3360000</v>
      </c>
      <c r="O1288" s="9">
        <f>Table1[[#This Row],[Revenue]]-Table1[[#This Row],[COGS]]</f>
        <v>840000</v>
      </c>
      <c r="P1288" s="6">
        <v>1287</v>
      </c>
    </row>
    <row r="1289" spans="1:16">
      <c r="A1289" s="7" t="s">
        <v>128</v>
      </c>
      <c r="B1289" s="7" t="str">
        <f>TEXT(Table1[[#This Row],[Date]],"MMM")</f>
        <v>Mar</v>
      </c>
      <c r="C1289" t="s">
        <v>35</v>
      </c>
      <c r="D1289" t="s">
        <v>28</v>
      </c>
      <c r="E1289" s="1" t="s">
        <v>41</v>
      </c>
      <c r="F1289" t="s">
        <v>30</v>
      </c>
      <c r="G1289" t="s">
        <v>71</v>
      </c>
      <c r="H1289" t="s">
        <v>51</v>
      </c>
      <c r="I1289" s="9">
        <v>250000</v>
      </c>
      <c r="J1289">
        <v>8</v>
      </c>
      <c r="K1289" t="s">
        <v>65</v>
      </c>
      <c r="L1289" s="9">
        <f t="shared" si="20"/>
        <v>200000</v>
      </c>
      <c r="M1289" s="9">
        <f>Table1[[#This Row],[Unit Price]]*Table1[[#This Row],[Quantity]]</f>
        <v>2000000</v>
      </c>
      <c r="N1289" s="9">
        <f>Table1[[#This Row],[Cost Price]]*Table1[[#This Row],[Quantity]]</f>
        <v>1600000</v>
      </c>
      <c r="O1289" s="9">
        <f>Table1[[#This Row],[Revenue]]-Table1[[#This Row],[COGS]]</f>
        <v>400000</v>
      </c>
      <c r="P1289" s="6">
        <v>1288</v>
      </c>
    </row>
    <row r="1290" spans="1:16">
      <c r="A1290" s="7" t="s">
        <v>164</v>
      </c>
      <c r="B1290" s="7" t="str">
        <f>TEXT(Table1[[#This Row],[Date]],"MMM")</f>
        <v>Mar</v>
      </c>
      <c r="C1290" t="s">
        <v>27</v>
      </c>
      <c r="D1290" t="s">
        <v>36</v>
      </c>
      <c r="E1290" s="1" t="s">
        <v>41</v>
      </c>
      <c r="F1290" t="s">
        <v>37</v>
      </c>
      <c r="G1290" t="s">
        <v>71</v>
      </c>
      <c r="H1290" t="s">
        <v>51</v>
      </c>
      <c r="I1290" s="9">
        <v>250000</v>
      </c>
      <c r="J1290">
        <v>10</v>
      </c>
      <c r="K1290" t="s">
        <v>58</v>
      </c>
      <c r="L1290" s="9">
        <f t="shared" si="20"/>
        <v>200000</v>
      </c>
      <c r="M1290" s="9">
        <f>Table1[[#This Row],[Unit Price]]*Table1[[#This Row],[Quantity]]</f>
        <v>2500000</v>
      </c>
      <c r="N1290" s="9">
        <f>Table1[[#This Row],[Cost Price]]*Table1[[#This Row],[Quantity]]</f>
        <v>2000000</v>
      </c>
      <c r="O1290" s="9">
        <f>Table1[[#This Row],[Revenue]]-Table1[[#This Row],[COGS]]</f>
        <v>500000</v>
      </c>
      <c r="P1290" s="6">
        <v>1289</v>
      </c>
    </row>
    <row r="1291" spans="1:16">
      <c r="A1291" s="7" t="s">
        <v>125</v>
      </c>
      <c r="B1291" s="7" t="str">
        <f>TEXT(Table1[[#This Row],[Date]],"MMM")</f>
        <v>Feb</v>
      </c>
      <c r="C1291" t="s">
        <v>35</v>
      </c>
      <c r="D1291" t="s">
        <v>36</v>
      </c>
      <c r="E1291" s="1" t="s">
        <v>41</v>
      </c>
      <c r="F1291" t="s">
        <v>37</v>
      </c>
      <c r="G1291" t="s">
        <v>62</v>
      </c>
      <c r="H1291" t="s">
        <v>51</v>
      </c>
      <c r="I1291" s="9">
        <v>150000</v>
      </c>
      <c r="J1291">
        <v>4</v>
      </c>
      <c r="K1291" t="s">
        <v>47</v>
      </c>
      <c r="L1291" s="9">
        <f t="shared" si="20"/>
        <v>120000</v>
      </c>
      <c r="M1291" s="9">
        <f>Table1[[#This Row],[Unit Price]]*Table1[[#This Row],[Quantity]]</f>
        <v>600000</v>
      </c>
      <c r="N1291" s="9">
        <f>Table1[[#This Row],[Cost Price]]*Table1[[#This Row],[Quantity]]</f>
        <v>480000</v>
      </c>
      <c r="O1291" s="9">
        <f>Table1[[#This Row],[Revenue]]-Table1[[#This Row],[COGS]]</f>
        <v>120000</v>
      </c>
      <c r="P1291" s="6">
        <v>1290</v>
      </c>
    </row>
    <row r="1292" spans="1:16">
      <c r="A1292" s="7" t="s">
        <v>136</v>
      </c>
      <c r="B1292" s="7" t="str">
        <f>TEXT(Table1[[#This Row],[Date]],"MMM")</f>
        <v>Feb</v>
      </c>
      <c r="C1292" t="s">
        <v>35</v>
      </c>
      <c r="D1292" t="s">
        <v>36</v>
      </c>
      <c r="E1292" s="1" t="s">
        <v>41</v>
      </c>
      <c r="F1292" t="s">
        <v>30</v>
      </c>
      <c r="G1292" t="s">
        <v>54</v>
      </c>
      <c r="H1292" t="s">
        <v>39</v>
      </c>
      <c r="I1292" s="9">
        <v>180000</v>
      </c>
      <c r="J1292">
        <v>6</v>
      </c>
      <c r="K1292" t="s">
        <v>47</v>
      </c>
      <c r="L1292" s="9">
        <f t="shared" si="20"/>
        <v>144000</v>
      </c>
      <c r="M1292" s="9">
        <f>Table1[[#This Row],[Unit Price]]*Table1[[#This Row],[Quantity]]</f>
        <v>1080000</v>
      </c>
      <c r="N1292" s="9">
        <f>Table1[[#This Row],[Cost Price]]*Table1[[#This Row],[Quantity]]</f>
        <v>864000</v>
      </c>
      <c r="O1292" s="9">
        <f>Table1[[#This Row],[Revenue]]-Table1[[#This Row],[COGS]]</f>
        <v>216000</v>
      </c>
      <c r="P1292" s="6">
        <v>1291</v>
      </c>
    </row>
    <row r="1293" spans="1:16">
      <c r="A1293" s="7" t="s">
        <v>121</v>
      </c>
      <c r="B1293" s="7" t="str">
        <f>TEXT(Table1[[#This Row],[Date]],"MMM")</f>
        <v>Apr</v>
      </c>
      <c r="C1293" t="s">
        <v>35</v>
      </c>
      <c r="D1293" t="s">
        <v>45</v>
      </c>
      <c r="E1293" s="1" t="s">
        <v>41</v>
      </c>
      <c r="F1293" t="s">
        <v>37</v>
      </c>
      <c r="G1293" t="s">
        <v>38</v>
      </c>
      <c r="H1293" t="s">
        <v>39</v>
      </c>
      <c r="I1293" s="9">
        <v>30000</v>
      </c>
      <c r="J1293">
        <v>6</v>
      </c>
      <c r="K1293" t="s">
        <v>47</v>
      </c>
      <c r="L1293" s="9">
        <f t="shared" si="20"/>
        <v>24000</v>
      </c>
      <c r="M1293" s="9">
        <f>Table1[[#This Row],[Unit Price]]*Table1[[#This Row],[Quantity]]</f>
        <v>180000</v>
      </c>
      <c r="N1293" s="9">
        <f>Table1[[#This Row],[Cost Price]]*Table1[[#This Row],[Quantity]]</f>
        <v>144000</v>
      </c>
      <c r="O1293" s="9">
        <f>Table1[[#This Row],[Revenue]]-Table1[[#This Row],[COGS]]</f>
        <v>36000</v>
      </c>
      <c r="P1293" s="6">
        <v>1292</v>
      </c>
    </row>
    <row r="1294" spans="1:16">
      <c r="A1294" s="7" t="s">
        <v>95</v>
      </c>
      <c r="B1294" s="7" t="str">
        <f>TEXT(Table1[[#This Row],[Date]],"MMM")</f>
        <v>Feb</v>
      </c>
      <c r="C1294" t="s">
        <v>27</v>
      </c>
      <c r="D1294" t="s">
        <v>36</v>
      </c>
      <c r="E1294" s="1" t="s">
        <v>41</v>
      </c>
      <c r="F1294" t="s">
        <v>30</v>
      </c>
      <c r="G1294" t="s">
        <v>71</v>
      </c>
      <c r="H1294" t="s">
        <v>51</v>
      </c>
      <c r="I1294" s="9">
        <v>250000</v>
      </c>
      <c r="J1294">
        <v>5</v>
      </c>
      <c r="K1294" t="s">
        <v>58</v>
      </c>
      <c r="L1294" s="9">
        <f t="shared" si="20"/>
        <v>200000</v>
      </c>
      <c r="M1294" s="9">
        <f>Table1[[#This Row],[Unit Price]]*Table1[[#This Row],[Quantity]]</f>
        <v>1250000</v>
      </c>
      <c r="N1294" s="9">
        <f>Table1[[#This Row],[Cost Price]]*Table1[[#This Row],[Quantity]]</f>
        <v>1000000</v>
      </c>
      <c r="O1294" s="9">
        <f>Table1[[#This Row],[Revenue]]-Table1[[#This Row],[COGS]]</f>
        <v>250000</v>
      </c>
      <c r="P1294" s="6">
        <v>1293</v>
      </c>
    </row>
    <row r="1295" spans="1:16">
      <c r="A1295" s="7" t="s">
        <v>159</v>
      </c>
      <c r="B1295" s="7" t="str">
        <f>TEXT(Table1[[#This Row],[Date]],"MMM")</f>
        <v>Feb</v>
      </c>
      <c r="C1295" t="s">
        <v>44</v>
      </c>
      <c r="D1295" t="s">
        <v>36</v>
      </c>
      <c r="E1295" s="1" t="s">
        <v>41</v>
      </c>
      <c r="F1295" t="s">
        <v>30</v>
      </c>
      <c r="G1295" t="s">
        <v>56</v>
      </c>
      <c r="H1295" t="s">
        <v>32</v>
      </c>
      <c r="I1295" s="9">
        <v>320000</v>
      </c>
      <c r="J1295">
        <v>2</v>
      </c>
      <c r="K1295" t="s">
        <v>69</v>
      </c>
      <c r="L1295" s="9">
        <f t="shared" si="20"/>
        <v>256000</v>
      </c>
      <c r="M1295" s="9">
        <f>Table1[[#This Row],[Unit Price]]*Table1[[#This Row],[Quantity]]</f>
        <v>640000</v>
      </c>
      <c r="N1295" s="9">
        <f>Table1[[#This Row],[Cost Price]]*Table1[[#This Row],[Quantity]]</f>
        <v>512000</v>
      </c>
      <c r="O1295" s="9">
        <f>Table1[[#This Row],[Revenue]]-Table1[[#This Row],[COGS]]</f>
        <v>128000</v>
      </c>
      <c r="P1295" s="6">
        <v>1294</v>
      </c>
    </row>
    <row r="1296" spans="1:16">
      <c r="A1296" s="7" t="s">
        <v>74</v>
      </c>
      <c r="B1296" s="7" t="str">
        <f>TEXT(Table1[[#This Row],[Date]],"MMM")</f>
        <v>Feb</v>
      </c>
      <c r="C1296" t="s">
        <v>35</v>
      </c>
      <c r="D1296" t="s">
        <v>36</v>
      </c>
      <c r="E1296" s="1" t="s">
        <v>41</v>
      </c>
      <c r="F1296" t="s">
        <v>37</v>
      </c>
      <c r="G1296" t="s">
        <v>50</v>
      </c>
      <c r="H1296" t="s">
        <v>51</v>
      </c>
      <c r="I1296" s="9">
        <v>300000</v>
      </c>
      <c r="J1296">
        <v>10</v>
      </c>
      <c r="K1296" t="s">
        <v>58</v>
      </c>
      <c r="L1296" s="9">
        <f t="shared" si="20"/>
        <v>240000</v>
      </c>
      <c r="M1296" s="9">
        <f>Table1[[#This Row],[Unit Price]]*Table1[[#This Row],[Quantity]]</f>
        <v>3000000</v>
      </c>
      <c r="N1296" s="9">
        <f>Table1[[#This Row],[Cost Price]]*Table1[[#This Row],[Quantity]]</f>
        <v>2400000</v>
      </c>
      <c r="O1296" s="9">
        <f>Table1[[#This Row],[Revenue]]-Table1[[#This Row],[COGS]]</f>
        <v>600000</v>
      </c>
      <c r="P1296" s="6">
        <v>1295</v>
      </c>
    </row>
    <row r="1297" spans="1:16">
      <c r="A1297" s="7" t="s">
        <v>61</v>
      </c>
      <c r="B1297" s="7" t="str">
        <f>TEXT(Table1[[#This Row],[Date]],"MMM")</f>
        <v>Jan</v>
      </c>
      <c r="C1297" t="s">
        <v>27</v>
      </c>
      <c r="D1297" t="s">
        <v>36</v>
      </c>
      <c r="E1297" s="1" t="s">
        <v>41</v>
      </c>
      <c r="F1297" t="s">
        <v>37</v>
      </c>
      <c r="G1297" t="s">
        <v>50</v>
      </c>
      <c r="H1297" t="s">
        <v>51</v>
      </c>
      <c r="I1297" s="9">
        <v>300000</v>
      </c>
      <c r="J1297">
        <v>7</v>
      </c>
      <c r="K1297" t="s">
        <v>65</v>
      </c>
      <c r="L1297" s="9">
        <f t="shared" si="20"/>
        <v>240000</v>
      </c>
      <c r="M1297" s="9">
        <f>Table1[[#This Row],[Unit Price]]*Table1[[#This Row],[Quantity]]</f>
        <v>2100000</v>
      </c>
      <c r="N1297" s="9">
        <f>Table1[[#This Row],[Cost Price]]*Table1[[#This Row],[Quantity]]</f>
        <v>1680000</v>
      </c>
      <c r="O1297" s="9">
        <f>Table1[[#This Row],[Revenue]]-Table1[[#This Row],[COGS]]</f>
        <v>420000</v>
      </c>
      <c r="P1297" s="6">
        <v>1296</v>
      </c>
    </row>
    <row r="1298" spans="1:16">
      <c r="A1298" s="7" t="s">
        <v>150</v>
      </c>
      <c r="B1298" s="7" t="str">
        <f>TEXT(Table1[[#This Row],[Date]],"MMM")</f>
        <v>Jan</v>
      </c>
      <c r="C1298" t="s">
        <v>49</v>
      </c>
      <c r="D1298" t="s">
        <v>28</v>
      </c>
      <c r="E1298" s="1" t="s">
        <v>41</v>
      </c>
      <c r="F1298" t="s">
        <v>30</v>
      </c>
      <c r="G1298" t="s">
        <v>54</v>
      </c>
      <c r="H1298" t="s">
        <v>39</v>
      </c>
      <c r="I1298" s="9">
        <v>180000</v>
      </c>
      <c r="J1298">
        <v>1</v>
      </c>
      <c r="K1298" t="s">
        <v>69</v>
      </c>
      <c r="L1298" s="9">
        <f t="shared" si="20"/>
        <v>144000</v>
      </c>
      <c r="M1298" s="9">
        <f>Table1[[#This Row],[Unit Price]]*Table1[[#This Row],[Quantity]]</f>
        <v>180000</v>
      </c>
      <c r="N1298" s="9">
        <f>Table1[[#This Row],[Cost Price]]*Table1[[#This Row],[Quantity]]</f>
        <v>144000</v>
      </c>
      <c r="O1298" s="9">
        <f>Table1[[#This Row],[Revenue]]-Table1[[#This Row],[COGS]]</f>
        <v>36000</v>
      </c>
      <c r="P1298" s="6">
        <v>1297</v>
      </c>
    </row>
    <row r="1299" spans="1:16">
      <c r="A1299" s="7" t="s">
        <v>151</v>
      </c>
      <c r="B1299" s="7" t="str">
        <f>TEXT(Table1[[#This Row],[Date]],"MMM")</f>
        <v>Feb</v>
      </c>
      <c r="C1299" t="s">
        <v>35</v>
      </c>
      <c r="D1299" t="s">
        <v>45</v>
      </c>
      <c r="E1299" s="1" t="s">
        <v>41</v>
      </c>
      <c r="F1299" t="s">
        <v>37</v>
      </c>
      <c r="G1299" t="s">
        <v>50</v>
      </c>
      <c r="H1299" t="s">
        <v>51</v>
      </c>
      <c r="I1299" s="9">
        <v>300000</v>
      </c>
      <c r="J1299">
        <v>10</v>
      </c>
      <c r="K1299" t="s">
        <v>33</v>
      </c>
      <c r="L1299" s="9">
        <f t="shared" si="20"/>
        <v>240000</v>
      </c>
      <c r="M1299" s="9">
        <f>Table1[[#This Row],[Unit Price]]*Table1[[#This Row],[Quantity]]</f>
        <v>3000000</v>
      </c>
      <c r="N1299" s="9">
        <f>Table1[[#This Row],[Cost Price]]*Table1[[#This Row],[Quantity]]</f>
        <v>2400000</v>
      </c>
      <c r="O1299" s="9">
        <f>Table1[[#This Row],[Revenue]]-Table1[[#This Row],[COGS]]</f>
        <v>600000</v>
      </c>
      <c r="P1299" s="6">
        <v>1298</v>
      </c>
    </row>
    <row r="1300" spans="1:16">
      <c r="A1300" s="7" t="s">
        <v>165</v>
      </c>
      <c r="B1300" s="7" t="str">
        <f>TEXT(Table1[[#This Row],[Date]],"MMM")</f>
        <v>Apr</v>
      </c>
      <c r="C1300" t="s">
        <v>27</v>
      </c>
      <c r="D1300" t="s">
        <v>53</v>
      </c>
      <c r="E1300" s="1" t="s">
        <v>41</v>
      </c>
      <c r="F1300" t="s">
        <v>30</v>
      </c>
      <c r="G1300" t="s">
        <v>54</v>
      </c>
      <c r="H1300" t="s">
        <v>39</v>
      </c>
      <c r="I1300" s="9">
        <v>180000</v>
      </c>
      <c r="J1300">
        <v>7</v>
      </c>
      <c r="K1300" t="s">
        <v>65</v>
      </c>
      <c r="L1300" s="9">
        <f t="shared" si="20"/>
        <v>144000</v>
      </c>
      <c r="M1300" s="9">
        <f>Table1[[#This Row],[Unit Price]]*Table1[[#This Row],[Quantity]]</f>
        <v>1260000</v>
      </c>
      <c r="N1300" s="9">
        <f>Table1[[#This Row],[Cost Price]]*Table1[[#This Row],[Quantity]]</f>
        <v>1008000</v>
      </c>
      <c r="O1300" s="9">
        <f>Table1[[#This Row],[Revenue]]-Table1[[#This Row],[COGS]]</f>
        <v>252000</v>
      </c>
      <c r="P1300" s="6">
        <v>1299</v>
      </c>
    </row>
    <row r="1301" spans="1:16">
      <c r="A1301" s="7" t="s">
        <v>139</v>
      </c>
      <c r="B1301" s="7" t="str">
        <f>TEXT(Table1[[#This Row],[Date]],"MMM")</f>
        <v>Jan</v>
      </c>
      <c r="C1301" t="s">
        <v>27</v>
      </c>
      <c r="D1301" t="s">
        <v>36</v>
      </c>
      <c r="E1301" s="1" t="s">
        <v>41</v>
      </c>
      <c r="F1301" t="s">
        <v>30</v>
      </c>
      <c r="G1301" t="s">
        <v>38</v>
      </c>
      <c r="H1301" t="s">
        <v>39</v>
      </c>
      <c r="I1301" s="9">
        <v>30000</v>
      </c>
      <c r="J1301">
        <v>7</v>
      </c>
      <c r="K1301" t="s">
        <v>47</v>
      </c>
      <c r="L1301" s="9">
        <f t="shared" si="20"/>
        <v>24000</v>
      </c>
      <c r="M1301" s="9">
        <f>Table1[[#This Row],[Unit Price]]*Table1[[#This Row],[Quantity]]</f>
        <v>210000</v>
      </c>
      <c r="N1301" s="9">
        <f>Table1[[#This Row],[Cost Price]]*Table1[[#This Row],[Quantity]]</f>
        <v>168000</v>
      </c>
      <c r="O1301" s="9">
        <f>Table1[[#This Row],[Revenue]]-Table1[[#This Row],[COGS]]</f>
        <v>42000</v>
      </c>
      <c r="P1301" s="6">
        <v>1300</v>
      </c>
    </row>
    <row r="1302" spans="1:16">
      <c r="A1302" s="7" t="s">
        <v>92</v>
      </c>
      <c r="B1302" s="7" t="str">
        <f>TEXT(Table1[[#This Row],[Date]],"MMM")</f>
        <v>Jan</v>
      </c>
      <c r="C1302" t="s">
        <v>35</v>
      </c>
      <c r="D1302" t="s">
        <v>28</v>
      </c>
      <c r="E1302" s="1" t="s">
        <v>41</v>
      </c>
      <c r="F1302" t="s">
        <v>30</v>
      </c>
      <c r="G1302" t="s">
        <v>38</v>
      </c>
      <c r="H1302" t="s">
        <v>39</v>
      </c>
      <c r="I1302" s="9">
        <v>30000</v>
      </c>
      <c r="J1302">
        <v>6</v>
      </c>
      <c r="K1302" t="s">
        <v>42</v>
      </c>
      <c r="L1302" s="9">
        <f t="shared" si="20"/>
        <v>24000</v>
      </c>
      <c r="M1302" s="9">
        <f>Table1[[#This Row],[Unit Price]]*Table1[[#This Row],[Quantity]]</f>
        <v>180000</v>
      </c>
      <c r="N1302" s="9">
        <f>Table1[[#This Row],[Cost Price]]*Table1[[#This Row],[Quantity]]</f>
        <v>144000</v>
      </c>
      <c r="O1302" s="9">
        <f>Table1[[#This Row],[Revenue]]-Table1[[#This Row],[COGS]]</f>
        <v>36000</v>
      </c>
      <c r="P1302" s="6">
        <v>1301</v>
      </c>
    </row>
    <row r="1303" spans="1:16">
      <c r="A1303" s="7" t="s">
        <v>148</v>
      </c>
      <c r="B1303" s="7" t="str">
        <f>TEXT(Table1[[#This Row],[Date]],"MMM")</f>
        <v>Feb</v>
      </c>
      <c r="C1303" t="s">
        <v>35</v>
      </c>
      <c r="D1303" t="s">
        <v>36</v>
      </c>
      <c r="E1303" s="1" t="s">
        <v>41</v>
      </c>
      <c r="F1303" t="s">
        <v>30</v>
      </c>
      <c r="G1303" t="s">
        <v>31</v>
      </c>
      <c r="H1303" t="s">
        <v>32</v>
      </c>
      <c r="I1303" s="9">
        <v>85000</v>
      </c>
      <c r="J1303">
        <v>7</v>
      </c>
      <c r="K1303" t="s">
        <v>58</v>
      </c>
      <c r="L1303" s="9">
        <f t="shared" si="20"/>
        <v>68000</v>
      </c>
      <c r="M1303" s="9">
        <f>Table1[[#This Row],[Unit Price]]*Table1[[#This Row],[Quantity]]</f>
        <v>595000</v>
      </c>
      <c r="N1303" s="9">
        <f>Table1[[#This Row],[Cost Price]]*Table1[[#This Row],[Quantity]]</f>
        <v>476000</v>
      </c>
      <c r="O1303" s="9">
        <f>Table1[[#This Row],[Revenue]]-Table1[[#This Row],[COGS]]</f>
        <v>119000</v>
      </c>
      <c r="P1303" s="6">
        <v>1302</v>
      </c>
    </row>
    <row r="1304" spans="1:16">
      <c r="A1304" s="7" t="s">
        <v>78</v>
      </c>
      <c r="B1304" s="7" t="str">
        <f>TEXT(Table1[[#This Row],[Date]],"MMM")</f>
        <v>Apr</v>
      </c>
      <c r="C1304" t="s">
        <v>35</v>
      </c>
      <c r="D1304" t="s">
        <v>28</v>
      </c>
      <c r="E1304" s="1" t="s">
        <v>41</v>
      </c>
      <c r="F1304" t="s">
        <v>37</v>
      </c>
      <c r="G1304" t="s">
        <v>71</v>
      </c>
      <c r="H1304" t="s">
        <v>51</v>
      </c>
      <c r="I1304" s="9">
        <v>250000</v>
      </c>
      <c r="J1304">
        <v>3</v>
      </c>
      <c r="K1304" t="s">
        <v>58</v>
      </c>
      <c r="L1304" s="9">
        <f t="shared" si="20"/>
        <v>200000</v>
      </c>
      <c r="M1304" s="9">
        <f>Table1[[#This Row],[Unit Price]]*Table1[[#This Row],[Quantity]]</f>
        <v>750000</v>
      </c>
      <c r="N1304" s="9">
        <f>Table1[[#This Row],[Cost Price]]*Table1[[#This Row],[Quantity]]</f>
        <v>600000</v>
      </c>
      <c r="O1304" s="9">
        <f>Table1[[#This Row],[Revenue]]-Table1[[#This Row],[COGS]]</f>
        <v>150000</v>
      </c>
      <c r="P1304" s="6">
        <v>1303</v>
      </c>
    </row>
    <row r="1305" spans="1:16">
      <c r="A1305" s="7" t="s">
        <v>85</v>
      </c>
      <c r="B1305" s="7" t="str">
        <f>TEXT(Table1[[#This Row],[Date]],"MMM")</f>
        <v>Feb</v>
      </c>
      <c r="C1305" t="s">
        <v>27</v>
      </c>
      <c r="D1305" t="s">
        <v>36</v>
      </c>
      <c r="E1305" s="1" t="s">
        <v>41</v>
      </c>
      <c r="F1305" t="s">
        <v>30</v>
      </c>
      <c r="G1305" t="s">
        <v>56</v>
      </c>
      <c r="H1305" t="s">
        <v>32</v>
      </c>
      <c r="I1305" s="9">
        <v>320000</v>
      </c>
      <c r="J1305">
        <v>7</v>
      </c>
      <c r="K1305" t="s">
        <v>47</v>
      </c>
      <c r="L1305" s="9">
        <f t="shared" si="20"/>
        <v>256000</v>
      </c>
      <c r="M1305" s="9">
        <f>Table1[[#This Row],[Unit Price]]*Table1[[#This Row],[Quantity]]</f>
        <v>2240000</v>
      </c>
      <c r="N1305" s="9">
        <f>Table1[[#This Row],[Cost Price]]*Table1[[#This Row],[Quantity]]</f>
        <v>1792000</v>
      </c>
      <c r="O1305" s="9">
        <f>Table1[[#This Row],[Revenue]]-Table1[[#This Row],[COGS]]</f>
        <v>448000</v>
      </c>
      <c r="P1305" s="6">
        <v>1304</v>
      </c>
    </row>
    <row r="1306" spans="1:16">
      <c r="A1306" s="7" t="s">
        <v>158</v>
      </c>
      <c r="B1306" s="7" t="str">
        <f>TEXT(Table1[[#This Row],[Date]],"MMM")</f>
        <v>Jan</v>
      </c>
      <c r="C1306" t="s">
        <v>44</v>
      </c>
      <c r="D1306" t="s">
        <v>45</v>
      </c>
      <c r="E1306" s="1" t="s">
        <v>41</v>
      </c>
      <c r="F1306" t="s">
        <v>37</v>
      </c>
      <c r="G1306" t="s">
        <v>38</v>
      </c>
      <c r="H1306" t="s">
        <v>39</v>
      </c>
      <c r="I1306" s="9">
        <v>30000</v>
      </c>
      <c r="J1306">
        <v>7</v>
      </c>
      <c r="K1306" t="s">
        <v>58</v>
      </c>
      <c r="L1306" s="9">
        <f t="shared" si="20"/>
        <v>24000</v>
      </c>
      <c r="M1306" s="9">
        <f>Table1[[#This Row],[Unit Price]]*Table1[[#This Row],[Quantity]]</f>
        <v>210000</v>
      </c>
      <c r="N1306" s="9">
        <f>Table1[[#This Row],[Cost Price]]*Table1[[#This Row],[Quantity]]</f>
        <v>168000</v>
      </c>
      <c r="O1306" s="9">
        <f>Table1[[#This Row],[Revenue]]-Table1[[#This Row],[COGS]]</f>
        <v>42000</v>
      </c>
      <c r="P1306" s="6">
        <v>1305</v>
      </c>
    </row>
    <row r="1307" spans="1:16">
      <c r="A1307" s="7" t="s">
        <v>128</v>
      </c>
      <c r="B1307" s="7" t="str">
        <f>TEXT(Table1[[#This Row],[Date]],"MMM")</f>
        <v>Mar</v>
      </c>
      <c r="C1307" t="s">
        <v>27</v>
      </c>
      <c r="D1307" t="s">
        <v>45</v>
      </c>
      <c r="E1307" s="1" t="s">
        <v>41</v>
      </c>
      <c r="F1307" t="s">
        <v>30</v>
      </c>
      <c r="G1307" t="s">
        <v>56</v>
      </c>
      <c r="H1307" t="s">
        <v>32</v>
      </c>
      <c r="I1307" s="9">
        <v>320000</v>
      </c>
      <c r="J1307">
        <v>8</v>
      </c>
      <c r="K1307" t="s">
        <v>33</v>
      </c>
      <c r="L1307" s="9">
        <f t="shared" si="20"/>
        <v>256000</v>
      </c>
      <c r="M1307" s="9">
        <f>Table1[[#This Row],[Unit Price]]*Table1[[#This Row],[Quantity]]</f>
        <v>2560000</v>
      </c>
      <c r="N1307" s="9">
        <f>Table1[[#This Row],[Cost Price]]*Table1[[#This Row],[Quantity]]</f>
        <v>2048000</v>
      </c>
      <c r="O1307" s="9">
        <f>Table1[[#This Row],[Revenue]]-Table1[[#This Row],[COGS]]</f>
        <v>512000</v>
      </c>
      <c r="P1307" s="6">
        <v>1306</v>
      </c>
    </row>
    <row r="1308" spans="1:16">
      <c r="A1308" s="7" t="s">
        <v>43</v>
      </c>
      <c r="B1308" s="7" t="str">
        <f>TEXT(Table1[[#This Row],[Date]],"MMM")</f>
        <v>Apr</v>
      </c>
      <c r="C1308" t="s">
        <v>49</v>
      </c>
      <c r="D1308" t="s">
        <v>53</v>
      </c>
      <c r="E1308" s="1" t="s">
        <v>41</v>
      </c>
      <c r="F1308" t="s">
        <v>30</v>
      </c>
      <c r="G1308" t="s">
        <v>56</v>
      </c>
      <c r="H1308" t="s">
        <v>32</v>
      </c>
      <c r="I1308" s="9">
        <v>320000</v>
      </c>
      <c r="J1308">
        <v>7</v>
      </c>
      <c r="K1308" t="s">
        <v>65</v>
      </c>
      <c r="L1308" s="9">
        <f t="shared" si="20"/>
        <v>256000</v>
      </c>
      <c r="M1308" s="9">
        <f>Table1[[#This Row],[Unit Price]]*Table1[[#This Row],[Quantity]]</f>
        <v>2240000</v>
      </c>
      <c r="N1308" s="9">
        <f>Table1[[#This Row],[Cost Price]]*Table1[[#This Row],[Quantity]]</f>
        <v>1792000</v>
      </c>
      <c r="O1308" s="9">
        <f>Table1[[#This Row],[Revenue]]-Table1[[#This Row],[COGS]]</f>
        <v>448000</v>
      </c>
      <c r="P1308" s="6">
        <v>1307</v>
      </c>
    </row>
    <row r="1309" spans="1:16">
      <c r="A1309" s="7" t="s">
        <v>167</v>
      </c>
      <c r="B1309" s="7" t="str">
        <f>TEXT(Table1[[#This Row],[Date]],"MMM")</f>
        <v>Apr</v>
      </c>
      <c r="C1309" t="s">
        <v>35</v>
      </c>
      <c r="D1309" t="s">
        <v>36</v>
      </c>
      <c r="E1309" s="1" t="s">
        <v>41</v>
      </c>
      <c r="F1309" t="s">
        <v>37</v>
      </c>
      <c r="G1309" t="s">
        <v>46</v>
      </c>
      <c r="H1309" t="s">
        <v>39</v>
      </c>
      <c r="I1309" s="9">
        <v>60000</v>
      </c>
      <c r="J1309">
        <v>2</v>
      </c>
      <c r="K1309" t="s">
        <v>47</v>
      </c>
      <c r="L1309" s="9">
        <f t="shared" si="20"/>
        <v>48000</v>
      </c>
      <c r="M1309" s="9">
        <f>Table1[[#This Row],[Unit Price]]*Table1[[#This Row],[Quantity]]</f>
        <v>120000</v>
      </c>
      <c r="N1309" s="9">
        <f>Table1[[#This Row],[Cost Price]]*Table1[[#This Row],[Quantity]]</f>
        <v>96000</v>
      </c>
      <c r="O1309" s="9">
        <f>Table1[[#This Row],[Revenue]]-Table1[[#This Row],[COGS]]</f>
        <v>24000</v>
      </c>
      <c r="P1309" s="6">
        <v>1308</v>
      </c>
    </row>
    <row r="1310" spans="1:16">
      <c r="A1310" s="7" t="s">
        <v>103</v>
      </c>
      <c r="B1310" s="7" t="str">
        <f>TEXT(Table1[[#This Row],[Date]],"MMM")</f>
        <v>Mar</v>
      </c>
      <c r="C1310" t="s">
        <v>27</v>
      </c>
      <c r="D1310" t="s">
        <v>28</v>
      </c>
      <c r="E1310" s="1" t="s">
        <v>41</v>
      </c>
      <c r="F1310" t="s">
        <v>37</v>
      </c>
      <c r="G1310" t="s">
        <v>73</v>
      </c>
      <c r="H1310" t="s">
        <v>39</v>
      </c>
      <c r="I1310" s="9">
        <v>220000</v>
      </c>
      <c r="J1310">
        <v>8</v>
      </c>
      <c r="K1310" t="s">
        <v>65</v>
      </c>
      <c r="L1310" s="9">
        <f t="shared" si="20"/>
        <v>176000</v>
      </c>
      <c r="M1310" s="9">
        <f>Table1[[#This Row],[Unit Price]]*Table1[[#This Row],[Quantity]]</f>
        <v>1760000</v>
      </c>
      <c r="N1310" s="9">
        <f>Table1[[#This Row],[Cost Price]]*Table1[[#This Row],[Quantity]]</f>
        <v>1408000</v>
      </c>
      <c r="O1310" s="9">
        <f>Table1[[#This Row],[Revenue]]-Table1[[#This Row],[COGS]]</f>
        <v>352000</v>
      </c>
      <c r="P1310" s="6">
        <v>1309</v>
      </c>
    </row>
    <row r="1311" spans="1:16">
      <c r="A1311" s="7" t="s">
        <v>139</v>
      </c>
      <c r="B1311" s="7" t="str">
        <f>TEXT(Table1[[#This Row],[Date]],"MMM")</f>
        <v>Jan</v>
      </c>
      <c r="C1311" t="s">
        <v>44</v>
      </c>
      <c r="D1311" t="s">
        <v>45</v>
      </c>
      <c r="E1311" s="1" t="s">
        <v>41</v>
      </c>
      <c r="F1311" t="s">
        <v>30</v>
      </c>
      <c r="G1311" t="s">
        <v>46</v>
      </c>
      <c r="H1311" t="s">
        <v>39</v>
      </c>
      <c r="I1311" s="9">
        <v>60000</v>
      </c>
      <c r="J1311">
        <v>2</v>
      </c>
      <c r="K1311" t="s">
        <v>47</v>
      </c>
      <c r="L1311" s="9">
        <f t="shared" si="20"/>
        <v>48000</v>
      </c>
      <c r="M1311" s="9">
        <f>Table1[[#This Row],[Unit Price]]*Table1[[#This Row],[Quantity]]</f>
        <v>120000</v>
      </c>
      <c r="N1311" s="9">
        <f>Table1[[#This Row],[Cost Price]]*Table1[[#This Row],[Quantity]]</f>
        <v>96000</v>
      </c>
      <c r="O1311" s="9">
        <f>Table1[[#This Row],[Revenue]]-Table1[[#This Row],[COGS]]</f>
        <v>24000</v>
      </c>
      <c r="P1311" s="6">
        <v>1310</v>
      </c>
    </row>
    <row r="1312" spans="1:16">
      <c r="A1312" s="7" t="s">
        <v>99</v>
      </c>
      <c r="B1312" s="7" t="str">
        <f>TEXT(Table1[[#This Row],[Date]],"MMM")</f>
        <v>Apr</v>
      </c>
      <c r="C1312" t="s">
        <v>27</v>
      </c>
      <c r="D1312" t="s">
        <v>45</v>
      </c>
      <c r="E1312" s="1" t="s">
        <v>41</v>
      </c>
      <c r="F1312" t="s">
        <v>30</v>
      </c>
      <c r="G1312" t="s">
        <v>56</v>
      </c>
      <c r="H1312" t="s">
        <v>32</v>
      </c>
      <c r="I1312" s="9">
        <v>320000</v>
      </c>
      <c r="J1312">
        <v>2</v>
      </c>
      <c r="K1312" t="s">
        <v>69</v>
      </c>
      <c r="L1312" s="9">
        <f t="shared" si="20"/>
        <v>256000</v>
      </c>
      <c r="M1312" s="9">
        <f>Table1[[#This Row],[Unit Price]]*Table1[[#This Row],[Quantity]]</f>
        <v>640000</v>
      </c>
      <c r="N1312" s="9">
        <f>Table1[[#This Row],[Cost Price]]*Table1[[#This Row],[Quantity]]</f>
        <v>512000</v>
      </c>
      <c r="O1312" s="9">
        <f>Table1[[#This Row],[Revenue]]-Table1[[#This Row],[COGS]]</f>
        <v>128000</v>
      </c>
      <c r="P1312" s="6">
        <v>1311</v>
      </c>
    </row>
    <row r="1313" spans="1:16">
      <c r="A1313" s="7" t="s">
        <v>78</v>
      </c>
      <c r="B1313" s="7" t="str">
        <f>TEXT(Table1[[#This Row],[Date]],"MMM")</f>
        <v>Apr</v>
      </c>
      <c r="C1313" t="s">
        <v>35</v>
      </c>
      <c r="D1313" t="s">
        <v>28</v>
      </c>
      <c r="E1313" s="1" t="s">
        <v>41</v>
      </c>
      <c r="F1313" t="s">
        <v>37</v>
      </c>
      <c r="G1313" t="s">
        <v>38</v>
      </c>
      <c r="H1313" t="s">
        <v>39</v>
      </c>
      <c r="I1313" s="9">
        <v>30000</v>
      </c>
      <c r="J1313">
        <v>2</v>
      </c>
      <c r="K1313" t="s">
        <v>58</v>
      </c>
      <c r="L1313" s="9">
        <f t="shared" si="20"/>
        <v>24000</v>
      </c>
      <c r="M1313" s="9">
        <f>Table1[[#This Row],[Unit Price]]*Table1[[#This Row],[Quantity]]</f>
        <v>60000</v>
      </c>
      <c r="N1313" s="9">
        <f>Table1[[#This Row],[Cost Price]]*Table1[[#This Row],[Quantity]]</f>
        <v>48000</v>
      </c>
      <c r="O1313" s="9">
        <f>Table1[[#This Row],[Revenue]]-Table1[[#This Row],[COGS]]</f>
        <v>12000</v>
      </c>
      <c r="P1313" s="6">
        <v>1312</v>
      </c>
    </row>
    <row r="1314" spans="1:16">
      <c r="A1314" s="7" t="s">
        <v>132</v>
      </c>
      <c r="B1314" s="7" t="str">
        <f>TEXT(Table1[[#This Row],[Date]],"MMM")</f>
        <v>Apr</v>
      </c>
      <c r="C1314" t="s">
        <v>49</v>
      </c>
      <c r="D1314" t="s">
        <v>36</v>
      </c>
      <c r="E1314" s="1" t="s">
        <v>41</v>
      </c>
      <c r="F1314" t="s">
        <v>37</v>
      </c>
      <c r="G1314" t="s">
        <v>38</v>
      </c>
      <c r="H1314" t="s">
        <v>39</v>
      </c>
      <c r="I1314" s="9">
        <v>30000</v>
      </c>
      <c r="J1314">
        <v>7</v>
      </c>
      <c r="K1314" t="s">
        <v>58</v>
      </c>
      <c r="L1314" s="9">
        <f t="shared" si="20"/>
        <v>24000</v>
      </c>
      <c r="M1314" s="9">
        <f>Table1[[#This Row],[Unit Price]]*Table1[[#This Row],[Quantity]]</f>
        <v>210000</v>
      </c>
      <c r="N1314" s="9">
        <f>Table1[[#This Row],[Cost Price]]*Table1[[#This Row],[Quantity]]</f>
        <v>168000</v>
      </c>
      <c r="O1314" s="9">
        <f>Table1[[#This Row],[Revenue]]-Table1[[#This Row],[COGS]]</f>
        <v>42000</v>
      </c>
      <c r="P1314" s="6">
        <v>1313</v>
      </c>
    </row>
    <row r="1315" spans="1:16">
      <c r="A1315" s="7" t="s">
        <v>177</v>
      </c>
      <c r="B1315" s="7" t="str">
        <f>TEXT(Table1[[#This Row],[Date]],"MMM")</f>
        <v>Mar</v>
      </c>
      <c r="C1315" t="s">
        <v>49</v>
      </c>
      <c r="D1315" t="s">
        <v>28</v>
      </c>
      <c r="E1315" s="1" t="s">
        <v>41</v>
      </c>
      <c r="F1315" t="s">
        <v>37</v>
      </c>
      <c r="G1315" t="s">
        <v>71</v>
      </c>
      <c r="H1315" t="s">
        <v>51</v>
      </c>
      <c r="I1315" s="9">
        <v>250000</v>
      </c>
      <c r="J1315">
        <v>10</v>
      </c>
      <c r="K1315" t="s">
        <v>58</v>
      </c>
      <c r="L1315" s="9">
        <f t="shared" si="20"/>
        <v>200000</v>
      </c>
      <c r="M1315" s="9">
        <f>Table1[[#This Row],[Unit Price]]*Table1[[#This Row],[Quantity]]</f>
        <v>2500000</v>
      </c>
      <c r="N1315" s="9">
        <f>Table1[[#This Row],[Cost Price]]*Table1[[#This Row],[Quantity]]</f>
        <v>2000000</v>
      </c>
      <c r="O1315" s="9">
        <f>Table1[[#This Row],[Revenue]]-Table1[[#This Row],[COGS]]</f>
        <v>500000</v>
      </c>
      <c r="P1315" s="6">
        <v>1314</v>
      </c>
    </row>
    <row r="1316" spans="1:16">
      <c r="A1316" s="7" t="s">
        <v>113</v>
      </c>
      <c r="B1316" s="7" t="str">
        <f>TEXT(Table1[[#This Row],[Date]],"MMM")</f>
        <v>Apr</v>
      </c>
      <c r="C1316" t="s">
        <v>35</v>
      </c>
      <c r="D1316" t="s">
        <v>53</v>
      </c>
      <c r="E1316" s="1" t="s">
        <v>41</v>
      </c>
      <c r="F1316" t="s">
        <v>37</v>
      </c>
      <c r="G1316" t="s">
        <v>50</v>
      </c>
      <c r="H1316" t="s">
        <v>51</v>
      </c>
      <c r="I1316" s="9">
        <v>300000</v>
      </c>
      <c r="J1316">
        <v>9</v>
      </c>
      <c r="K1316" t="s">
        <v>47</v>
      </c>
      <c r="L1316" s="9">
        <f t="shared" si="20"/>
        <v>240000</v>
      </c>
      <c r="M1316" s="9">
        <f>Table1[[#This Row],[Unit Price]]*Table1[[#This Row],[Quantity]]</f>
        <v>2700000</v>
      </c>
      <c r="N1316" s="9">
        <f>Table1[[#This Row],[Cost Price]]*Table1[[#This Row],[Quantity]]</f>
        <v>2160000</v>
      </c>
      <c r="O1316" s="9">
        <f>Table1[[#This Row],[Revenue]]-Table1[[#This Row],[COGS]]</f>
        <v>540000</v>
      </c>
      <c r="P1316" s="6">
        <v>1315</v>
      </c>
    </row>
    <row r="1317" spans="1:16">
      <c r="A1317" s="7" t="s">
        <v>118</v>
      </c>
      <c r="B1317" s="7" t="str">
        <f>TEXT(Table1[[#This Row],[Date]],"MMM")</f>
        <v>Mar</v>
      </c>
      <c r="C1317" t="s">
        <v>44</v>
      </c>
      <c r="D1317" t="s">
        <v>45</v>
      </c>
      <c r="E1317" s="1" t="s">
        <v>41</v>
      </c>
      <c r="F1317" t="s">
        <v>37</v>
      </c>
      <c r="G1317" t="s">
        <v>31</v>
      </c>
      <c r="H1317" t="s">
        <v>32</v>
      </c>
      <c r="I1317" s="9">
        <v>85000</v>
      </c>
      <c r="J1317">
        <v>6</v>
      </c>
      <c r="K1317" t="s">
        <v>65</v>
      </c>
      <c r="L1317" s="9">
        <f t="shared" si="20"/>
        <v>68000</v>
      </c>
      <c r="M1317" s="9">
        <f>Table1[[#This Row],[Unit Price]]*Table1[[#This Row],[Quantity]]</f>
        <v>510000</v>
      </c>
      <c r="N1317" s="9">
        <f>Table1[[#This Row],[Cost Price]]*Table1[[#This Row],[Quantity]]</f>
        <v>408000</v>
      </c>
      <c r="O1317" s="9">
        <f>Table1[[#This Row],[Revenue]]-Table1[[#This Row],[COGS]]</f>
        <v>102000</v>
      </c>
      <c r="P1317" s="6">
        <v>1316</v>
      </c>
    </row>
    <row r="1318" spans="1:16">
      <c r="A1318" s="7" t="s">
        <v>166</v>
      </c>
      <c r="B1318" s="7" t="str">
        <f>TEXT(Table1[[#This Row],[Date]],"MMM")</f>
        <v>Jan</v>
      </c>
      <c r="C1318" t="s">
        <v>27</v>
      </c>
      <c r="D1318" t="s">
        <v>28</v>
      </c>
      <c r="E1318" s="1" t="s">
        <v>41</v>
      </c>
      <c r="F1318" t="s">
        <v>37</v>
      </c>
      <c r="G1318" t="s">
        <v>38</v>
      </c>
      <c r="H1318" t="s">
        <v>39</v>
      </c>
      <c r="I1318" s="9">
        <v>30000</v>
      </c>
      <c r="J1318">
        <v>4</v>
      </c>
      <c r="K1318" t="s">
        <v>33</v>
      </c>
      <c r="L1318" s="9">
        <f t="shared" si="20"/>
        <v>24000</v>
      </c>
      <c r="M1318" s="9">
        <f>Table1[[#This Row],[Unit Price]]*Table1[[#This Row],[Quantity]]</f>
        <v>120000</v>
      </c>
      <c r="N1318" s="9">
        <f>Table1[[#This Row],[Cost Price]]*Table1[[#This Row],[Quantity]]</f>
        <v>96000</v>
      </c>
      <c r="O1318" s="9">
        <f>Table1[[#This Row],[Revenue]]-Table1[[#This Row],[COGS]]</f>
        <v>24000</v>
      </c>
      <c r="P1318" s="6">
        <v>1317</v>
      </c>
    </row>
    <row r="1319" spans="1:16">
      <c r="A1319" s="7" t="s">
        <v>173</v>
      </c>
      <c r="B1319" s="7" t="str">
        <f>TEXT(Table1[[#This Row],[Date]],"MMM")</f>
        <v>Mar</v>
      </c>
      <c r="C1319" t="s">
        <v>44</v>
      </c>
      <c r="D1319" t="s">
        <v>53</v>
      </c>
      <c r="E1319" s="1" t="s">
        <v>41</v>
      </c>
      <c r="F1319" t="s">
        <v>30</v>
      </c>
      <c r="G1319" t="s">
        <v>50</v>
      </c>
      <c r="H1319" t="s">
        <v>51</v>
      </c>
      <c r="I1319" s="9">
        <v>300000</v>
      </c>
      <c r="J1319">
        <v>4</v>
      </c>
      <c r="K1319" t="s">
        <v>33</v>
      </c>
      <c r="L1319" s="9">
        <f t="shared" si="20"/>
        <v>240000</v>
      </c>
      <c r="M1319" s="9">
        <f>Table1[[#This Row],[Unit Price]]*Table1[[#This Row],[Quantity]]</f>
        <v>1200000</v>
      </c>
      <c r="N1319" s="9">
        <f>Table1[[#This Row],[Cost Price]]*Table1[[#This Row],[Quantity]]</f>
        <v>960000</v>
      </c>
      <c r="O1319" s="9">
        <f>Table1[[#This Row],[Revenue]]-Table1[[#This Row],[COGS]]</f>
        <v>240000</v>
      </c>
      <c r="P1319" s="6">
        <v>1318</v>
      </c>
    </row>
    <row r="1320" spans="1:16">
      <c r="A1320" s="7" t="s">
        <v>80</v>
      </c>
      <c r="B1320" s="7" t="str">
        <f>TEXT(Table1[[#This Row],[Date]],"MMM")</f>
        <v>Feb</v>
      </c>
      <c r="C1320" t="s">
        <v>44</v>
      </c>
      <c r="D1320" t="s">
        <v>53</v>
      </c>
      <c r="E1320" s="1" t="s">
        <v>41</v>
      </c>
      <c r="F1320" t="s">
        <v>37</v>
      </c>
      <c r="G1320" t="s">
        <v>73</v>
      </c>
      <c r="H1320" t="s">
        <v>39</v>
      </c>
      <c r="I1320" s="9">
        <v>220000</v>
      </c>
      <c r="J1320">
        <v>5</v>
      </c>
      <c r="K1320" t="s">
        <v>58</v>
      </c>
      <c r="L1320" s="9">
        <f t="shared" si="20"/>
        <v>176000</v>
      </c>
      <c r="M1320" s="9">
        <f>Table1[[#This Row],[Unit Price]]*Table1[[#This Row],[Quantity]]</f>
        <v>1100000</v>
      </c>
      <c r="N1320" s="9">
        <f>Table1[[#This Row],[Cost Price]]*Table1[[#This Row],[Quantity]]</f>
        <v>880000</v>
      </c>
      <c r="O1320" s="9">
        <f>Table1[[#This Row],[Revenue]]-Table1[[#This Row],[COGS]]</f>
        <v>220000</v>
      </c>
      <c r="P1320" s="6">
        <v>1319</v>
      </c>
    </row>
    <row r="1321" spans="1:16">
      <c r="A1321" s="7" t="s">
        <v>134</v>
      </c>
      <c r="B1321" s="7" t="str">
        <f>TEXT(Table1[[#This Row],[Date]],"MMM")</f>
        <v>Jan</v>
      </c>
      <c r="C1321" t="s">
        <v>35</v>
      </c>
      <c r="D1321" t="s">
        <v>53</v>
      </c>
      <c r="E1321" t="s">
        <v>41</v>
      </c>
      <c r="F1321" t="s">
        <v>37</v>
      </c>
      <c r="G1321" t="s">
        <v>73</v>
      </c>
      <c r="H1321" t="s">
        <v>39</v>
      </c>
      <c r="I1321" s="9">
        <v>220000</v>
      </c>
      <c r="J1321">
        <v>4</v>
      </c>
      <c r="K1321" t="s">
        <v>58</v>
      </c>
      <c r="L1321" s="9">
        <f t="shared" si="20"/>
        <v>176000</v>
      </c>
      <c r="M1321" s="9">
        <f>Table1[[#This Row],[Unit Price]]*Table1[[#This Row],[Quantity]]</f>
        <v>880000</v>
      </c>
      <c r="N1321" s="9">
        <f>Table1[[#This Row],[Cost Price]]*Table1[[#This Row],[Quantity]]</f>
        <v>704000</v>
      </c>
      <c r="O1321" s="9">
        <f>Table1[[#This Row],[Revenue]]-Table1[[#This Row],[COGS]]</f>
        <v>176000</v>
      </c>
      <c r="P1321" s="6">
        <v>1320</v>
      </c>
    </row>
    <row r="1322" spans="1:16">
      <c r="A1322" s="7" t="s">
        <v>115</v>
      </c>
      <c r="B1322" s="7" t="str">
        <f>TEXT(Table1[[#This Row],[Date]],"MMM")</f>
        <v>Jan</v>
      </c>
      <c r="C1322" t="s">
        <v>35</v>
      </c>
      <c r="D1322" t="s">
        <v>53</v>
      </c>
      <c r="E1322" t="s">
        <v>41</v>
      </c>
      <c r="F1322" t="s">
        <v>30</v>
      </c>
      <c r="G1322" t="s">
        <v>38</v>
      </c>
      <c r="H1322" t="s">
        <v>39</v>
      </c>
      <c r="I1322" s="9">
        <v>30000</v>
      </c>
      <c r="J1322">
        <v>1</v>
      </c>
      <c r="K1322" t="s">
        <v>69</v>
      </c>
      <c r="L1322" s="9">
        <f t="shared" si="20"/>
        <v>24000</v>
      </c>
      <c r="M1322" s="9">
        <f>Table1[[#This Row],[Unit Price]]*Table1[[#This Row],[Quantity]]</f>
        <v>30000</v>
      </c>
      <c r="N1322" s="9">
        <f>Table1[[#This Row],[Cost Price]]*Table1[[#This Row],[Quantity]]</f>
        <v>24000</v>
      </c>
      <c r="O1322" s="9">
        <f>Table1[[#This Row],[Revenue]]-Table1[[#This Row],[COGS]]</f>
        <v>6000</v>
      </c>
      <c r="P1322" s="6">
        <v>1321</v>
      </c>
    </row>
    <row r="1323" spans="1:16">
      <c r="A1323" s="7" t="s">
        <v>72</v>
      </c>
      <c r="B1323" s="7" t="str">
        <f>TEXT(Table1[[#This Row],[Date]],"MMM")</f>
        <v>Feb</v>
      </c>
      <c r="C1323" t="s">
        <v>44</v>
      </c>
      <c r="D1323" t="s">
        <v>36</v>
      </c>
      <c r="E1323" t="s">
        <v>29</v>
      </c>
      <c r="F1323" t="s">
        <v>30</v>
      </c>
      <c r="G1323" t="s">
        <v>67</v>
      </c>
      <c r="H1323" t="s">
        <v>51</v>
      </c>
      <c r="I1323" s="9">
        <v>420000</v>
      </c>
      <c r="J1323">
        <v>9</v>
      </c>
      <c r="K1323" t="s">
        <v>42</v>
      </c>
      <c r="L1323" s="9">
        <f t="shared" si="20"/>
        <v>336000</v>
      </c>
      <c r="M1323" s="9">
        <f>Table1[[#This Row],[Unit Price]]*Table1[[#This Row],[Quantity]]</f>
        <v>3780000</v>
      </c>
      <c r="N1323" s="9">
        <f>Table1[[#This Row],[Cost Price]]*Table1[[#This Row],[Quantity]]</f>
        <v>3024000</v>
      </c>
      <c r="O1323" s="9">
        <f>Table1[[#This Row],[Revenue]]-Table1[[#This Row],[COGS]]</f>
        <v>756000</v>
      </c>
      <c r="P1323" s="6">
        <v>1322</v>
      </c>
    </row>
    <row r="1324" spans="1:16">
      <c r="A1324" s="7" t="s">
        <v>114</v>
      </c>
      <c r="B1324" s="7" t="str">
        <f>TEXT(Table1[[#This Row],[Date]],"MMM")</f>
        <v>Apr</v>
      </c>
      <c r="C1324" t="s">
        <v>27</v>
      </c>
      <c r="D1324" t="s">
        <v>36</v>
      </c>
      <c r="E1324" t="s">
        <v>41</v>
      </c>
      <c r="F1324" t="s">
        <v>30</v>
      </c>
      <c r="G1324" t="s">
        <v>46</v>
      </c>
      <c r="H1324" t="s">
        <v>39</v>
      </c>
      <c r="I1324" s="9">
        <v>60000</v>
      </c>
      <c r="J1324">
        <v>6</v>
      </c>
      <c r="K1324" t="s">
        <v>42</v>
      </c>
      <c r="L1324" s="9">
        <f t="shared" si="20"/>
        <v>48000</v>
      </c>
      <c r="M1324" s="9">
        <f>Table1[[#This Row],[Unit Price]]*Table1[[#This Row],[Quantity]]</f>
        <v>360000</v>
      </c>
      <c r="N1324" s="9">
        <f>Table1[[#This Row],[Cost Price]]*Table1[[#This Row],[Quantity]]</f>
        <v>288000</v>
      </c>
      <c r="O1324" s="9">
        <f>Table1[[#This Row],[Revenue]]-Table1[[#This Row],[COGS]]</f>
        <v>72000</v>
      </c>
      <c r="P1324" s="6">
        <v>1323</v>
      </c>
    </row>
    <row r="1325" spans="1:16">
      <c r="A1325" s="7" t="s">
        <v>139</v>
      </c>
      <c r="B1325" s="7" t="str">
        <f>TEXT(Table1[[#This Row],[Date]],"MMM")</f>
        <v>Jan</v>
      </c>
      <c r="C1325" t="s">
        <v>27</v>
      </c>
      <c r="D1325" t="s">
        <v>53</v>
      </c>
      <c r="E1325" t="s">
        <v>29</v>
      </c>
      <c r="F1325" t="s">
        <v>30</v>
      </c>
      <c r="G1325" t="s">
        <v>54</v>
      </c>
      <c r="H1325" t="s">
        <v>39</v>
      </c>
      <c r="I1325" s="9">
        <v>180000</v>
      </c>
      <c r="J1325">
        <v>2</v>
      </c>
      <c r="K1325" t="s">
        <v>47</v>
      </c>
      <c r="L1325" s="9">
        <f t="shared" si="20"/>
        <v>144000</v>
      </c>
      <c r="M1325" s="9">
        <f>Table1[[#This Row],[Unit Price]]*Table1[[#This Row],[Quantity]]</f>
        <v>360000</v>
      </c>
      <c r="N1325" s="9">
        <f>Table1[[#This Row],[Cost Price]]*Table1[[#This Row],[Quantity]]</f>
        <v>288000</v>
      </c>
      <c r="O1325" s="9">
        <f>Table1[[#This Row],[Revenue]]-Table1[[#This Row],[COGS]]</f>
        <v>72000</v>
      </c>
      <c r="P1325" s="6">
        <v>1324</v>
      </c>
    </row>
    <row r="1326" spans="1:16">
      <c r="A1326" s="7" t="s">
        <v>106</v>
      </c>
      <c r="B1326" s="7" t="str">
        <f>TEXT(Table1[[#This Row],[Date]],"MMM")</f>
        <v>Apr</v>
      </c>
      <c r="C1326" t="s">
        <v>35</v>
      </c>
      <c r="D1326" t="s">
        <v>36</v>
      </c>
      <c r="E1326" t="s">
        <v>29</v>
      </c>
      <c r="F1326" t="s">
        <v>30</v>
      </c>
      <c r="G1326" t="s">
        <v>31</v>
      </c>
      <c r="H1326" t="s">
        <v>32</v>
      </c>
      <c r="I1326" s="9">
        <v>85000</v>
      </c>
      <c r="J1326">
        <v>1</v>
      </c>
      <c r="K1326" t="s">
        <v>42</v>
      </c>
      <c r="L1326" s="9">
        <f t="shared" si="20"/>
        <v>68000</v>
      </c>
      <c r="M1326" s="9">
        <f>Table1[[#This Row],[Unit Price]]*Table1[[#This Row],[Quantity]]</f>
        <v>85000</v>
      </c>
      <c r="N1326" s="9">
        <f>Table1[[#This Row],[Cost Price]]*Table1[[#This Row],[Quantity]]</f>
        <v>68000</v>
      </c>
      <c r="O1326" s="9">
        <f>Table1[[#This Row],[Revenue]]-Table1[[#This Row],[COGS]]</f>
        <v>17000</v>
      </c>
      <c r="P1326" s="6">
        <v>1325</v>
      </c>
    </row>
    <row r="1327" spans="1:16">
      <c r="A1327" s="7" t="s">
        <v>86</v>
      </c>
      <c r="B1327" s="7" t="str">
        <f>TEXT(Table1[[#This Row],[Date]],"MMM")</f>
        <v>Feb</v>
      </c>
      <c r="C1327" t="s">
        <v>27</v>
      </c>
      <c r="D1327" t="s">
        <v>45</v>
      </c>
      <c r="E1327" t="s">
        <v>29</v>
      </c>
      <c r="F1327" t="s">
        <v>37</v>
      </c>
      <c r="G1327" t="s">
        <v>71</v>
      </c>
      <c r="H1327" t="s">
        <v>51</v>
      </c>
      <c r="I1327" s="9">
        <v>250000</v>
      </c>
      <c r="J1327">
        <v>2</v>
      </c>
      <c r="K1327" t="s">
        <v>33</v>
      </c>
      <c r="L1327" s="9">
        <f t="shared" si="20"/>
        <v>200000</v>
      </c>
      <c r="M1327" s="9">
        <f>Table1[[#This Row],[Unit Price]]*Table1[[#This Row],[Quantity]]</f>
        <v>500000</v>
      </c>
      <c r="N1327" s="9">
        <f>Table1[[#This Row],[Cost Price]]*Table1[[#This Row],[Quantity]]</f>
        <v>400000</v>
      </c>
      <c r="O1327" s="9">
        <f>Table1[[#This Row],[Revenue]]-Table1[[#This Row],[COGS]]</f>
        <v>100000</v>
      </c>
      <c r="P1327" s="6">
        <v>1326</v>
      </c>
    </row>
    <row r="1328" spans="1:16">
      <c r="A1328" s="7" t="s">
        <v>130</v>
      </c>
      <c r="B1328" s="7" t="str">
        <f>TEXT(Table1[[#This Row],[Date]],"MMM")</f>
        <v>Jan</v>
      </c>
      <c r="C1328" t="s">
        <v>49</v>
      </c>
      <c r="D1328" t="s">
        <v>53</v>
      </c>
      <c r="E1328" t="s">
        <v>29</v>
      </c>
      <c r="F1328" t="s">
        <v>37</v>
      </c>
      <c r="G1328" t="s">
        <v>38</v>
      </c>
      <c r="H1328" t="s">
        <v>39</v>
      </c>
      <c r="I1328" s="9">
        <v>30000</v>
      </c>
      <c r="J1328">
        <v>7</v>
      </c>
      <c r="K1328" t="s">
        <v>58</v>
      </c>
      <c r="L1328" s="9">
        <f t="shared" si="20"/>
        <v>24000</v>
      </c>
      <c r="M1328" s="9">
        <f>Table1[[#This Row],[Unit Price]]*Table1[[#This Row],[Quantity]]</f>
        <v>210000</v>
      </c>
      <c r="N1328" s="9">
        <f>Table1[[#This Row],[Cost Price]]*Table1[[#This Row],[Quantity]]</f>
        <v>168000</v>
      </c>
      <c r="O1328" s="9">
        <f>Table1[[#This Row],[Revenue]]-Table1[[#This Row],[COGS]]</f>
        <v>42000</v>
      </c>
      <c r="P1328" s="6">
        <v>1327</v>
      </c>
    </row>
    <row r="1329" spans="1:16">
      <c r="A1329" s="7" t="s">
        <v>155</v>
      </c>
      <c r="B1329" s="7" t="str">
        <f>TEXT(Table1[[#This Row],[Date]],"MMM")</f>
        <v>Apr</v>
      </c>
      <c r="C1329" t="s">
        <v>27</v>
      </c>
      <c r="D1329" t="s">
        <v>36</v>
      </c>
      <c r="E1329" t="s">
        <v>29</v>
      </c>
      <c r="F1329" t="s">
        <v>37</v>
      </c>
      <c r="G1329" t="s">
        <v>67</v>
      </c>
      <c r="H1329" t="s">
        <v>51</v>
      </c>
      <c r="I1329" s="9">
        <v>420000</v>
      </c>
      <c r="J1329">
        <v>9</v>
      </c>
      <c r="K1329" t="s">
        <v>58</v>
      </c>
      <c r="L1329" s="9">
        <f t="shared" si="20"/>
        <v>336000</v>
      </c>
      <c r="M1329" s="9">
        <f>Table1[[#This Row],[Unit Price]]*Table1[[#This Row],[Quantity]]</f>
        <v>3780000</v>
      </c>
      <c r="N1329" s="9">
        <f>Table1[[#This Row],[Cost Price]]*Table1[[#This Row],[Quantity]]</f>
        <v>3024000</v>
      </c>
      <c r="O1329" s="9">
        <f>Table1[[#This Row],[Revenue]]-Table1[[#This Row],[COGS]]</f>
        <v>756000</v>
      </c>
      <c r="P1329" s="6">
        <v>1328</v>
      </c>
    </row>
    <row r="1330" spans="1:16">
      <c r="A1330" s="7" t="s">
        <v>26</v>
      </c>
      <c r="B1330" s="7" t="str">
        <f>TEXT(Table1[[#This Row],[Date]],"MMM")</f>
        <v>Jan</v>
      </c>
      <c r="C1330" t="s">
        <v>44</v>
      </c>
      <c r="D1330" t="s">
        <v>53</v>
      </c>
      <c r="E1330" t="s">
        <v>29</v>
      </c>
      <c r="F1330" t="s">
        <v>30</v>
      </c>
      <c r="G1330" t="s">
        <v>46</v>
      </c>
      <c r="H1330" t="s">
        <v>39</v>
      </c>
      <c r="I1330" s="9">
        <v>60000</v>
      </c>
      <c r="J1330">
        <v>7</v>
      </c>
      <c r="K1330" t="s">
        <v>42</v>
      </c>
      <c r="L1330" s="9">
        <f t="shared" si="20"/>
        <v>48000</v>
      </c>
      <c r="M1330" s="9">
        <f>Table1[[#This Row],[Unit Price]]*Table1[[#This Row],[Quantity]]</f>
        <v>420000</v>
      </c>
      <c r="N1330" s="9">
        <f>Table1[[#This Row],[Cost Price]]*Table1[[#This Row],[Quantity]]</f>
        <v>336000</v>
      </c>
      <c r="O1330" s="9">
        <f>Table1[[#This Row],[Revenue]]-Table1[[#This Row],[COGS]]</f>
        <v>84000</v>
      </c>
      <c r="P1330" s="6">
        <v>1329</v>
      </c>
    </row>
    <row r="1331" spans="1:16">
      <c r="A1331" s="7" t="s">
        <v>157</v>
      </c>
      <c r="B1331" s="7" t="str">
        <f>TEXT(Table1[[#This Row],[Date]],"MMM")</f>
        <v>Apr</v>
      </c>
      <c r="C1331" t="s">
        <v>49</v>
      </c>
      <c r="D1331" t="s">
        <v>45</v>
      </c>
      <c r="E1331" t="s">
        <v>29</v>
      </c>
      <c r="F1331" t="s">
        <v>37</v>
      </c>
      <c r="G1331" t="s">
        <v>50</v>
      </c>
      <c r="H1331" t="s">
        <v>51</v>
      </c>
      <c r="I1331" s="9">
        <v>300000</v>
      </c>
      <c r="J1331">
        <v>7</v>
      </c>
      <c r="K1331" t="s">
        <v>58</v>
      </c>
      <c r="L1331" s="9">
        <f t="shared" si="20"/>
        <v>240000</v>
      </c>
      <c r="M1331" s="9">
        <f>Table1[[#This Row],[Unit Price]]*Table1[[#This Row],[Quantity]]</f>
        <v>2100000</v>
      </c>
      <c r="N1331" s="9">
        <f>Table1[[#This Row],[Cost Price]]*Table1[[#This Row],[Quantity]]</f>
        <v>1680000</v>
      </c>
      <c r="O1331" s="9">
        <f>Table1[[#This Row],[Revenue]]-Table1[[#This Row],[COGS]]</f>
        <v>420000</v>
      </c>
      <c r="P1331" s="6">
        <v>1330</v>
      </c>
    </row>
    <row r="1332" spans="1:16">
      <c r="A1332" s="7" t="s">
        <v>75</v>
      </c>
      <c r="B1332" s="7" t="str">
        <f>TEXT(Table1[[#This Row],[Date]],"MMM")</f>
        <v>Mar</v>
      </c>
      <c r="C1332" t="s">
        <v>35</v>
      </c>
      <c r="D1332" t="s">
        <v>28</v>
      </c>
      <c r="E1332" t="s">
        <v>41</v>
      </c>
      <c r="F1332" t="s">
        <v>30</v>
      </c>
      <c r="G1332" t="s">
        <v>62</v>
      </c>
      <c r="H1332" t="s">
        <v>51</v>
      </c>
      <c r="I1332" s="9">
        <v>150000</v>
      </c>
      <c r="J1332">
        <v>9</v>
      </c>
      <c r="K1332" t="s">
        <v>69</v>
      </c>
      <c r="L1332" s="9">
        <f t="shared" si="20"/>
        <v>120000</v>
      </c>
      <c r="M1332" s="9">
        <f>Table1[[#This Row],[Unit Price]]*Table1[[#This Row],[Quantity]]</f>
        <v>1350000</v>
      </c>
      <c r="N1332" s="9">
        <f>Table1[[#This Row],[Cost Price]]*Table1[[#This Row],[Quantity]]</f>
        <v>1080000</v>
      </c>
      <c r="O1332" s="9">
        <f>Table1[[#This Row],[Revenue]]-Table1[[#This Row],[COGS]]</f>
        <v>270000</v>
      </c>
      <c r="P1332" s="6">
        <v>1331</v>
      </c>
    </row>
    <row r="1333" spans="1:16">
      <c r="A1333" s="7" t="s">
        <v>107</v>
      </c>
      <c r="B1333" s="7" t="str">
        <f>TEXT(Table1[[#This Row],[Date]],"MMM")</f>
        <v>Feb</v>
      </c>
      <c r="C1333" t="s">
        <v>44</v>
      </c>
      <c r="D1333" t="s">
        <v>45</v>
      </c>
      <c r="E1333" t="s">
        <v>41</v>
      </c>
      <c r="F1333" t="s">
        <v>30</v>
      </c>
      <c r="G1333" t="s">
        <v>50</v>
      </c>
      <c r="H1333" t="s">
        <v>51</v>
      </c>
      <c r="I1333" s="9">
        <v>300000</v>
      </c>
      <c r="J1333">
        <v>7</v>
      </c>
      <c r="K1333" t="s">
        <v>47</v>
      </c>
      <c r="L1333" s="9">
        <f t="shared" si="20"/>
        <v>240000</v>
      </c>
      <c r="M1333" s="9">
        <f>Table1[[#This Row],[Unit Price]]*Table1[[#This Row],[Quantity]]</f>
        <v>2100000</v>
      </c>
      <c r="N1333" s="9">
        <f>Table1[[#This Row],[Cost Price]]*Table1[[#This Row],[Quantity]]</f>
        <v>1680000</v>
      </c>
      <c r="O1333" s="9">
        <f>Table1[[#This Row],[Revenue]]-Table1[[#This Row],[COGS]]</f>
        <v>420000</v>
      </c>
      <c r="P1333" s="6">
        <v>1332</v>
      </c>
    </row>
    <row r="1334" spans="1:16">
      <c r="A1334" s="7" t="s">
        <v>61</v>
      </c>
      <c r="B1334" s="7" t="str">
        <f>TEXT(Table1[[#This Row],[Date]],"MMM")</f>
        <v>Jan</v>
      </c>
      <c r="C1334" t="s">
        <v>27</v>
      </c>
      <c r="D1334" t="s">
        <v>36</v>
      </c>
      <c r="E1334" t="s">
        <v>29</v>
      </c>
      <c r="F1334" t="s">
        <v>30</v>
      </c>
      <c r="G1334" t="s">
        <v>71</v>
      </c>
      <c r="H1334" t="s">
        <v>51</v>
      </c>
      <c r="I1334" s="9">
        <v>250000</v>
      </c>
      <c r="J1334">
        <v>1</v>
      </c>
      <c r="K1334" t="s">
        <v>65</v>
      </c>
      <c r="L1334" s="9">
        <f t="shared" si="20"/>
        <v>200000</v>
      </c>
      <c r="M1334" s="9">
        <f>Table1[[#This Row],[Unit Price]]*Table1[[#This Row],[Quantity]]</f>
        <v>250000</v>
      </c>
      <c r="N1334" s="9">
        <f>Table1[[#This Row],[Cost Price]]*Table1[[#This Row],[Quantity]]</f>
        <v>200000</v>
      </c>
      <c r="O1334" s="9">
        <f>Table1[[#This Row],[Revenue]]-Table1[[#This Row],[COGS]]</f>
        <v>50000</v>
      </c>
      <c r="P1334" s="6">
        <v>1333</v>
      </c>
    </row>
    <row r="1335" spans="1:16">
      <c r="A1335" s="7" t="s">
        <v>158</v>
      </c>
      <c r="B1335" s="7" t="str">
        <f>TEXT(Table1[[#This Row],[Date]],"MMM")</f>
        <v>Jan</v>
      </c>
      <c r="C1335" t="s">
        <v>27</v>
      </c>
      <c r="D1335" t="s">
        <v>36</v>
      </c>
      <c r="E1335" t="s">
        <v>41</v>
      </c>
      <c r="F1335" t="s">
        <v>30</v>
      </c>
      <c r="G1335" t="s">
        <v>71</v>
      </c>
      <c r="H1335" t="s">
        <v>51</v>
      </c>
      <c r="I1335" s="9">
        <v>250000</v>
      </c>
      <c r="J1335">
        <v>6</v>
      </c>
      <c r="K1335" t="s">
        <v>47</v>
      </c>
      <c r="L1335" s="9">
        <f t="shared" si="20"/>
        <v>200000</v>
      </c>
      <c r="M1335" s="9">
        <f>Table1[[#This Row],[Unit Price]]*Table1[[#This Row],[Quantity]]</f>
        <v>1500000</v>
      </c>
      <c r="N1335" s="9">
        <f>Table1[[#This Row],[Cost Price]]*Table1[[#This Row],[Quantity]]</f>
        <v>1200000</v>
      </c>
      <c r="O1335" s="9">
        <f>Table1[[#This Row],[Revenue]]-Table1[[#This Row],[COGS]]</f>
        <v>300000</v>
      </c>
      <c r="P1335" s="6">
        <v>1334</v>
      </c>
    </row>
    <row r="1336" spans="1:16">
      <c r="A1336" s="7" t="s">
        <v>147</v>
      </c>
      <c r="B1336" s="7" t="str">
        <f>TEXT(Table1[[#This Row],[Date]],"MMM")</f>
        <v>Jan</v>
      </c>
      <c r="C1336" t="s">
        <v>35</v>
      </c>
      <c r="D1336" t="s">
        <v>45</v>
      </c>
      <c r="E1336" t="s">
        <v>41</v>
      </c>
      <c r="F1336" t="s">
        <v>37</v>
      </c>
      <c r="G1336" t="s">
        <v>67</v>
      </c>
      <c r="H1336" t="s">
        <v>51</v>
      </c>
      <c r="I1336" s="9">
        <v>420000</v>
      </c>
      <c r="J1336">
        <v>9</v>
      </c>
      <c r="K1336" t="s">
        <v>69</v>
      </c>
      <c r="L1336" s="9">
        <f t="shared" si="20"/>
        <v>336000</v>
      </c>
      <c r="M1336" s="9">
        <f>Table1[[#This Row],[Unit Price]]*Table1[[#This Row],[Quantity]]</f>
        <v>3780000</v>
      </c>
      <c r="N1336" s="9">
        <f>Table1[[#This Row],[Cost Price]]*Table1[[#This Row],[Quantity]]</f>
        <v>3024000</v>
      </c>
      <c r="O1336" s="9">
        <f>Table1[[#This Row],[Revenue]]-Table1[[#This Row],[COGS]]</f>
        <v>756000</v>
      </c>
      <c r="P1336" s="6">
        <v>1335</v>
      </c>
    </row>
    <row r="1337" spans="1:16">
      <c r="A1337" s="7" t="s">
        <v>128</v>
      </c>
      <c r="B1337" s="7" t="str">
        <f>TEXT(Table1[[#This Row],[Date]],"MMM")</f>
        <v>Mar</v>
      </c>
      <c r="C1337" t="s">
        <v>44</v>
      </c>
      <c r="D1337" t="s">
        <v>53</v>
      </c>
      <c r="E1337" t="s">
        <v>41</v>
      </c>
      <c r="F1337" t="s">
        <v>30</v>
      </c>
      <c r="G1337" t="s">
        <v>54</v>
      </c>
      <c r="H1337" t="s">
        <v>39</v>
      </c>
      <c r="I1337" s="9">
        <v>180000</v>
      </c>
      <c r="J1337">
        <v>6</v>
      </c>
      <c r="K1337" t="s">
        <v>42</v>
      </c>
      <c r="L1337" s="9">
        <f t="shared" si="20"/>
        <v>144000</v>
      </c>
      <c r="M1337" s="9">
        <f>Table1[[#This Row],[Unit Price]]*Table1[[#This Row],[Quantity]]</f>
        <v>1080000</v>
      </c>
      <c r="N1337" s="9">
        <f>Table1[[#This Row],[Cost Price]]*Table1[[#This Row],[Quantity]]</f>
        <v>864000</v>
      </c>
      <c r="O1337" s="9">
        <f>Table1[[#This Row],[Revenue]]-Table1[[#This Row],[COGS]]</f>
        <v>216000</v>
      </c>
      <c r="P1337" s="6">
        <v>1336</v>
      </c>
    </row>
    <row r="1338" spans="1:16">
      <c r="A1338" s="7" t="s">
        <v>158</v>
      </c>
      <c r="B1338" s="7" t="str">
        <f>TEXT(Table1[[#This Row],[Date]],"MMM")</f>
        <v>Jan</v>
      </c>
      <c r="C1338" t="s">
        <v>44</v>
      </c>
      <c r="D1338" t="s">
        <v>45</v>
      </c>
      <c r="E1338" t="s">
        <v>41</v>
      </c>
      <c r="F1338" t="s">
        <v>30</v>
      </c>
      <c r="G1338" t="s">
        <v>31</v>
      </c>
      <c r="H1338" t="s">
        <v>32</v>
      </c>
      <c r="I1338" s="9">
        <v>85000</v>
      </c>
      <c r="J1338">
        <v>5</v>
      </c>
      <c r="K1338" t="s">
        <v>69</v>
      </c>
      <c r="L1338" s="9">
        <f t="shared" si="20"/>
        <v>68000</v>
      </c>
      <c r="M1338" s="9">
        <f>Table1[[#This Row],[Unit Price]]*Table1[[#This Row],[Quantity]]</f>
        <v>425000</v>
      </c>
      <c r="N1338" s="9">
        <f>Table1[[#This Row],[Cost Price]]*Table1[[#This Row],[Quantity]]</f>
        <v>340000</v>
      </c>
      <c r="O1338" s="9">
        <f>Table1[[#This Row],[Revenue]]-Table1[[#This Row],[COGS]]</f>
        <v>85000</v>
      </c>
      <c r="P1338" s="6">
        <v>1337</v>
      </c>
    </row>
    <row r="1339" spans="1:16">
      <c r="A1339" s="7" t="s">
        <v>121</v>
      </c>
      <c r="B1339" s="7" t="str">
        <f>TEXT(Table1[[#This Row],[Date]],"MMM")</f>
        <v>Apr</v>
      </c>
      <c r="C1339" t="s">
        <v>27</v>
      </c>
      <c r="D1339" t="s">
        <v>45</v>
      </c>
      <c r="E1339" t="s">
        <v>41</v>
      </c>
      <c r="F1339" t="s">
        <v>30</v>
      </c>
      <c r="G1339" t="s">
        <v>73</v>
      </c>
      <c r="H1339" t="s">
        <v>39</v>
      </c>
      <c r="I1339" s="9">
        <v>220000</v>
      </c>
      <c r="J1339">
        <v>5</v>
      </c>
      <c r="K1339" t="s">
        <v>69</v>
      </c>
      <c r="L1339" s="9">
        <f t="shared" si="20"/>
        <v>176000</v>
      </c>
      <c r="M1339" s="9">
        <f>Table1[[#This Row],[Unit Price]]*Table1[[#This Row],[Quantity]]</f>
        <v>1100000</v>
      </c>
      <c r="N1339" s="9">
        <f>Table1[[#This Row],[Cost Price]]*Table1[[#This Row],[Quantity]]</f>
        <v>880000</v>
      </c>
      <c r="O1339" s="9">
        <f>Table1[[#This Row],[Revenue]]-Table1[[#This Row],[COGS]]</f>
        <v>220000</v>
      </c>
      <c r="P1339" s="6">
        <v>1338</v>
      </c>
    </row>
    <row r="1340" spans="1:16">
      <c r="A1340" s="7" t="s">
        <v>129</v>
      </c>
      <c r="B1340" s="7" t="str">
        <f>TEXT(Table1[[#This Row],[Date]],"MMM")</f>
        <v>Mar</v>
      </c>
      <c r="C1340" t="s">
        <v>35</v>
      </c>
      <c r="D1340" t="s">
        <v>53</v>
      </c>
      <c r="E1340" t="s">
        <v>29</v>
      </c>
      <c r="F1340" t="s">
        <v>30</v>
      </c>
      <c r="G1340" t="s">
        <v>46</v>
      </c>
      <c r="H1340" t="s">
        <v>39</v>
      </c>
      <c r="I1340" s="9">
        <v>60000</v>
      </c>
      <c r="J1340">
        <v>8</v>
      </c>
      <c r="K1340" t="s">
        <v>65</v>
      </c>
      <c r="L1340" s="9">
        <f t="shared" si="20"/>
        <v>48000</v>
      </c>
      <c r="M1340" s="9">
        <f>Table1[[#This Row],[Unit Price]]*Table1[[#This Row],[Quantity]]</f>
        <v>480000</v>
      </c>
      <c r="N1340" s="9">
        <f>Table1[[#This Row],[Cost Price]]*Table1[[#This Row],[Quantity]]</f>
        <v>384000</v>
      </c>
      <c r="O1340" s="9">
        <f>Table1[[#This Row],[Revenue]]-Table1[[#This Row],[COGS]]</f>
        <v>96000</v>
      </c>
      <c r="P1340" s="6">
        <v>1339</v>
      </c>
    </row>
    <row r="1341" spans="1:16">
      <c r="A1341" s="7" t="s">
        <v>100</v>
      </c>
      <c r="B1341" s="7" t="str">
        <f>TEXT(Table1[[#This Row],[Date]],"MMM")</f>
        <v>Jan</v>
      </c>
      <c r="C1341" t="s">
        <v>35</v>
      </c>
      <c r="D1341" t="s">
        <v>53</v>
      </c>
      <c r="E1341" t="s">
        <v>41</v>
      </c>
      <c r="F1341" t="s">
        <v>37</v>
      </c>
      <c r="G1341" t="s">
        <v>31</v>
      </c>
      <c r="H1341" t="s">
        <v>32</v>
      </c>
      <c r="I1341" s="9">
        <v>85000</v>
      </c>
      <c r="J1341">
        <v>10</v>
      </c>
      <c r="K1341" t="s">
        <v>58</v>
      </c>
      <c r="L1341" s="9">
        <f t="shared" si="20"/>
        <v>68000</v>
      </c>
      <c r="M1341" s="9">
        <f>Table1[[#This Row],[Unit Price]]*Table1[[#This Row],[Quantity]]</f>
        <v>850000</v>
      </c>
      <c r="N1341" s="9">
        <f>Table1[[#This Row],[Cost Price]]*Table1[[#This Row],[Quantity]]</f>
        <v>680000</v>
      </c>
      <c r="O1341" s="9">
        <f>Table1[[#This Row],[Revenue]]-Table1[[#This Row],[COGS]]</f>
        <v>170000</v>
      </c>
      <c r="P1341" s="6">
        <v>1340</v>
      </c>
    </row>
    <row r="1342" spans="1:16">
      <c r="A1342" s="7" t="s">
        <v>112</v>
      </c>
      <c r="B1342" s="7" t="str">
        <f>TEXT(Table1[[#This Row],[Date]],"MMM")</f>
        <v>Feb</v>
      </c>
      <c r="C1342" t="s">
        <v>49</v>
      </c>
      <c r="D1342" t="s">
        <v>36</v>
      </c>
      <c r="E1342" t="s">
        <v>29</v>
      </c>
      <c r="F1342" t="s">
        <v>37</v>
      </c>
      <c r="G1342" t="s">
        <v>38</v>
      </c>
      <c r="H1342" t="s">
        <v>39</v>
      </c>
      <c r="I1342" s="9">
        <v>30000</v>
      </c>
      <c r="J1342">
        <v>6</v>
      </c>
      <c r="K1342" t="s">
        <v>69</v>
      </c>
      <c r="L1342" s="9">
        <f t="shared" si="20"/>
        <v>24000</v>
      </c>
      <c r="M1342" s="9">
        <f>Table1[[#This Row],[Unit Price]]*Table1[[#This Row],[Quantity]]</f>
        <v>180000</v>
      </c>
      <c r="N1342" s="9">
        <f>Table1[[#This Row],[Cost Price]]*Table1[[#This Row],[Quantity]]</f>
        <v>144000</v>
      </c>
      <c r="O1342" s="9">
        <f>Table1[[#This Row],[Revenue]]-Table1[[#This Row],[COGS]]</f>
        <v>36000</v>
      </c>
      <c r="P1342" s="6">
        <v>1341</v>
      </c>
    </row>
    <row r="1343" spans="1:16">
      <c r="A1343" s="7" t="s">
        <v>142</v>
      </c>
      <c r="B1343" s="7" t="str">
        <f>TEXT(Table1[[#This Row],[Date]],"MMM")</f>
        <v>Apr</v>
      </c>
      <c r="C1343" t="s">
        <v>27</v>
      </c>
      <c r="D1343" t="s">
        <v>36</v>
      </c>
      <c r="E1343" t="s">
        <v>41</v>
      </c>
      <c r="F1343" t="s">
        <v>37</v>
      </c>
      <c r="G1343" t="s">
        <v>56</v>
      </c>
      <c r="H1343" t="s">
        <v>32</v>
      </c>
      <c r="I1343" s="9">
        <v>320000</v>
      </c>
      <c r="J1343">
        <v>10</v>
      </c>
      <c r="K1343" t="s">
        <v>42</v>
      </c>
      <c r="L1343" s="9">
        <f t="shared" si="20"/>
        <v>256000</v>
      </c>
      <c r="M1343" s="9">
        <f>Table1[[#This Row],[Unit Price]]*Table1[[#This Row],[Quantity]]</f>
        <v>3200000</v>
      </c>
      <c r="N1343" s="9">
        <f>Table1[[#This Row],[Cost Price]]*Table1[[#This Row],[Quantity]]</f>
        <v>2560000</v>
      </c>
      <c r="O1343" s="9">
        <f>Table1[[#This Row],[Revenue]]-Table1[[#This Row],[COGS]]</f>
        <v>640000</v>
      </c>
      <c r="P1343" s="6">
        <v>1342</v>
      </c>
    </row>
    <row r="1344" spans="1:16">
      <c r="A1344" s="7" t="s">
        <v>116</v>
      </c>
      <c r="B1344" s="7" t="str">
        <f>TEXT(Table1[[#This Row],[Date]],"MMM")</f>
        <v>Apr</v>
      </c>
      <c r="C1344" t="s">
        <v>44</v>
      </c>
      <c r="D1344" t="s">
        <v>53</v>
      </c>
      <c r="E1344" t="s">
        <v>41</v>
      </c>
      <c r="F1344" t="s">
        <v>37</v>
      </c>
      <c r="G1344" t="s">
        <v>46</v>
      </c>
      <c r="H1344" t="s">
        <v>39</v>
      </c>
      <c r="I1344" s="9">
        <v>60000</v>
      </c>
      <c r="J1344">
        <v>2</v>
      </c>
      <c r="K1344" t="s">
        <v>42</v>
      </c>
      <c r="L1344" s="9">
        <f t="shared" si="20"/>
        <v>48000</v>
      </c>
      <c r="M1344" s="9">
        <f>Table1[[#This Row],[Unit Price]]*Table1[[#This Row],[Quantity]]</f>
        <v>120000</v>
      </c>
      <c r="N1344" s="9">
        <f>Table1[[#This Row],[Cost Price]]*Table1[[#This Row],[Quantity]]</f>
        <v>96000</v>
      </c>
      <c r="O1344" s="9">
        <f>Table1[[#This Row],[Revenue]]-Table1[[#This Row],[COGS]]</f>
        <v>24000</v>
      </c>
      <c r="P1344" s="6">
        <v>1343</v>
      </c>
    </row>
    <row r="1345" spans="1:16">
      <c r="A1345" s="7" t="s">
        <v>70</v>
      </c>
      <c r="B1345" s="7" t="str">
        <f>TEXT(Table1[[#This Row],[Date]],"MMM")</f>
        <v>Apr</v>
      </c>
      <c r="C1345" t="s">
        <v>35</v>
      </c>
      <c r="D1345" t="s">
        <v>36</v>
      </c>
      <c r="E1345" t="s">
        <v>41</v>
      </c>
      <c r="F1345" t="s">
        <v>37</v>
      </c>
      <c r="G1345" t="s">
        <v>67</v>
      </c>
      <c r="H1345" t="s">
        <v>51</v>
      </c>
      <c r="I1345" s="9">
        <v>420000</v>
      </c>
      <c r="J1345">
        <v>3</v>
      </c>
      <c r="K1345" t="s">
        <v>33</v>
      </c>
      <c r="L1345" s="9">
        <f t="shared" si="20"/>
        <v>336000</v>
      </c>
      <c r="M1345" s="9">
        <f>Table1[[#This Row],[Unit Price]]*Table1[[#This Row],[Quantity]]</f>
        <v>1260000</v>
      </c>
      <c r="N1345" s="9">
        <f>Table1[[#This Row],[Cost Price]]*Table1[[#This Row],[Quantity]]</f>
        <v>1008000</v>
      </c>
      <c r="O1345" s="9">
        <f>Table1[[#This Row],[Revenue]]-Table1[[#This Row],[COGS]]</f>
        <v>252000</v>
      </c>
      <c r="P1345" s="6">
        <v>1344</v>
      </c>
    </row>
    <row r="1346" spans="1:16">
      <c r="A1346" s="7" t="s">
        <v>55</v>
      </c>
      <c r="B1346" s="7" t="str">
        <f>TEXT(Table1[[#This Row],[Date]],"MMM")</f>
        <v>Mar</v>
      </c>
      <c r="C1346" t="s">
        <v>35</v>
      </c>
      <c r="D1346" t="s">
        <v>36</v>
      </c>
      <c r="E1346" t="s">
        <v>29</v>
      </c>
      <c r="F1346" t="s">
        <v>30</v>
      </c>
      <c r="G1346" t="s">
        <v>62</v>
      </c>
      <c r="H1346" t="s">
        <v>51</v>
      </c>
      <c r="I1346" s="9">
        <v>150000</v>
      </c>
      <c r="J1346">
        <v>5</v>
      </c>
      <c r="K1346" t="s">
        <v>47</v>
      </c>
      <c r="L1346" s="9">
        <f t="shared" ref="L1346:L1409" si="21">I1346-I1346*0.2</f>
        <v>120000</v>
      </c>
      <c r="M1346" s="9">
        <f>Table1[[#This Row],[Unit Price]]*Table1[[#This Row],[Quantity]]</f>
        <v>750000</v>
      </c>
      <c r="N1346" s="9">
        <f>Table1[[#This Row],[Cost Price]]*Table1[[#This Row],[Quantity]]</f>
        <v>600000</v>
      </c>
      <c r="O1346" s="9">
        <f>Table1[[#This Row],[Revenue]]-Table1[[#This Row],[COGS]]</f>
        <v>150000</v>
      </c>
      <c r="P1346" s="6">
        <v>1345</v>
      </c>
    </row>
    <row r="1347" spans="1:16">
      <c r="A1347" s="7" t="s">
        <v>90</v>
      </c>
      <c r="B1347" s="7" t="str">
        <f>TEXT(Table1[[#This Row],[Date]],"MMM")</f>
        <v>Feb</v>
      </c>
      <c r="C1347" t="s">
        <v>44</v>
      </c>
      <c r="D1347" t="s">
        <v>36</v>
      </c>
      <c r="E1347" t="s">
        <v>29</v>
      </c>
      <c r="F1347" t="s">
        <v>37</v>
      </c>
      <c r="G1347" t="s">
        <v>62</v>
      </c>
      <c r="H1347" t="s">
        <v>51</v>
      </c>
      <c r="I1347" s="9">
        <v>150000</v>
      </c>
      <c r="J1347">
        <v>9</v>
      </c>
      <c r="K1347" t="s">
        <v>58</v>
      </c>
      <c r="L1347" s="9">
        <f t="shared" si="21"/>
        <v>120000</v>
      </c>
      <c r="M1347" s="9">
        <f>Table1[[#This Row],[Unit Price]]*Table1[[#This Row],[Quantity]]</f>
        <v>1350000</v>
      </c>
      <c r="N1347" s="9">
        <f>Table1[[#This Row],[Cost Price]]*Table1[[#This Row],[Quantity]]</f>
        <v>1080000</v>
      </c>
      <c r="O1347" s="9">
        <f>Table1[[#This Row],[Revenue]]-Table1[[#This Row],[COGS]]</f>
        <v>270000</v>
      </c>
      <c r="P1347" s="6">
        <v>1346</v>
      </c>
    </row>
    <row r="1348" spans="1:16">
      <c r="A1348" s="7" t="s">
        <v>119</v>
      </c>
      <c r="B1348" s="7" t="str">
        <f>TEXT(Table1[[#This Row],[Date]],"MMM")</f>
        <v>Feb</v>
      </c>
      <c r="C1348" t="s">
        <v>44</v>
      </c>
      <c r="D1348" t="s">
        <v>28</v>
      </c>
      <c r="E1348" t="s">
        <v>41</v>
      </c>
      <c r="F1348" t="s">
        <v>37</v>
      </c>
      <c r="G1348" t="s">
        <v>31</v>
      </c>
      <c r="H1348" t="s">
        <v>32</v>
      </c>
      <c r="I1348" s="9">
        <v>85000</v>
      </c>
      <c r="J1348">
        <v>5</v>
      </c>
      <c r="K1348" t="s">
        <v>65</v>
      </c>
      <c r="L1348" s="9">
        <f t="shared" si="21"/>
        <v>68000</v>
      </c>
      <c r="M1348" s="9">
        <f>Table1[[#This Row],[Unit Price]]*Table1[[#This Row],[Quantity]]</f>
        <v>425000</v>
      </c>
      <c r="N1348" s="9">
        <f>Table1[[#This Row],[Cost Price]]*Table1[[#This Row],[Quantity]]</f>
        <v>340000</v>
      </c>
      <c r="O1348" s="9">
        <f>Table1[[#This Row],[Revenue]]-Table1[[#This Row],[COGS]]</f>
        <v>85000</v>
      </c>
      <c r="P1348" s="6">
        <v>1347</v>
      </c>
    </row>
    <row r="1349" spans="1:16">
      <c r="A1349" s="7" t="s">
        <v>57</v>
      </c>
      <c r="B1349" s="7" t="str">
        <f>TEXT(Table1[[#This Row],[Date]],"MMM")</f>
        <v>Feb</v>
      </c>
      <c r="C1349" t="s">
        <v>49</v>
      </c>
      <c r="D1349" t="s">
        <v>36</v>
      </c>
      <c r="E1349" t="s">
        <v>41</v>
      </c>
      <c r="F1349" t="s">
        <v>30</v>
      </c>
      <c r="G1349" t="s">
        <v>56</v>
      </c>
      <c r="H1349" t="s">
        <v>32</v>
      </c>
      <c r="I1349" s="9">
        <v>320000</v>
      </c>
      <c r="J1349">
        <v>1</v>
      </c>
      <c r="K1349" t="s">
        <v>42</v>
      </c>
      <c r="L1349" s="9">
        <f t="shared" si="21"/>
        <v>256000</v>
      </c>
      <c r="M1349" s="9">
        <f>Table1[[#This Row],[Unit Price]]*Table1[[#This Row],[Quantity]]</f>
        <v>320000</v>
      </c>
      <c r="N1349" s="9">
        <f>Table1[[#This Row],[Cost Price]]*Table1[[#This Row],[Quantity]]</f>
        <v>256000</v>
      </c>
      <c r="O1349" s="9">
        <f>Table1[[#This Row],[Revenue]]-Table1[[#This Row],[COGS]]</f>
        <v>64000</v>
      </c>
      <c r="P1349" s="6">
        <v>1348</v>
      </c>
    </row>
    <row r="1350" spans="1:16">
      <c r="A1350" s="7" t="s">
        <v>60</v>
      </c>
      <c r="B1350" s="7" t="str">
        <f>TEXT(Table1[[#This Row],[Date]],"MMM")</f>
        <v>Mar</v>
      </c>
      <c r="C1350" t="s">
        <v>35</v>
      </c>
      <c r="D1350" t="s">
        <v>28</v>
      </c>
      <c r="E1350" t="s">
        <v>29</v>
      </c>
      <c r="F1350" t="s">
        <v>37</v>
      </c>
      <c r="G1350" t="s">
        <v>38</v>
      </c>
      <c r="H1350" t="s">
        <v>39</v>
      </c>
      <c r="I1350" s="9">
        <v>30000</v>
      </c>
      <c r="J1350">
        <v>4</v>
      </c>
      <c r="K1350" t="s">
        <v>47</v>
      </c>
      <c r="L1350" s="9">
        <f t="shared" si="21"/>
        <v>24000</v>
      </c>
      <c r="M1350" s="9">
        <f>Table1[[#This Row],[Unit Price]]*Table1[[#This Row],[Quantity]]</f>
        <v>120000</v>
      </c>
      <c r="N1350" s="9">
        <f>Table1[[#This Row],[Cost Price]]*Table1[[#This Row],[Quantity]]</f>
        <v>96000</v>
      </c>
      <c r="O1350" s="9">
        <f>Table1[[#This Row],[Revenue]]-Table1[[#This Row],[COGS]]</f>
        <v>24000</v>
      </c>
      <c r="P1350" s="6">
        <v>1349</v>
      </c>
    </row>
    <row r="1351" spans="1:16">
      <c r="A1351" s="7" t="s">
        <v>48</v>
      </c>
      <c r="B1351" s="7" t="str">
        <f>TEXT(Table1[[#This Row],[Date]],"MMM")</f>
        <v>Apr</v>
      </c>
      <c r="C1351" t="s">
        <v>44</v>
      </c>
      <c r="D1351" t="s">
        <v>45</v>
      </c>
      <c r="E1351" t="s">
        <v>41</v>
      </c>
      <c r="F1351" t="s">
        <v>37</v>
      </c>
      <c r="G1351" t="s">
        <v>73</v>
      </c>
      <c r="H1351" t="s">
        <v>39</v>
      </c>
      <c r="I1351" s="9">
        <v>220000</v>
      </c>
      <c r="J1351">
        <v>8</v>
      </c>
      <c r="K1351" t="s">
        <v>65</v>
      </c>
      <c r="L1351" s="9">
        <f t="shared" si="21"/>
        <v>176000</v>
      </c>
      <c r="M1351" s="9">
        <f>Table1[[#This Row],[Unit Price]]*Table1[[#This Row],[Quantity]]</f>
        <v>1760000</v>
      </c>
      <c r="N1351" s="9">
        <f>Table1[[#This Row],[Cost Price]]*Table1[[#This Row],[Quantity]]</f>
        <v>1408000</v>
      </c>
      <c r="O1351" s="9">
        <f>Table1[[#This Row],[Revenue]]-Table1[[#This Row],[COGS]]</f>
        <v>352000</v>
      </c>
      <c r="P1351" s="6">
        <v>1350</v>
      </c>
    </row>
    <row r="1352" spans="1:16">
      <c r="A1352" s="7" t="s">
        <v>164</v>
      </c>
      <c r="B1352" s="7" t="str">
        <f>TEXT(Table1[[#This Row],[Date]],"MMM")</f>
        <v>Mar</v>
      </c>
      <c r="C1352" t="s">
        <v>27</v>
      </c>
      <c r="D1352" t="s">
        <v>53</v>
      </c>
      <c r="E1352" t="s">
        <v>41</v>
      </c>
      <c r="F1352" t="s">
        <v>37</v>
      </c>
      <c r="G1352" t="s">
        <v>56</v>
      </c>
      <c r="H1352" t="s">
        <v>32</v>
      </c>
      <c r="I1352" s="9">
        <v>320000</v>
      </c>
      <c r="J1352">
        <v>5</v>
      </c>
      <c r="K1352" t="s">
        <v>69</v>
      </c>
      <c r="L1352" s="9">
        <f t="shared" si="21"/>
        <v>256000</v>
      </c>
      <c r="M1352" s="9">
        <f>Table1[[#This Row],[Unit Price]]*Table1[[#This Row],[Quantity]]</f>
        <v>1600000</v>
      </c>
      <c r="N1352" s="9">
        <f>Table1[[#This Row],[Cost Price]]*Table1[[#This Row],[Quantity]]</f>
        <v>1280000</v>
      </c>
      <c r="O1352" s="9">
        <f>Table1[[#This Row],[Revenue]]-Table1[[#This Row],[COGS]]</f>
        <v>320000</v>
      </c>
      <c r="P1352" s="6">
        <v>1351</v>
      </c>
    </row>
    <row r="1353" spans="1:16">
      <c r="A1353" s="7" t="s">
        <v>154</v>
      </c>
      <c r="B1353" s="7" t="str">
        <f>TEXT(Table1[[#This Row],[Date]],"MMM")</f>
        <v>Feb</v>
      </c>
      <c r="C1353" t="s">
        <v>27</v>
      </c>
      <c r="D1353" t="s">
        <v>53</v>
      </c>
      <c r="E1353" t="s">
        <v>41</v>
      </c>
      <c r="F1353" t="s">
        <v>37</v>
      </c>
      <c r="G1353" t="s">
        <v>31</v>
      </c>
      <c r="H1353" t="s">
        <v>32</v>
      </c>
      <c r="I1353" s="9">
        <v>85000</v>
      </c>
      <c r="J1353">
        <v>3</v>
      </c>
      <c r="K1353" t="s">
        <v>65</v>
      </c>
      <c r="L1353" s="9">
        <f t="shared" si="21"/>
        <v>68000</v>
      </c>
      <c r="M1353" s="9">
        <f>Table1[[#This Row],[Unit Price]]*Table1[[#This Row],[Quantity]]</f>
        <v>255000</v>
      </c>
      <c r="N1353" s="9">
        <f>Table1[[#This Row],[Cost Price]]*Table1[[#This Row],[Quantity]]</f>
        <v>204000</v>
      </c>
      <c r="O1353" s="9">
        <f>Table1[[#This Row],[Revenue]]-Table1[[#This Row],[COGS]]</f>
        <v>51000</v>
      </c>
      <c r="P1353" s="6">
        <v>1352</v>
      </c>
    </row>
    <row r="1354" spans="1:16">
      <c r="A1354" s="7" t="s">
        <v>136</v>
      </c>
      <c r="B1354" s="7" t="str">
        <f>TEXT(Table1[[#This Row],[Date]],"MMM")</f>
        <v>Feb</v>
      </c>
      <c r="C1354" t="s">
        <v>35</v>
      </c>
      <c r="D1354" t="s">
        <v>45</v>
      </c>
      <c r="E1354" t="s">
        <v>29</v>
      </c>
      <c r="F1354" t="s">
        <v>37</v>
      </c>
      <c r="G1354" t="s">
        <v>56</v>
      </c>
      <c r="H1354" t="s">
        <v>32</v>
      </c>
      <c r="I1354" s="9">
        <v>320000</v>
      </c>
      <c r="J1354">
        <v>10</v>
      </c>
      <c r="K1354" t="s">
        <v>33</v>
      </c>
      <c r="L1354" s="9">
        <f t="shared" si="21"/>
        <v>256000</v>
      </c>
      <c r="M1354" s="9">
        <f>Table1[[#This Row],[Unit Price]]*Table1[[#This Row],[Quantity]]</f>
        <v>3200000</v>
      </c>
      <c r="N1354" s="9">
        <f>Table1[[#This Row],[Cost Price]]*Table1[[#This Row],[Quantity]]</f>
        <v>2560000</v>
      </c>
      <c r="O1354" s="9">
        <f>Table1[[#This Row],[Revenue]]-Table1[[#This Row],[COGS]]</f>
        <v>640000</v>
      </c>
      <c r="P1354" s="6">
        <v>1353</v>
      </c>
    </row>
    <row r="1355" spans="1:16">
      <c r="A1355" s="7" t="s">
        <v>174</v>
      </c>
      <c r="B1355" s="7" t="str">
        <f>TEXT(Table1[[#This Row],[Date]],"MMM")</f>
        <v>Feb</v>
      </c>
      <c r="C1355" t="s">
        <v>27</v>
      </c>
      <c r="D1355" t="s">
        <v>45</v>
      </c>
      <c r="E1355" t="s">
        <v>29</v>
      </c>
      <c r="F1355" t="s">
        <v>30</v>
      </c>
      <c r="G1355" t="s">
        <v>67</v>
      </c>
      <c r="H1355" t="s">
        <v>51</v>
      </c>
      <c r="I1355" s="9">
        <v>420000</v>
      </c>
      <c r="J1355">
        <v>2</v>
      </c>
      <c r="K1355" t="s">
        <v>69</v>
      </c>
      <c r="L1355" s="9">
        <f t="shared" si="21"/>
        <v>336000</v>
      </c>
      <c r="M1355" s="9">
        <f>Table1[[#This Row],[Unit Price]]*Table1[[#This Row],[Quantity]]</f>
        <v>840000</v>
      </c>
      <c r="N1355" s="9">
        <f>Table1[[#This Row],[Cost Price]]*Table1[[#This Row],[Quantity]]</f>
        <v>672000</v>
      </c>
      <c r="O1355" s="9">
        <f>Table1[[#This Row],[Revenue]]-Table1[[#This Row],[COGS]]</f>
        <v>168000</v>
      </c>
      <c r="P1355" s="6">
        <v>1354</v>
      </c>
    </row>
    <row r="1356" spans="1:16">
      <c r="A1356" s="7" t="s">
        <v>172</v>
      </c>
      <c r="B1356" s="7" t="str">
        <f>TEXT(Table1[[#This Row],[Date]],"MMM")</f>
        <v>Mar</v>
      </c>
      <c r="C1356" t="s">
        <v>49</v>
      </c>
      <c r="D1356" t="s">
        <v>53</v>
      </c>
      <c r="E1356" t="s">
        <v>29</v>
      </c>
      <c r="F1356" t="s">
        <v>30</v>
      </c>
      <c r="G1356" t="s">
        <v>38</v>
      </c>
      <c r="H1356" t="s">
        <v>39</v>
      </c>
      <c r="I1356" s="9">
        <v>30000</v>
      </c>
      <c r="J1356">
        <v>3</v>
      </c>
      <c r="K1356" t="s">
        <v>33</v>
      </c>
      <c r="L1356" s="9">
        <f t="shared" si="21"/>
        <v>24000</v>
      </c>
      <c r="M1356" s="9">
        <f>Table1[[#This Row],[Unit Price]]*Table1[[#This Row],[Quantity]]</f>
        <v>90000</v>
      </c>
      <c r="N1356" s="9">
        <f>Table1[[#This Row],[Cost Price]]*Table1[[#This Row],[Quantity]]</f>
        <v>72000</v>
      </c>
      <c r="O1356" s="9">
        <f>Table1[[#This Row],[Revenue]]-Table1[[#This Row],[COGS]]</f>
        <v>18000</v>
      </c>
      <c r="P1356" s="6">
        <v>1355</v>
      </c>
    </row>
    <row r="1357" spans="1:16">
      <c r="A1357" s="7" t="s">
        <v>108</v>
      </c>
      <c r="B1357" s="7" t="str">
        <f>TEXT(Table1[[#This Row],[Date]],"MMM")</f>
        <v>Apr</v>
      </c>
      <c r="C1357" t="s">
        <v>27</v>
      </c>
      <c r="D1357" t="s">
        <v>53</v>
      </c>
      <c r="E1357" t="s">
        <v>41</v>
      </c>
      <c r="F1357" t="s">
        <v>30</v>
      </c>
      <c r="G1357" t="s">
        <v>38</v>
      </c>
      <c r="H1357" t="s">
        <v>39</v>
      </c>
      <c r="I1357" s="9">
        <v>30000</v>
      </c>
      <c r="J1357">
        <v>1</v>
      </c>
      <c r="K1357" t="s">
        <v>69</v>
      </c>
      <c r="L1357" s="9">
        <f t="shared" si="21"/>
        <v>24000</v>
      </c>
      <c r="M1357" s="9">
        <f>Table1[[#This Row],[Unit Price]]*Table1[[#This Row],[Quantity]]</f>
        <v>30000</v>
      </c>
      <c r="N1357" s="9">
        <f>Table1[[#This Row],[Cost Price]]*Table1[[#This Row],[Quantity]]</f>
        <v>24000</v>
      </c>
      <c r="O1357" s="9">
        <f>Table1[[#This Row],[Revenue]]-Table1[[#This Row],[COGS]]</f>
        <v>6000</v>
      </c>
      <c r="P1357" s="6">
        <v>1356</v>
      </c>
    </row>
    <row r="1358" spans="1:16">
      <c r="A1358" s="7" t="s">
        <v>110</v>
      </c>
      <c r="B1358" s="7" t="str">
        <f>TEXT(Table1[[#This Row],[Date]],"MMM")</f>
        <v>Jan</v>
      </c>
      <c r="C1358" t="s">
        <v>35</v>
      </c>
      <c r="D1358" t="s">
        <v>45</v>
      </c>
      <c r="E1358" t="s">
        <v>29</v>
      </c>
      <c r="F1358" t="s">
        <v>37</v>
      </c>
      <c r="G1358" t="s">
        <v>67</v>
      </c>
      <c r="H1358" t="s">
        <v>51</v>
      </c>
      <c r="I1358" s="9">
        <v>420000</v>
      </c>
      <c r="J1358">
        <v>10</v>
      </c>
      <c r="K1358" t="s">
        <v>69</v>
      </c>
      <c r="L1358" s="9">
        <f t="shared" si="21"/>
        <v>336000</v>
      </c>
      <c r="M1358" s="9">
        <f>Table1[[#This Row],[Unit Price]]*Table1[[#This Row],[Quantity]]</f>
        <v>4200000</v>
      </c>
      <c r="N1358" s="9">
        <f>Table1[[#This Row],[Cost Price]]*Table1[[#This Row],[Quantity]]</f>
        <v>3360000</v>
      </c>
      <c r="O1358" s="9">
        <f>Table1[[#This Row],[Revenue]]-Table1[[#This Row],[COGS]]</f>
        <v>840000</v>
      </c>
      <c r="P1358" s="6">
        <v>1357</v>
      </c>
    </row>
    <row r="1359" spans="1:16">
      <c r="A1359" s="7" t="s">
        <v>78</v>
      </c>
      <c r="B1359" s="7" t="str">
        <f>TEXT(Table1[[#This Row],[Date]],"MMM")</f>
        <v>Apr</v>
      </c>
      <c r="C1359" t="s">
        <v>44</v>
      </c>
      <c r="D1359" t="s">
        <v>45</v>
      </c>
      <c r="E1359" t="s">
        <v>29</v>
      </c>
      <c r="F1359" t="s">
        <v>37</v>
      </c>
      <c r="G1359" t="s">
        <v>62</v>
      </c>
      <c r="H1359" t="s">
        <v>51</v>
      </c>
      <c r="I1359" s="9">
        <v>150000</v>
      </c>
      <c r="J1359">
        <v>8</v>
      </c>
      <c r="K1359" t="s">
        <v>33</v>
      </c>
      <c r="L1359" s="9">
        <f t="shared" si="21"/>
        <v>120000</v>
      </c>
      <c r="M1359" s="9">
        <f>Table1[[#This Row],[Unit Price]]*Table1[[#This Row],[Quantity]]</f>
        <v>1200000</v>
      </c>
      <c r="N1359" s="9">
        <f>Table1[[#This Row],[Cost Price]]*Table1[[#This Row],[Quantity]]</f>
        <v>960000</v>
      </c>
      <c r="O1359" s="9">
        <f>Table1[[#This Row],[Revenue]]-Table1[[#This Row],[COGS]]</f>
        <v>240000</v>
      </c>
      <c r="P1359" s="6">
        <v>1358</v>
      </c>
    </row>
    <row r="1360" spans="1:16">
      <c r="A1360" s="7" t="s">
        <v>82</v>
      </c>
      <c r="B1360" s="7" t="str">
        <f>TEXT(Table1[[#This Row],[Date]],"MMM")</f>
        <v>Mar</v>
      </c>
      <c r="C1360" t="s">
        <v>49</v>
      </c>
      <c r="D1360" t="s">
        <v>36</v>
      </c>
      <c r="E1360" t="s">
        <v>41</v>
      </c>
      <c r="F1360" t="s">
        <v>37</v>
      </c>
      <c r="G1360" t="s">
        <v>73</v>
      </c>
      <c r="H1360" t="s">
        <v>39</v>
      </c>
      <c r="I1360" s="9">
        <v>220000</v>
      </c>
      <c r="J1360">
        <v>8</v>
      </c>
      <c r="K1360" t="s">
        <v>33</v>
      </c>
      <c r="L1360" s="9">
        <f t="shared" si="21"/>
        <v>176000</v>
      </c>
      <c r="M1360" s="9">
        <f>Table1[[#This Row],[Unit Price]]*Table1[[#This Row],[Quantity]]</f>
        <v>1760000</v>
      </c>
      <c r="N1360" s="9">
        <f>Table1[[#This Row],[Cost Price]]*Table1[[#This Row],[Quantity]]</f>
        <v>1408000</v>
      </c>
      <c r="O1360" s="9">
        <f>Table1[[#This Row],[Revenue]]-Table1[[#This Row],[COGS]]</f>
        <v>352000</v>
      </c>
      <c r="P1360" s="6">
        <v>1359</v>
      </c>
    </row>
    <row r="1361" spans="1:16">
      <c r="A1361" s="7" t="s">
        <v>92</v>
      </c>
      <c r="B1361" s="7" t="str">
        <f>TEXT(Table1[[#This Row],[Date]],"MMM")</f>
        <v>Jan</v>
      </c>
      <c r="C1361" t="s">
        <v>35</v>
      </c>
      <c r="D1361" t="s">
        <v>53</v>
      </c>
      <c r="E1361" t="s">
        <v>29</v>
      </c>
      <c r="F1361" t="s">
        <v>37</v>
      </c>
      <c r="G1361" t="s">
        <v>56</v>
      </c>
      <c r="H1361" t="s">
        <v>32</v>
      </c>
      <c r="I1361" s="9">
        <v>320000</v>
      </c>
      <c r="J1361">
        <v>9</v>
      </c>
      <c r="K1361" t="s">
        <v>58</v>
      </c>
      <c r="L1361" s="9">
        <f t="shared" si="21"/>
        <v>256000</v>
      </c>
      <c r="M1361" s="9">
        <f>Table1[[#This Row],[Unit Price]]*Table1[[#This Row],[Quantity]]</f>
        <v>2880000</v>
      </c>
      <c r="N1361" s="9">
        <f>Table1[[#This Row],[Cost Price]]*Table1[[#This Row],[Quantity]]</f>
        <v>2304000</v>
      </c>
      <c r="O1361" s="9">
        <f>Table1[[#This Row],[Revenue]]-Table1[[#This Row],[COGS]]</f>
        <v>576000</v>
      </c>
      <c r="P1361" s="6">
        <v>1360</v>
      </c>
    </row>
    <row r="1362" spans="1:16">
      <c r="A1362" s="7" t="s">
        <v>131</v>
      </c>
      <c r="B1362" s="7" t="str">
        <f>TEXT(Table1[[#This Row],[Date]],"MMM")</f>
        <v>Mar</v>
      </c>
      <c r="C1362" t="s">
        <v>49</v>
      </c>
      <c r="D1362" t="s">
        <v>28</v>
      </c>
      <c r="E1362" t="s">
        <v>29</v>
      </c>
      <c r="F1362" t="s">
        <v>37</v>
      </c>
      <c r="G1362" t="s">
        <v>73</v>
      </c>
      <c r="H1362" t="s">
        <v>39</v>
      </c>
      <c r="I1362" s="9">
        <v>220000</v>
      </c>
      <c r="J1362">
        <v>3</v>
      </c>
      <c r="K1362" t="s">
        <v>69</v>
      </c>
      <c r="L1362" s="9">
        <f t="shared" si="21"/>
        <v>176000</v>
      </c>
      <c r="M1362" s="9">
        <f>Table1[[#This Row],[Unit Price]]*Table1[[#This Row],[Quantity]]</f>
        <v>660000</v>
      </c>
      <c r="N1362" s="9">
        <f>Table1[[#This Row],[Cost Price]]*Table1[[#This Row],[Quantity]]</f>
        <v>528000</v>
      </c>
      <c r="O1362" s="9">
        <f>Table1[[#This Row],[Revenue]]-Table1[[#This Row],[COGS]]</f>
        <v>132000</v>
      </c>
      <c r="P1362" s="6">
        <v>1361</v>
      </c>
    </row>
    <row r="1363" spans="1:16">
      <c r="A1363" s="7" t="s">
        <v>151</v>
      </c>
      <c r="B1363" s="7" t="str">
        <f>TEXT(Table1[[#This Row],[Date]],"MMM")</f>
        <v>Feb</v>
      </c>
      <c r="C1363" t="s">
        <v>27</v>
      </c>
      <c r="D1363" t="s">
        <v>45</v>
      </c>
      <c r="E1363" t="s">
        <v>41</v>
      </c>
      <c r="F1363" t="s">
        <v>30</v>
      </c>
      <c r="G1363" t="s">
        <v>54</v>
      </c>
      <c r="H1363" t="s">
        <v>39</v>
      </c>
      <c r="I1363" s="9">
        <v>180000</v>
      </c>
      <c r="J1363">
        <v>8</v>
      </c>
      <c r="K1363" t="s">
        <v>58</v>
      </c>
      <c r="L1363" s="9">
        <f t="shared" si="21"/>
        <v>144000</v>
      </c>
      <c r="M1363" s="9">
        <f>Table1[[#This Row],[Unit Price]]*Table1[[#This Row],[Quantity]]</f>
        <v>1440000</v>
      </c>
      <c r="N1363" s="9">
        <f>Table1[[#This Row],[Cost Price]]*Table1[[#This Row],[Quantity]]</f>
        <v>1152000</v>
      </c>
      <c r="O1363" s="9">
        <f>Table1[[#This Row],[Revenue]]-Table1[[#This Row],[COGS]]</f>
        <v>288000</v>
      </c>
      <c r="P1363" s="6">
        <v>1362</v>
      </c>
    </row>
    <row r="1364" spans="1:16">
      <c r="A1364" s="7" t="s">
        <v>144</v>
      </c>
      <c r="B1364" s="7" t="str">
        <f>TEXT(Table1[[#This Row],[Date]],"MMM")</f>
        <v>Feb</v>
      </c>
      <c r="C1364" t="s">
        <v>49</v>
      </c>
      <c r="D1364" t="s">
        <v>45</v>
      </c>
      <c r="E1364" t="s">
        <v>29</v>
      </c>
      <c r="F1364" t="s">
        <v>37</v>
      </c>
      <c r="G1364" t="s">
        <v>71</v>
      </c>
      <c r="H1364" t="s">
        <v>51</v>
      </c>
      <c r="I1364" s="9">
        <v>250000</v>
      </c>
      <c r="J1364">
        <v>4</v>
      </c>
      <c r="K1364" t="s">
        <v>47</v>
      </c>
      <c r="L1364" s="9">
        <f t="shared" si="21"/>
        <v>200000</v>
      </c>
      <c r="M1364" s="9">
        <f>Table1[[#This Row],[Unit Price]]*Table1[[#This Row],[Quantity]]</f>
        <v>1000000</v>
      </c>
      <c r="N1364" s="9">
        <f>Table1[[#This Row],[Cost Price]]*Table1[[#This Row],[Quantity]]</f>
        <v>800000</v>
      </c>
      <c r="O1364" s="9">
        <f>Table1[[#This Row],[Revenue]]-Table1[[#This Row],[COGS]]</f>
        <v>200000</v>
      </c>
      <c r="P1364" s="6">
        <v>1363</v>
      </c>
    </row>
    <row r="1365" spans="1:16">
      <c r="A1365" s="7" t="s">
        <v>148</v>
      </c>
      <c r="B1365" s="7" t="str">
        <f>TEXT(Table1[[#This Row],[Date]],"MMM")</f>
        <v>Feb</v>
      </c>
      <c r="C1365" t="s">
        <v>49</v>
      </c>
      <c r="D1365" t="s">
        <v>36</v>
      </c>
      <c r="E1365" t="s">
        <v>41</v>
      </c>
      <c r="F1365" t="s">
        <v>37</v>
      </c>
      <c r="G1365" t="s">
        <v>46</v>
      </c>
      <c r="H1365" t="s">
        <v>39</v>
      </c>
      <c r="I1365" s="9">
        <v>60000</v>
      </c>
      <c r="J1365">
        <v>7</v>
      </c>
      <c r="K1365" t="s">
        <v>58</v>
      </c>
      <c r="L1365" s="9">
        <f t="shared" si="21"/>
        <v>48000</v>
      </c>
      <c r="M1365" s="9">
        <f>Table1[[#This Row],[Unit Price]]*Table1[[#This Row],[Quantity]]</f>
        <v>420000</v>
      </c>
      <c r="N1365" s="9">
        <f>Table1[[#This Row],[Cost Price]]*Table1[[#This Row],[Quantity]]</f>
        <v>336000</v>
      </c>
      <c r="O1365" s="9">
        <f>Table1[[#This Row],[Revenue]]-Table1[[#This Row],[COGS]]</f>
        <v>84000</v>
      </c>
      <c r="P1365" s="6">
        <v>1364</v>
      </c>
    </row>
    <row r="1366" spans="1:16">
      <c r="A1366" s="7" t="s">
        <v>147</v>
      </c>
      <c r="B1366" s="7" t="str">
        <f>TEXT(Table1[[#This Row],[Date]],"MMM")</f>
        <v>Jan</v>
      </c>
      <c r="C1366" t="s">
        <v>49</v>
      </c>
      <c r="D1366" t="s">
        <v>28</v>
      </c>
      <c r="E1366" t="s">
        <v>41</v>
      </c>
      <c r="F1366" t="s">
        <v>37</v>
      </c>
      <c r="G1366" t="s">
        <v>73</v>
      </c>
      <c r="H1366" t="s">
        <v>39</v>
      </c>
      <c r="I1366" s="9">
        <v>220000</v>
      </c>
      <c r="J1366">
        <v>10</v>
      </c>
      <c r="K1366" t="s">
        <v>69</v>
      </c>
      <c r="L1366" s="9">
        <f t="shared" si="21"/>
        <v>176000</v>
      </c>
      <c r="M1366" s="9">
        <f>Table1[[#This Row],[Unit Price]]*Table1[[#This Row],[Quantity]]</f>
        <v>2200000</v>
      </c>
      <c r="N1366" s="9">
        <f>Table1[[#This Row],[Cost Price]]*Table1[[#This Row],[Quantity]]</f>
        <v>1760000</v>
      </c>
      <c r="O1366" s="9">
        <f>Table1[[#This Row],[Revenue]]-Table1[[#This Row],[COGS]]</f>
        <v>440000</v>
      </c>
      <c r="P1366" s="6">
        <v>1365</v>
      </c>
    </row>
    <row r="1367" spans="1:16">
      <c r="A1367" s="7" t="s">
        <v>138</v>
      </c>
      <c r="B1367" s="7" t="str">
        <f>TEXT(Table1[[#This Row],[Date]],"MMM")</f>
        <v>Apr</v>
      </c>
      <c r="C1367" t="s">
        <v>44</v>
      </c>
      <c r="D1367" t="s">
        <v>45</v>
      </c>
      <c r="E1367" t="s">
        <v>29</v>
      </c>
      <c r="F1367" t="s">
        <v>30</v>
      </c>
      <c r="G1367" t="s">
        <v>46</v>
      </c>
      <c r="H1367" t="s">
        <v>39</v>
      </c>
      <c r="I1367" s="9">
        <v>60000</v>
      </c>
      <c r="J1367">
        <v>9</v>
      </c>
      <c r="K1367" t="s">
        <v>69</v>
      </c>
      <c r="L1367" s="9">
        <f t="shared" si="21"/>
        <v>48000</v>
      </c>
      <c r="M1367" s="9">
        <f>Table1[[#This Row],[Unit Price]]*Table1[[#This Row],[Quantity]]</f>
        <v>540000</v>
      </c>
      <c r="N1367" s="9">
        <f>Table1[[#This Row],[Cost Price]]*Table1[[#This Row],[Quantity]]</f>
        <v>432000</v>
      </c>
      <c r="O1367" s="9">
        <f>Table1[[#This Row],[Revenue]]-Table1[[#This Row],[COGS]]</f>
        <v>108000</v>
      </c>
      <c r="P1367" s="6">
        <v>1366</v>
      </c>
    </row>
    <row r="1368" spans="1:16">
      <c r="A1368" s="7" t="s">
        <v>119</v>
      </c>
      <c r="B1368" s="7" t="str">
        <f>TEXT(Table1[[#This Row],[Date]],"MMM")</f>
        <v>Feb</v>
      </c>
      <c r="C1368" t="s">
        <v>27</v>
      </c>
      <c r="D1368" t="s">
        <v>45</v>
      </c>
      <c r="E1368" t="s">
        <v>41</v>
      </c>
      <c r="F1368" t="s">
        <v>30</v>
      </c>
      <c r="G1368" t="s">
        <v>46</v>
      </c>
      <c r="H1368" t="s">
        <v>39</v>
      </c>
      <c r="I1368" s="9">
        <v>60000</v>
      </c>
      <c r="J1368">
        <v>2</v>
      </c>
      <c r="K1368" t="s">
        <v>47</v>
      </c>
      <c r="L1368" s="9">
        <f t="shared" si="21"/>
        <v>48000</v>
      </c>
      <c r="M1368" s="9">
        <f>Table1[[#This Row],[Unit Price]]*Table1[[#This Row],[Quantity]]</f>
        <v>120000</v>
      </c>
      <c r="N1368" s="9">
        <f>Table1[[#This Row],[Cost Price]]*Table1[[#This Row],[Quantity]]</f>
        <v>96000</v>
      </c>
      <c r="O1368" s="9">
        <f>Table1[[#This Row],[Revenue]]-Table1[[#This Row],[COGS]]</f>
        <v>24000</v>
      </c>
      <c r="P1368" s="6">
        <v>1367</v>
      </c>
    </row>
    <row r="1369" spans="1:16">
      <c r="A1369" s="7" t="s">
        <v>154</v>
      </c>
      <c r="B1369" s="7" t="str">
        <f>TEXT(Table1[[#This Row],[Date]],"MMM")</f>
        <v>Feb</v>
      </c>
      <c r="C1369" t="s">
        <v>35</v>
      </c>
      <c r="D1369" t="s">
        <v>36</v>
      </c>
      <c r="E1369" t="s">
        <v>41</v>
      </c>
      <c r="F1369" t="s">
        <v>30</v>
      </c>
      <c r="G1369" t="s">
        <v>62</v>
      </c>
      <c r="H1369" t="s">
        <v>51</v>
      </c>
      <c r="I1369" s="9">
        <v>150000</v>
      </c>
      <c r="J1369">
        <v>3</v>
      </c>
      <c r="K1369" t="s">
        <v>33</v>
      </c>
      <c r="L1369" s="9">
        <f t="shared" si="21"/>
        <v>120000</v>
      </c>
      <c r="M1369" s="9">
        <f>Table1[[#This Row],[Unit Price]]*Table1[[#This Row],[Quantity]]</f>
        <v>450000</v>
      </c>
      <c r="N1369" s="9">
        <f>Table1[[#This Row],[Cost Price]]*Table1[[#This Row],[Quantity]]</f>
        <v>360000</v>
      </c>
      <c r="O1369" s="9">
        <f>Table1[[#This Row],[Revenue]]-Table1[[#This Row],[COGS]]</f>
        <v>90000</v>
      </c>
      <c r="P1369" s="6">
        <v>1368</v>
      </c>
    </row>
    <row r="1370" spans="1:16">
      <c r="A1370" s="7" t="s">
        <v>158</v>
      </c>
      <c r="B1370" s="7" t="str">
        <f>TEXT(Table1[[#This Row],[Date]],"MMM")</f>
        <v>Jan</v>
      </c>
      <c r="C1370" t="s">
        <v>27</v>
      </c>
      <c r="D1370" t="s">
        <v>36</v>
      </c>
      <c r="E1370" t="s">
        <v>41</v>
      </c>
      <c r="F1370" t="s">
        <v>30</v>
      </c>
      <c r="G1370" t="s">
        <v>62</v>
      </c>
      <c r="H1370" t="s">
        <v>51</v>
      </c>
      <c r="I1370" s="9">
        <v>150000</v>
      </c>
      <c r="J1370">
        <v>10</v>
      </c>
      <c r="K1370" t="s">
        <v>33</v>
      </c>
      <c r="L1370" s="9">
        <f t="shared" si="21"/>
        <v>120000</v>
      </c>
      <c r="M1370" s="9">
        <f>Table1[[#This Row],[Unit Price]]*Table1[[#This Row],[Quantity]]</f>
        <v>1500000</v>
      </c>
      <c r="N1370" s="9">
        <f>Table1[[#This Row],[Cost Price]]*Table1[[#This Row],[Quantity]]</f>
        <v>1200000</v>
      </c>
      <c r="O1370" s="9">
        <f>Table1[[#This Row],[Revenue]]-Table1[[#This Row],[COGS]]</f>
        <v>300000</v>
      </c>
      <c r="P1370" s="6">
        <v>1369</v>
      </c>
    </row>
    <row r="1371" spans="1:16">
      <c r="A1371" s="7" t="s">
        <v>26</v>
      </c>
      <c r="B1371" s="7" t="str">
        <f>TEXT(Table1[[#This Row],[Date]],"MMM")</f>
        <v>Jan</v>
      </c>
      <c r="C1371" t="s">
        <v>49</v>
      </c>
      <c r="D1371" t="s">
        <v>45</v>
      </c>
      <c r="E1371" t="s">
        <v>41</v>
      </c>
      <c r="F1371" t="s">
        <v>30</v>
      </c>
      <c r="G1371" t="s">
        <v>62</v>
      </c>
      <c r="H1371" t="s">
        <v>51</v>
      </c>
      <c r="I1371" s="9">
        <v>150000</v>
      </c>
      <c r="J1371">
        <v>9</v>
      </c>
      <c r="K1371" t="s">
        <v>58</v>
      </c>
      <c r="L1371" s="9">
        <f t="shared" si="21"/>
        <v>120000</v>
      </c>
      <c r="M1371" s="9">
        <f>Table1[[#This Row],[Unit Price]]*Table1[[#This Row],[Quantity]]</f>
        <v>1350000</v>
      </c>
      <c r="N1371" s="9">
        <f>Table1[[#This Row],[Cost Price]]*Table1[[#This Row],[Quantity]]</f>
        <v>1080000</v>
      </c>
      <c r="O1371" s="9">
        <f>Table1[[#This Row],[Revenue]]-Table1[[#This Row],[COGS]]</f>
        <v>270000</v>
      </c>
      <c r="P1371" s="6">
        <v>1370</v>
      </c>
    </row>
    <row r="1372" spans="1:16">
      <c r="A1372" s="7" t="s">
        <v>130</v>
      </c>
      <c r="B1372" s="7" t="str">
        <f>TEXT(Table1[[#This Row],[Date]],"MMM")</f>
        <v>Jan</v>
      </c>
      <c r="C1372" t="s">
        <v>27</v>
      </c>
      <c r="D1372" t="s">
        <v>53</v>
      </c>
      <c r="E1372" t="s">
        <v>29</v>
      </c>
      <c r="F1372" t="s">
        <v>30</v>
      </c>
      <c r="G1372" t="s">
        <v>56</v>
      </c>
      <c r="H1372" t="s">
        <v>32</v>
      </c>
      <c r="I1372" s="9">
        <v>320000</v>
      </c>
      <c r="J1372">
        <v>5</v>
      </c>
      <c r="K1372" t="s">
        <v>69</v>
      </c>
      <c r="L1372" s="9">
        <f t="shared" si="21"/>
        <v>256000</v>
      </c>
      <c r="M1372" s="9">
        <f>Table1[[#This Row],[Unit Price]]*Table1[[#This Row],[Quantity]]</f>
        <v>1600000</v>
      </c>
      <c r="N1372" s="9">
        <f>Table1[[#This Row],[Cost Price]]*Table1[[#This Row],[Quantity]]</f>
        <v>1280000</v>
      </c>
      <c r="O1372" s="9">
        <f>Table1[[#This Row],[Revenue]]-Table1[[#This Row],[COGS]]</f>
        <v>320000</v>
      </c>
      <c r="P1372" s="6">
        <v>1371</v>
      </c>
    </row>
    <row r="1373" spans="1:16">
      <c r="A1373" s="7" t="s">
        <v>117</v>
      </c>
      <c r="B1373" s="7" t="str">
        <f>TEXT(Table1[[#This Row],[Date]],"MMM")</f>
        <v>Jan</v>
      </c>
      <c r="C1373" t="s">
        <v>35</v>
      </c>
      <c r="D1373" t="s">
        <v>53</v>
      </c>
      <c r="E1373" t="s">
        <v>29</v>
      </c>
      <c r="F1373" t="s">
        <v>30</v>
      </c>
      <c r="G1373" t="s">
        <v>54</v>
      </c>
      <c r="H1373" t="s">
        <v>39</v>
      </c>
      <c r="I1373" s="9">
        <v>180000</v>
      </c>
      <c r="J1373">
        <v>3</v>
      </c>
      <c r="K1373" t="s">
        <v>33</v>
      </c>
      <c r="L1373" s="9">
        <f t="shared" si="21"/>
        <v>144000</v>
      </c>
      <c r="M1373" s="9">
        <f>Table1[[#This Row],[Unit Price]]*Table1[[#This Row],[Quantity]]</f>
        <v>540000</v>
      </c>
      <c r="N1373" s="9">
        <f>Table1[[#This Row],[Cost Price]]*Table1[[#This Row],[Quantity]]</f>
        <v>432000</v>
      </c>
      <c r="O1373" s="9">
        <f>Table1[[#This Row],[Revenue]]-Table1[[#This Row],[COGS]]</f>
        <v>108000</v>
      </c>
      <c r="P1373" s="6">
        <v>1372</v>
      </c>
    </row>
    <row r="1374" spans="1:16">
      <c r="A1374" s="7" t="s">
        <v>147</v>
      </c>
      <c r="B1374" s="7" t="str">
        <f>TEXT(Table1[[#This Row],[Date]],"MMM")</f>
        <v>Jan</v>
      </c>
      <c r="C1374" t="s">
        <v>27</v>
      </c>
      <c r="D1374" t="s">
        <v>45</v>
      </c>
      <c r="E1374" t="s">
        <v>41</v>
      </c>
      <c r="F1374" t="s">
        <v>30</v>
      </c>
      <c r="G1374" t="s">
        <v>31</v>
      </c>
      <c r="H1374" t="s">
        <v>32</v>
      </c>
      <c r="I1374" s="9">
        <v>85000</v>
      </c>
      <c r="J1374">
        <v>4</v>
      </c>
      <c r="K1374" t="s">
        <v>58</v>
      </c>
      <c r="L1374" s="9">
        <f t="shared" si="21"/>
        <v>68000</v>
      </c>
      <c r="M1374" s="9">
        <f>Table1[[#This Row],[Unit Price]]*Table1[[#This Row],[Quantity]]</f>
        <v>340000</v>
      </c>
      <c r="N1374" s="9">
        <f>Table1[[#This Row],[Cost Price]]*Table1[[#This Row],[Quantity]]</f>
        <v>272000</v>
      </c>
      <c r="O1374" s="9">
        <f>Table1[[#This Row],[Revenue]]-Table1[[#This Row],[COGS]]</f>
        <v>68000</v>
      </c>
      <c r="P1374" s="6">
        <v>1373</v>
      </c>
    </row>
    <row r="1375" spans="1:16">
      <c r="A1375" s="7" t="s">
        <v>128</v>
      </c>
      <c r="B1375" s="7" t="str">
        <f>TEXT(Table1[[#This Row],[Date]],"MMM")</f>
        <v>Mar</v>
      </c>
      <c r="C1375" t="s">
        <v>27</v>
      </c>
      <c r="D1375" t="s">
        <v>53</v>
      </c>
      <c r="E1375" t="s">
        <v>41</v>
      </c>
      <c r="F1375" t="s">
        <v>37</v>
      </c>
      <c r="G1375" t="s">
        <v>56</v>
      </c>
      <c r="H1375" t="s">
        <v>32</v>
      </c>
      <c r="I1375" s="9">
        <v>320000</v>
      </c>
      <c r="J1375">
        <v>7</v>
      </c>
      <c r="K1375" t="s">
        <v>69</v>
      </c>
      <c r="L1375" s="9">
        <f t="shared" si="21"/>
        <v>256000</v>
      </c>
      <c r="M1375" s="9">
        <f>Table1[[#This Row],[Unit Price]]*Table1[[#This Row],[Quantity]]</f>
        <v>2240000</v>
      </c>
      <c r="N1375" s="9">
        <f>Table1[[#This Row],[Cost Price]]*Table1[[#This Row],[Quantity]]</f>
        <v>1792000</v>
      </c>
      <c r="O1375" s="9">
        <f>Table1[[#This Row],[Revenue]]-Table1[[#This Row],[COGS]]</f>
        <v>448000</v>
      </c>
      <c r="P1375" s="6">
        <v>1374</v>
      </c>
    </row>
    <row r="1376" spans="1:16">
      <c r="A1376" s="7" t="s">
        <v>137</v>
      </c>
      <c r="B1376" s="7" t="str">
        <f>TEXT(Table1[[#This Row],[Date]],"MMM")</f>
        <v>Apr</v>
      </c>
      <c r="C1376" t="s">
        <v>44</v>
      </c>
      <c r="D1376" t="s">
        <v>36</v>
      </c>
      <c r="E1376" t="s">
        <v>29</v>
      </c>
      <c r="F1376" t="s">
        <v>37</v>
      </c>
      <c r="G1376" t="s">
        <v>73</v>
      </c>
      <c r="H1376" t="s">
        <v>39</v>
      </c>
      <c r="I1376" s="9">
        <v>220000</v>
      </c>
      <c r="J1376">
        <v>5</v>
      </c>
      <c r="K1376" t="s">
        <v>58</v>
      </c>
      <c r="L1376" s="9">
        <f t="shared" si="21"/>
        <v>176000</v>
      </c>
      <c r="M1376" s="9">
        <f>Table1[[#This Row],[Unit Price]]*Table1[[#This Row],[Quantity]]</f>
        <v>1100000</v>
      </c>
      <c r="N1376" s="9">
        <f>Table1[[#This Row],[Cost Price]]*Table1[[#This Row],[Quantity]]</f>
        <v>880000</v>
      </c>
      <c r="O1376" s="9">
        <f>Table1[[#This Row],[Revenue]]-Table1[[#This Row],[COGS]]</f>
        <v>220000</v>
      </c>
      <c r="P1376" s="6">
        <v>1375</v>
      </c>
    </row>
    <row r="1377" spans="1:16">
      <c r="A1377" s="7" t="s">
        <v>122</v>
      </c>
      <c r="B1377" s="7" t="str">
        <f>TEXT(Table1[[#This Row],[Date]],"MMM")</f>
        <v>Mar</v>
      </c>
      <c r="C1377" t="s">
        <v>44</v>
      </c>
      <c r="D1377" t="s">
        <v>36</v>
      </c>
      <c r="E1377" t="s">
        <v>41</v>
      </c>
      <c r="F1377" t="s">
        <v>37</v>
      </c>
      <c r="G1377" t="s">
        <v>62</v>
      </c>
      <c r="H1377" t="s">
        <v>51</v>
      </c>
      <c r="I1377" s="9">
        <v>150000</v>
      </c>
      <c r="J1377">
        <v>3</v>
      </c>
      <c r="K1377" t="s">
        <v>33</v>
      </c>
      <c r="L1377" s="9">
        <f t="shared" si="21"/>
        <v>120000</v>
      </c>
      <c r="M1377" s="9">
        <f>Table1[[#This Row],[Unit Price]]*Table1[[#This Row],[Quantity]]</f>
        <v>450000</v>
      </c>
      <c r="N1377" s="9">
        <f>Table1[[#This Row],[Cost Price]]*Table1[[#This Row],[Quantity]]</f>
        <v>360000</v>
      </c>
      <c r="O1377" s="9">
        <f>Table1[[#This Row],[Revenue]]-Table1[[#This Row],[COGS]]</f>
        <v>90000</v>
      </c>
      <c r="P1377" s="6">
        <v>1376</v>
      </c>
    </row>
    <row r="1378" spans="1:16">
      <c r="A1378" s="7" t="s">
        <v>101</v>
      </c>
      <c r="B1378" s="7" t="str">
        <f>TEXT(Table1[[#This Row],[Date]],"MMM")</f>
        <v>Jan</v>
      </c>
      <c r="C1378" t="s">
        <v>27</v>
      </c>
      <c r="D1378" t="s">
        <v>36</v>
      </c>
      <c r="E1378" t="s">
        <v>41</v>
      </c>
      <c r="F1378" t="s">
        <v>30</v>
      </c>
      <c r="G1378" t="s">
        <v>67</v>
      </c>
      <c r="H1378" t="s">
        <v>51</v>
      </c>
      <c r="I1378" s="9">
        <v>420000</v>
      </c>
      <c r="J1378">
        <v>8</v>
      </c>
      <c r="K1378" t="s">
        <v>42</v>
      </c>
      <c r="L1378" s="9">
        <f t="shared" si="21"/>
        <v>336000</v>
      </c>
      <c r="M1378" s="9">
        <f>Table1[[#This Row],[Unit Price]]*Table1[[#This Row],[Quantity]]</f>
        <v>3360000</v>
      </c>
      <c r="N1378" s="9">
        <f>Table1[[#This Row],[Cost Price]]*Table1[[#This Row],[Quantity]]</f>
        <v>2688000</v>
      </c>
      <c r="O1378" s="9">
        <f>Table1[[#This Row],[Revenue]]-Table1[[#This Row],[COGS]]</f>
        <v>672000</v>
      </c>
      <c r="P1378" s="6">
        <v>1377</v>
      </c>
    </row>
    <row r="1379" spans="1:16">
      <c r="A1379" s="7" t="s">
        <v>146</v>
      </c>
      <c r="B1379" s="7" t="str">
        <f>TEXT(Table1[[#This Row],[Date]],"MMM")</f>
        <v>Jan</v>
      </c>
      <c r="C1379" t="s">
        <v>35</v>
      </c>
      <c r="D1379" t="s">
        <v>53</v>
      </c>
      <c r="E1379" t="s">
        <v>29</v>
      </c>
      <c r="F1379" t="s">
        <v>30</v>
      </c>
      <c r="G1379" t="s">
        <v>73</v>
      </c>
      <c r="H1379" t="s">
        <v>39</v>
      </c>
      <c r="I1379" s="9">
        <v>220000</v>
      </c>
      <c r="J1379">
        <v>9</v>
      </c>
      <c r="K1379" t="s">
        <v>42</v>
      </c>
      <c r="L1379" s="9">
        <f t="shared" si="21"/>
        <v>176000</v>
      </c>
      <c r="M1379" s="9">
        <f>Table1[[#This Row],[Unit Price]]*Table1[[#This Row],[Quantity]]</f>
        <v>1980000</v>
      </c>
      <c r="N1379" s="9">
        <f>Table1[[#This Row],[Cost Price]]*Table1[[#This Row],[Quantity]]</f>
        <v>1584000</v>
      </c>
      <c r="O1379" s="9">
        <f>Table1[[#This Row],[Revenue]]-Table1[[#This Row],[COGS]]</f>
        <v>396000</v>
      </c>
      <c r="P1379" s="6">
        <v>1378</v>
      </c>
    </row>
    <row r="1380" spans="1:16">
      <c r="A1380" s="7" t="s">
        <v>76</v>
      </c>
      <c r="B1380" s="7" t="str">
        <f>TEXT(Table1[[#This Row],[Date]],"MMM")</f>
        <v>May</v>
      </c>
      <c r="C1380" t="s">
        <v>49</v>
      </c>
      <c r="D1380" t="s">
        <v>28</v>
      </c>
      <c r="E1380" t="s">
        <v>29</v>
      </c>
      <c r="F1380" t="s">
        <v>30</v>
      </c>
      <c r="G1380" t="s">
        <v>67</v>
      </c>
      <c r="H1380" t="s">
        <v>51</v>
      </c>
      <c r="I1380" s="9">
        <v>420000</v>
      </c>
      <c r="J1380">
        <v>3</v>
      </c>
      <c r="K1380" t="s">
        <v>69</v>
      </c>
      <c r="L1380" s="9">
        <f t="shared" si="21"/>
        <v>336000</v>
      </c>
      <c r="M1380" s="9">
        <f>Table1[[#This Row],[Unit Price]]*Table1[[#This Row],[Quantity]]</f>
        <v>1260000</v>
      </c>
      <c r="N1380" s="9">
        <f>Table1[[#This Row],[Cost Price]]*Table1[[#This Row],[Quantity]]</f>
        <v>1008000</v>
      </c>
      <c r="O1380" s="9">
        <f>Table1[[#This Row],[Revenue]]-Table1[[#This Row],[COGS]]</f>
        <v>252000</v>
      </c>
      <c r="P1380" s="6">
        <v>1379</v>
      </c>
    </row>
    <row r="1381" spans="1:16">
      <c r="A1381" s="7" t="s">
        <v>83</v>
      </c>
      <c r="B1381" s="7" t="str">
        <f>TEXT(Table1[[#This Row],[Date]],"MMM")</f>
        <v>Jan</v>
      </c>
      <c r="C1381" t="s">
        <v>49</v>
      </c>
      <c r="D1381" t="s">
        <v>28</v>
      </c>
      <c r="E1381" t="s">
        <v>29</v>
      </c>
      <c r="F1381" t="s">
        <v>37</v>
      </c>
      <c r="G1381" t="s">
        <v>71</v>
      </c>
      <c r="H1381" t="s">
        <v>51</v>
      </c>
      <c r="I1381" s="9">
        <v>250000</v>
      </c>
      <c r="J1381">
        <v>1</v>
      </c>
      <c r="K1381" t="s">
        <v>47</v>
      </c>
      <c r="L1381" s="9">
        <f t="shared" si="21"/>
        <v>200000</v>
      </c>
      <c r="M1381" s="9">
        <f>Table1[[#This Row],[Unit Price]]*Table1[[#This Row],[Quantity]]</f>
        <v>250000</v>
      </c>
      <c r="N1381" s="9">
        <f>Table1[[#This Row],[Cost Price]]*Table1[[#This Row],[Quantity]]</f>
        <v>200000</v>
      </c>
      <c r="O1381" s="9">
        <f>Table1[[#This Row],[Revenue]]-Table1[[#This Row],[COGS]]</f>
        <v>50000</v>
      </c>
      <c r="P1381" s="6">
        <v>1380</v>
      </c>
    </row>
    <row r="1382" spans="1:16">
      <c r="A1382" s="7" t="s">
        <v>134</v>
      </c>
      <c r="B1382" s="7" t="str">
        <f>TEXT(Table1[[#This Row],[Date]],"MMM")</f>
        <v>Jan</v>
      </c>
      <c r="C1382" t="s">
        <v>35</v>
      </c>
      <c r="D1382" t="s">
        <v>36</v>
      </c>
      <c r="E1382" t="s">
        <v>29</v>
      </c>
      <c r="F1382" t="s">
        <v>37</v>
      </c>
      <c r="G1382" t="s">
        <v>56</v>
      </c>
      <c r="H1382" t="s">
        <v>32</v>
      </c>
      <c r="I1382" s="9">
        <v>320000</v>
      </c>
      <c r="J1382">
        <v>7</v>
      </c>
      <c r="K1382" t="s">
        <v>65</v>
      </c>
      <c r="L1382" s="9">
        <f t="shared" si="21"/>
        <v>256000</v>
      </c>
      <c r="M1382" s="9">
        <f>Table1[[#This Row],[Unit Price]]*Table1[[#This Row],[Quantity]]</f>
        <v>2240000</v>
      </c>
      <c r="N1382" s="9">
        <f>Table1[[#This Row],[Cost Price]]*Table1[[#This Row],[Quantity]]</f>
        <v>1792000</v>
      </c>
      <c r="O1382" s="9">
        <f>Table1[[#This Row],[Revenue]]-Table1[[#This Row],[COGS]]</f>
        <v>448000</v>
      </c>
      <c r="P1382" s="6">
        <v>1381</v>
      </c>
    </row>
    <row r="1383" spans="1:16">
      <c r="A1383" s="7" t="s">
        <v>166</v>
      </c>
      <c r="B1383" s="7" t="str">
        <f>TEXT(Table1[[#This Row],[Date]],"MMM")</f>
        <v>Jan</v>
      </c>
      <c r="C1383" t="s">
        <v>49</v>
      </c>
      <c r="D1383" t="s">
        <v>36</v>
      </c>
      <c r="E1383" t="s">
        <v>29</v>
      </c>
      <c r="F1383" t="s">
        <v>30</v>
      </c>
      <c r="G1383" t="s">
        <v>67</v>
      </c>
      <c r="H1383" t="s">
        <v>51</v>
      </c>
      <c r="I1383" s="9">
        <v>420000</v>
      </c>
      <c r="J1383">
        <v>2</v>
      </c>
      <c r="K1383" t="s">
        <v>69</v>
      </c>
      <c r="L1383" s="9">
        <f t="shared" si="21"/>
        <v>336000</v>
      </c>
      <c r="M1383" s="9">
        <f>Table1[[#This Row],[Unit Price]]*Table1[[#This Row],[Quantity]]</f>
        <v>840000</v>
      </c>
      <c r="N1383" s="9">
        <f>Table1[[#This Row],[Cost Price]]*Table1[[#This Row],[Quantity]]</f>
        <v>672000</v>
      </c>
      <c r="O1383" s="9">
        <f>Table1[[#This Row],[Revenue]]-Table1[[#This Row],[COGS]]</f>
        <v>168000</v>
      </c>
      <c r="P1383" s="6">
        <v>1382</v>
      </c>
    </row>
    <row r="1384" spans="1:16">
      <c r="A1384" s="7" t="s">
        <v>164</v>
      </c>
      <c r="B1384" s="7" t="str">
        <f>TEXT(Table1[[#This Row],[Date]],"MMM")</f>
        <v>Mar</v>
      </c>
      <c r="C1384" t="s">
        <v>44</v>
      </c>
      <c r="D1384" t="s">
        <v>28</v>
      </c>
      <c r="E1384" t="s">
        <v>29</v>
      </c>
      <c r="F1384" t="s">
        <v>37</v>
      </c>
      <c r="G1384" t="s">
        <v>56</v>
      </c>
      <c r="H1384" t="s">
        <v>32</v>
      </c>
      <c r="I1384" s="9">
        <v>320000</v>
      </c>
      <c r="J1384">
        <v>3</v>
      </c>
      <c r="K1384" t="s">
        <v>47</v>
      </c>
      <c r="L1384" s="9">
        <f t="shared" si="21"/>
        <v>256000</v>
      </c>
      <c r="M1384" s="9">
        <f>Table1[[#This Row],[Unit Price]]*Table1[[#This Row],[Quantity]]</f>
        <v>960000</v>
      </c>
      <c r="N1384" s="9">
        <f>Table1[[#This Row],[Cost Price]]*Table1[[#This Row],[Quantity]]</f>
        <v>768000</v>
      </c>
      <c r="O1384" s="9">
        <f>Table1[[#This Row],[Revenue]]-Table1[[#This Row],[COGS]]</f>
        <v>192000</v>
      </c>
      <c r="P1384" s="6">
        <v>1383</v>
      </c>
    </row>
    <row r="1385" spans="1:16">
      <c r="A1385" s="7" t="s">
        <v>90</v>
      </c>
      <c r="B1385" s="7" t="str">
        <f>TEXT(Table1[[#This Row],[Date]],"MMM")</f>
        <v>Feb</v>
      </c>
      <c r="C1385" t="s">
        <v>44</v>
      </c>
      <c r="D1385" t="s">
        <v>28</v>
      </c>
      <c r="E1385" t="s">
        <v>41</v>
      </c>
      <c r="F1385" t="s">
        <v>30</v>
      </c>
      <c r="G1385" t="s">
        <v>62</v>
      </c>
      <c r="H1385" t="s">
        <v>51</v>
      </c>
      <c r="I1385" s="9">
        <v>150000</v>
      </c>
      <c r="J1385">
        <v>2</v>
      </c>
      <c r="K1385" t="s">
        <v>65</v>
      </c>
      <c r="L1385" s="9">
        <f t="shared" si="21"/>
        <v>120000</v>
      </c>
      <c r="M1385" s="9">
        <f>Table1[[#This Row],[Unit Price]]*Table1[[#This Row],[Quantity]]</f>
        <v>300000</v>
      </c>
      <c r="N1385" s="9">
        <f>Table1[[#This Row],[Cost Price]]*Table1[[#This Row],[Quantity]]</f>
        <v>240000</v>
      </c>
      <c r="O1385" s="9">
        <f>Table1[[#This Row],[Revenue]]-Table1[[#This Row],[COGS]]</f>
        <v>60000</v>
      </c>
      <c r="P1385" s="6">
        <v>1384</v>
      </c>
    </row>
    <row r="1386" spans="1:16">
      <c r="A1386" s="7" t="s">
        <v>125</v>
      </c>
      <c r="B1386" s="7" t="str">
        <f>TEXT(Table1[[#This Row],[Date]],"MMM")</f>
        <v>Feb</v>
      </c>
      <c r="C1386" t="s">
        <v>27</v>
      </c>
      <c r="D1386" t="s">
        <v>36</v>
      </c>
      <c r="E1386" t="s">
        <v>41</v>
      </c>
      <c r="F1386" t="s">
        <v>37</v>
      </c>
      <c r="G1386" t="s">
        <v>67</v>
      </c>
      <c r="H1386" t="s">
        <v>51</v>
      </c>
      <c r="I1386" s="9">
        <v>420000</v>
      </c>
      <c r="J1386">
        <v>8</v>
      </c>
      <c r="K1386" t="s">
        <v>47</v>
      </c>
      <c r="L1386" s="9">
        <f t="shared" si="21"/>
        <v>336000</v>
      </c>
      <c r="M1386" s="9">
        <f>Table1[[#This Row],[Unit Price]]*Table1[[#This Row],[Quantity]]</f>
        <v>3360000</v>
      </c>
      <c r="N1386" s="9">
        <f>Table1[[#This Row],[Cost Price]]*Table1[[#This Row],[Quantity]]</f>
        <v>2688000</v>
      </c>
      <c r="O1386" s="9">
        <f>Table1[[#This Row],[Revenue]]-Table1[[#This Row],[COGS]]</f>
        <v>672000</v>
      </c>
      <c r="P1386" s="6">
        <v>1385</v>
      </c>
    </row>
    <row r="1387" spans="1:16">
      <c r="A1387" s="7" t="s">
        <v>34</v>
      </c>
      <c r="B1387" s="7" t="str">
        <f>TEXT(Table1[[#This Row],[Date]],"MMM")</f>
        <v>Apr</v>
      </c>
      <c r="C1387" t="s">
        <v>35</v>
      </c>
      <c r="D1387" t="s">
        <v>28</v>
      </c>
      <c r="E1387" t="s">
        <v>41</v>
      </c>
      <c r="F1387" t="s">
        <v>37</v>
      </c>
      <c r="G1387" t="s">
        <v>67</v>
      </c>
      <c r="H1387" t="s">
        <v>51</v>
      </c>
      <c r="I1387" s="9">
        <v>420000</v>
      </c>
      <c r="J1387">
        <v>1</v>
      </c>
      <c r="K1387" t="s">
        <v>69</v>
      </c>
      <c r="L1387" s="9">
        <f t="shared" si="21"/>
        <v>336000</v>
      </c>
      <c r="M1387" s="9">
        <f>Table1[[#This Row],[Unit Price]]*Table1[[#This Row],[Quantity]]</f>
        <v>420000</v>
      </c>
      <c r="N1387" s="9">
        <f>Table1[[#This Row],[Cost Price]]*Table1[[#This Row],[Quantity]]</f>
        <v>336000</v>
      </c>
      <c r="O1387" s="9">
        <f>Table1[[#This Row],[Revenue]]-Table1[[#This Row],[COGS]]</f>
        <v>84000</v>
      </c>
      <c r="P1387" s="6">
        <v>1386</v>
      </c>
    </row>
    <row r="1388" spans="1:16">
      <c r="A1388" s="7" t="s">
        <v>171</v>
      </c>
      <c r="B1388" s="7" t="str">
        <f>TEXT(Table1[[#This Row],[Date]],"MMM")</f>
        <v>Mar</v>
      </c>
      <c r="C1388" t="s">
        <v>27</v>
      </c>
      <c r="D1388" t="s">
        <v>53</v>
      </c>
      <c r="E1388" t="s">
        <v>29</v>
      </c>
      <c r="F1388" t="s">
        <v>30</v>
      </c>
      <c r="G1388" t="s">
        <v>50</v>
      </c>
      <c r="H1388" t="s">
        <v>51</v>
      </c>
      <c r="I1388" s="9">
        <v>300000</v>
      </c>
      <c r="J1388">
        <v>5</v>
      </c>
      <c r="K1388" t="s">
        <v>58</v>
      </c>
      <c r="L1388" s="9">
        <f t="shared" si="21"/>
        <v>240000</v>
      </c>
      <c r="M1388" s="9">
        <f>Table1[[#This Row],[Unit Price]]*Table1[[#This Row],[Quantity]]</f>
        <v>1500000</v>
      </c>
      <c r="N1388" s="9">
        <f>Table1[[#This Row],[Cost Price]]*Table1[[#This Row],[Quantity]]</f>
        <v>1200000</v>
      </c>
      <c r="O1388" s="9">
        <f>Table1[[#This Row],[Revenue]]-Table1[[#This Row],[COGS]]</f>
        <v>300000</v>
      </c>
      <c r="P1388" s="6">
        <v>1387</v>
      </c>
    </row>
    <row r="1389" spans="1:16">
      <c r="A1389" s="7" t="s">
        <v>124</v>
      </c>
      <c r="B1389" s="7" t="str">
        <f>TEXT(Table1[[#This Row],[Date]],"MMM")</f>
        <v>Feb</v>
      </c>
      <c r="C1389" t="s">
        <v>35</v>
      </c>
      <c r="D1389" t="s">
        <v>28</v>
      </c>
      <c r="E1389" t="s">
        <v>29</v>
      </c>
      <c r="F1389" t="s">
        <v>37</v>
      </c>
      <c r="G1389" t="s">
        <v>54</v>
      </c>
      <c r="H1389" t="s">
        <v>39</v>
      </c>
      <c r="I1389" s="9">
        <v>180000</v>
      </c>
      <c r="J1389">
        <v>7</v>
      </c>
      <c r="K1389" t="s">
        <v>65</v>
      </c>
      <c r="L1389" s="9">
        <f t="shared" si="21"/>
        <v>144000</v>
      </c>
      <c r="M1389" s="9">
        <f>Table1[[#This Row],[Unit Price]]*Table1[[#This Row],[Quantity]]</f>
        <v>1260000</v>
      </c>
      <c r="N1389" s="9">
        <f>Table1[[#This Row],[Cost Price]]*Table1[[#This Row],[Quantity]]</f>
        <v>1008000</v>
      </c>
      <c r="O1389" s="9">
        <f>Table1[[#This Row],[Revenue]]-Table1[[#This Row],[COGS]]</f>
        <v>252000</v>
      </c>
      <c r="P1389" s="6">
        <v>1388</v>
      </c>
    </row>
    <row r="1390" spans="1:16">
      <c r="A1390" s="7" t="s">
        <v>98</v>
      </c>
      <c r="B1390" s="7" t="str">
        <f>TEXT(Table1[[#This Row],[Date]],"MMM")</f>
        <v>Jan</v>
      </c>
      <c r="C1390" t="s">
        <v>27</v>
      </c>
      <c r="D1390" t="s">
        <v>53</v>
      </c>
      <c r="E1390" t="s">
        <v>29</v>
      </c>
      <c r="F1390" t="s">
        <v>37</v>
      </c>
      <c r="G1390" t="s">
        <v>62</v>
      </c>
      <c r="H1390" t="s">
        <v>51</v>
      </c>
      <c r="I1390" s="9">
        <v>150000</v>
      </c>
      <c r="J1390">
        <v>10</v>
      </c>
      <c r="K1390" t="s">
        <v>42</v>
      </c>
      <c r="L1390" s="9">
        <f t="shared" si="21"/>
        <v>120000</v>
      </c>
      <c r="M1390" s="9">
        <f>Table1[[#This Row],[Unit Price]]*Table1[[#This Row],[Quantity]]</f>
        <v>1500000</v>
      </c>
      <c r="N1390" s="9">
        <f>Table1[[#This Row],[Cost Price]]*Table1[[#This Row],[Quantity]]</f>
        <v>1200000</v>
      </c>
      <c r="O1390" s="9">
        <f>Table1[[#This Row],[Revenue]]-Table1[[#This Row],[COGS]]</f>
        <v>300000</v>
      </c>
      <c r="P1390" s="6">
        <v>1389</v>
      </c>
    </row>
    <row r="1391" spans="1:16">
      <c r="A1391" s="7" t="s">
        <v>57</v>
      </c>
      <c r="B1391" s="7" t="str">
        <f>TEXT(Table1[[#This Row],[Date]],"MMM")</f>
        <v>Feb</v>
      </c>
      <c r="C1391" t="s">
        <v>27</v>
      </c>
      <c r="D1391" t="s">
        <v>53</v>
      </c>
      <c r="E1391" t="s">
        <v>41</v>
      </c>
      <c r="F1391" t="s">
        <v>30</v>
      </c>
      <c r="G1391" t="s">
        <v>50</v>
      </c>
      <c r="H1391" t="s">
        <v>51</v>
      </c>
      <c r="I1391" s="9">
        <v>300000</v>
      </c>
      <c r="J1391">
        <v>7</v>
      </c>
      <c r="K1391" t="s">
        <v>58</v>
      </c>
      <c r="L1391" s="9">
        <f t="shared" si="21"/>
        <v>240000</v>
      </c>
      <c r="M1391" s="9">
        <f>Table1[[#This Row],[Unit Price]]*Table1[[#This Row],[Quantity]]</f>
        <v>2100000</v>
      </c>
      <c r="N1391" s="9">
        <f>Table1[[#This Row],[Cost Price]]*Table1[[#This Row],[Quantity]]</f>
        <v>1680000</v>
      </c>
      <c r="O1391" s="9">
        <f>Table1[[#This Row],[Revenue]]-Table1[[#This Row],[COGS]]</f>
        <v>420000</v>
      </c>
      <c r="P1391" s="6">
        <v>1390</v>
      </c>
    </row>
    <row r="1392" spans="1:16">
      <c r="A1392" s="7" t="s">
        <v>80</v>
      </c>
      <c r="B1392" s="7" t="str">
        <f>TEXT(Table1[[#This Row],[Date]],"MMM")</f>
        <v>Feb</v>
      </c>
      <c r="C1392" t="s">
        <v>49</v>
      </c>
      <c r="D1392" t="s">
        <v>36</v>
      </c>
      <c r="E1392" t="s">
        <v>29</v>
      </c>
      <c r="F1392" t="s">
        <v>37</v>
      </c>
      <c r="G1392" t="s">
        <v>73</v>
      </c>
      <c r="H1392" t="s">
        <v>39</v>
      </c>
      <c r="I1392" s="9">
        <v>220000</v>
      </c>
      <c r="J1392">
        <v>2</v>
      </c>
      <c r="K1392" t="s">
        <v>33</v>
      </c>
      <c r="L1392" s="9">
        <f t="shared" si="21"/>
        <v>176000</v>
      </c>
      <c r="M1392" s="9">
        <f>Table1[[#This Row],[Unit Price]]*Table1[[#This Row],[Quantity]]</f>
        <v>440000</v>
      </c>
      <c r="N1392" s="9">
        <f>Table1[[#This Row],[Cost Price]]*Table1[[#This Row],[Quantity]]</f>
        <v>352000</v>
      </c>
      <c r="O1392" s="9">
        <f>Table1[[#This Row],[Revenue]]-Table1[[#This Row],[COGS]]</f>
        <v>88000</v>
      </c>
      <c r="P1392" s="6">
        <v>1391</v>
      </c>
    </row>
    <row r="1393" spans="1:16">
      <c r="A1393" s="7" t="s">
        <v>43</v>
      </c>
      <c r="B1393" s="7" t="str">
        <f>TEXT(Table1[[#This Row],[Date]],"MMM")</f>
        <v>Apr</v>
      </c>
      <c r="C1393" t="s">
        <v>35</v>
      </c>
      <c r="D1393" t="s">
        <v>28</v>
      </c>
      <c r="E1393" t="s">
        <v>29</v>
      </c>
      <c r="F1393" t="s">
        <v>37</v>
      </c>
      <c r="G1393" t="s">
        <v>31</v>
      </c>
      <c r="H1393" t="s">
        <v>32</v>
      </c>
      <c r="I1393" s="9">
        <v>85000</v>
      </c>
      <c r="J1393">
        <v>8</v>
      </c>
      <c r="K1393" t="s">
        <v>47</v>
      </c>
      <c r="L1393" s="9">
        <f t="shared" si="21"/>
        <v>68000</v>
      </c>
      <c r="M1393" s="9">
        <f>Table1[[#This Row],[Unit Price]]*Table1[[#This Row],[Quantity]]</f>
        <v>680000</v>
      </c>
      <c r="N1393" s="9">
        <f>Table1[[#This Row],[Cost Price]]*Table1[[#This Row],[Quantity]]</f>
        <v>544000</v>
      </c>
      <c r="O1393" s="9">
        <f>Table1[[#This Row],[Revenue]]-Table1[[#This Row],[COGS]]</f>
        <v>136000</v>
      </c>
      <c r="P1393" s="6">
        <v>1392</v>
      </c>
    </row>
    <row r="1394" spans="1:16">
      <c r="A1394" s="7" t="s">
        <v>162</v>
      </c>
      <c r="B1394" s="7" t="str">
        <f>TEXT(Table1[[#This Row],[Date]],"MMM")</f>
        <v>Apr</v>
      </c>
      <c r="C1394" t="s">
        <v>27</v>
      </c>
      <c r="D1394" t="s">
        <v>36</v>
      </c>
      <c r="E1394" t="s">
        <v>29</v>
      </c>
      <c r="F1394" t="s">
        <v>30</v>
      </c>
      <c r="G1394" t="s">
        <v>73</v>
      </c>
      <c r="H1394" t="s">
        <v>39</v>
      </c>
      <c r="I1394" s="9">
        <v>220000</v>
      </c>
      <c r="J1394">
        <v>7</v>
      </c>
      <c r="K1394" t="s">
        <v>69</v>
      </c>
      <c r="L1394" s="9">
        <f t="shared" si="21"/>
        <v>176000</v>
      </c>
      <c r="M1394" s="9">
        <f>Table1[[#This Row],[Unit Price]]*Table1[[#This Row],[Quantity]]</f>
        <v>1540000</v>
      </c>
      <c r="N1394" s="9">
        <f>Table1[[#This Row],[Cost Price]]*Table1[[#This Row],[Quantity]]</f>
        <v>1232000</v>
      </c>
      <c r="O1394" s="9">
        <f>Table1[[#This Row],[Revenue]]-Table1[[#This Row],[COGS]]</f>
        <v>308000</v>
      </c>
      <c r="P1394" s="6">
        <v>1393</v>
      </c>
    </row>
    <row r="1395" spans="1:16">
      <c r="A1395" s="7" t="s">
        <v>163</v>
      </c>
      <c r="B1395" s="7" t="str">
        <f>TEXT(Table1[[#This Row],[Date]],"MMM")</f>
        <v>Apr</v>
      </c>
      <c r="C1395" t="s">
        <v>49</v>
      </c>
      <c r="D1395" t="s">
        <v>53</v>
      </c>
      <c r="E1395" t="s">
        <v>29</v>
      </c>
      <c r="F1395" t="s">
        <v>37</v>
      </c>
      <c r="G1395" t="s">
        <v>73</v>
      </c>
      <c r="H1395" t="s">
        <v>39</v>
      </c>
      <c r="I1395" s="9">
        <v>220000</v>
      </c>
      <c r="J1395">
        <v>6</v>
      </c>
      <c r="K1395" t="s">
        <v>58</v>
      </c>
      <c r="L1395" s="9">
        <f t="shared" si="21"/>
        <v>176000</v>
      </c>
      <c r="M1395" s="9">
        <f>Table1[[#This Row],[Unit Price]]*Table1[[#This Row],[Quantity]]</f>
        <v>1320000</v>
      </c>
      <c r="N1395" s="9">
        <f>Table1[[#This Row],[Cost Price]]*Table1[[#This Row],[Quantity]]</f>
        <v>1056000</v>
      </c>
      <c r="O1395" s="9">
        <f>Table1[[#This Row],[Revenue]]-Table1[[#This Row],[COGS]]</f>
        <v>264000</v>
      </c>
      <c r="P1395" s="6">
        <v>1394</v>
      </c>
    </row>
    <row r="1396" spans="1:16">
      <c r="A1396" s="7" t="s">
        <v>131</v>
      </c>
      <c r="B1396" s="7" t="str">
        <f>TEXT(Table1[[#This Row],[Date]],"MMM")</f>
        <v>Mar</v>
      </c>
      <c r="C1396" t="s">
        <v>49</v>
      </c>
      <c r="D1396" t="s">
        <v>28</v>
      </c>
      <c r="E1396" t="s">
        <v>29</v>
      </c>
      <c r="F1396" t="s">
        <v>37</v>
      </c>
      <c r="G1396" t="s">
        <v>54</v>
      </c>
      <c r="H1396" t="s">
        <v>39</v>
      </c>
      <c r="I1396" s="9">
        <v>180000</v>
      </c>
      <c r="J1396">
        <v>3</v>
      </c>
      <c r="K1396" t="s">
        <v>47</v>
      </c>
      <c r="L1396" s="9">
        <f t="shared" si="21"/>
        <v>144000</v>
      </c>
      <c r="M1396" s="9">
        <f>Table1[[#This Row],[Unit Price]]*Table1[[#This Row],[Quantity]]</f>
        <v>540000</v>
      </c>
      <c r="N1396" s="9">
        <f>Table1[[#This Row],[Cost Price]]*Table1[[#This Row],[Quantity]]</f>
        <v>432000</v>
      </c>
      <c r="O1396" s="9">
        <f>Table1[[#This Row],[Revenue]]-Table1[[#This Row],[COGS]]</f>
        <v>108000</v>
      </c>
      <c r="P1396" s="6">
        <v>1395</v>
      </c>
    </row>
    <row r="1397" spans="1:16">
      <c r="A1397" s="7" t="s">
        <v>97</v>
      </c>
      <c r="B1397" s="7" t="str">
        <f>TEXT(Table1[[#This Row],[Date]],"MMM")</f>
        <v>Jan</v>
      </c>
      <c r="C1397" t="s">
        <v>44</v>
      </c>
      <c r="D1397" t="s">
        <v>36</v>
      </c>
      <c r="E1397" t="s">
        <v>29</v>
      </c>
      <c r="F1397" t="s">
        <v>30</v>
      </c>
      <c r="G1397" t="s">
        <v>71</v>
      </c>
      <c r="H1397" t="s">
        <v>51</v>
      </c>
      <c r="I1397" s="9">
        <v>250000</v>
      </c>
      <c r="J1397">
        <v>6</v>
      </c>
      <c r="K1397" t="s">
        <v>58</v>
      </c>
      <c r="L1397" s="9">
        <f t="shared" si="21"/>
        <v>200000</v>
      </c>
      <c r="M1397" s="9">
        <f>Table1[[#This Row],[Unit Price]]*Table1[[#This Row],[Quantity]]</f>
        <v>1500000</v>
      </c>
      <c r="N1397" s="9">
        <f>Table1[[#This Row],[Cost Price]]*Table1[[#This Row],[Quantity]]</f>
        <v>1200000</v>
      </c>
      <c r="O1397" s="9">
        <f>Table1[[#This Row],[Revenue]]-Table1[[#This Row],[COGS]]</f>
        <v>300000</v>
      </c>
      <c r="P1397" s="6">
        <v>1396</v>
      </c>
    </row>
    <row r="1398" spans="1:16">
      <c r="A1398" s="7" t="s">
        <v>105</v>
      </c>
      <c r="B1398" s="7" t="str">
        <f>TEXT(Table1[[#This Row],[Date]],"MMM")</f>
        <v>Mar</v>
      </c>
      <c r="C1398" t="s">
        <v>27</v>
      </c>
      <c r="D1398" t="s">
        <v>45</v>
      </c>
      <c r="E1398" t="s">
        <v>41</v>
      </c>
      <c r="F1398" t="s">
        <v>37</v>
      </c>
      <c r="G1398" t="s">
        <v>62</v>
      </c>
      <c r="H1398" t="s">
        <v>51</v>
      </c>
      <c r="I1398" s="9">
        <v>150000</v>
      </c>
      <c r="J1398">
        <v>7</v>
      </c>
      <c r="K1398" t="s">
        <v>65</v>
      </c>
      <c r="L1398" s="9">
        <f t="shared" si="21"/>
        <v>120000</v>
      </c>
      <c r="M1398" s="9">
        <f>Table1[[#This Row],[Unit Price]]*Table1[[#This Row],[Quantity]]</f>
        <v>1050000</v>
      </c>
      <c r="N1398" s="9">
        <f>Table1[[#This Row],[Cost Price]]*Table1[[#This Row],[Quantity]]</f>
        <v>840000</v>
      </c>
      <c r="O1398" s="9">
        <f>Table1[[#This Row],[Revenue]]-Table1[[#This Row],[COGS]]</f>
        <v>210000</v>
      </c>
      <c r="P1398" s="6">
        <v>1397</v>
      </c>
    </row>
    <row r="1399" spans="1:16">
      <c r="A1399" s="7" t="s">
        <v>123</v>
      </c>
      <c r="B1399" s="7" t="str">
        <f>TEXT(Table1[[#This Row],[Date]],"MMM")</f>
        <v>Apr</v>
      </c>
      <c r="C1399" t="s">
        <v>44</v>
      </c>
      <c r="D1399" t="s">
        <v>28</v>
      </c>
      <c r="E1399" t="s">
        <v>29</v>
      </c>
      <c r="F1399" t="s">
        <v>30</v>
      </c>
      <c r="G1399" t="s">
        <v>50</v>
      </c>
      <c r="H1399" t="s">
        <v>51</v>
      </c>
      <c r="I1399" s="9">
        <v>300000</v>
      </c>
      <c r="J1399">
        <v>9</v>
      </c>
      <c r="K1399" t="s">
        <v>33</v>
      </c>
      <c r="L1399" s="9">
        <f t="shared" si="21"/>
        <v>240000</v>
      </c>
      <c r="M1399" s="9">
        <f>Table1[[#This Row],[Unit Price]]*Table1[[#This Row],[Quantity]]</f>
        <v>2700000</v>
      </c>
      <c r="N1399" s="9">
        <f>Table1[[#This Row],[Cost Price]]*Table1[[#This Row],[Quantity]]</f>
        <v>2160000</v>
      </c>
      <c r="O1399" s="9">
        <f>Table1[[#This Row],[Revenue]]-Table1[[#This Row],[COGS]]</f>
        <v>540000</v>
      </c>
      <c r="P1399" s="6">
        <v>1398</v>
      </c>
    </row>
    <row r="1400" spans="1:16">
      <c r="A1400" s="7" t="s">
        <v>155</v>
      </c>
      <c r="B1400" s="7" t="str">
        <f>TEXT(Table1[[#This Row],[Date]],"MMM")</f>
        <v>Apr</v>
      </c>
      <c r="C1400" t="s">
        <v>27</v>
      </c>
      <c r="D1400" t="s">
        <v>45</v>
      </c>
      <c r="E1400" t="s">
        <v>29</v>
      </c>
      <c r="F1400" t="s">
        <v>30</v>
      </c>
      <c r="G1400" t="s">
        <v>67</v>
      </c>
      <c r="H1400" t="s">
        <v>51</v>
      </c>
      <c r="I1400" s="9">
        <v>420000</v>
      </c>
      <c r="J1400">
        <v>5</v>
      </c>
      <c r="K1400" t="s">
        <v>47</v>
      </c>
      <c r="L1400" s="9">
        <f t="shared" si="21"/>
        <v>336000</v>
      </c>
      <c r="M1400" s="9">
        <f>Table1[[#This Row],[Unit Price]]*Table1[[#This Row],[Quantity]]</f>
        <v>2100000</v>
      </c>
      <c r="N1400" s="9">
        <f>Table1[[#This Row],[Cost Price]]*Table1[[#This Row],[Quantity]]</f>
        <v>1680000</v>
      </c>
      <c r="O1400" s="9">
        <f>Table1[[#This Row],[Revenue]]-Table1[[#This Row],[COGS]]</f>
        <v>420000</v>
      </c>
      <c r="P1400" s="6">
        <v>1399</v>
      </c>
    </row>
    <row r="1401" spans="1:16">
      <c r="A1401" s="7" t="s">
        <v>161</v>
      </c>
      <c r="B1401" s="7" t="str">
        <f>TEXT(Table1[[#This Row],[Date]],"MMM")</f>
        <v>Mar</v>
      </c>
      <c r="C1401" t="s">
        <v>44</v>
      </c>
      <c r="D1401" t="s">
        <v>28</v>
      </c>
      <c r="E1401" t="s">
        <v>29</v>
      </c>
      <c r="F1401" t="s">
        <v>37</v>
      </c>
      <c r="G1401" t="s">
        <v>50</v>
      </c>
      <c r="H1401" t="s">
        <v>51</v>
      </c>
      <c r="I1401" s="9">
        <v>300000</v>
      </c>
      <c r="J1401">
        <v>3</v>
      </c>
      <c r="K1401" t="s">
        <v>47</v>
      </c>
      <c r="L1401" s="9">
        <f t="shared" si="21"/>
        <v>240000</v>
      </c>
      <c r="M1401" s="9">
        <f>Table1[[#This Row],[Unit Price]]*Table1[[#This Row],[Quantity]]</f>
        <v>900000</v>
      </c>
      <c r="N1401" s="9">
        <f>Table1[[#This Row],[Cost Price]]*Table1[[#This Row],[Quantity]]</f>
        <v>720000</v>
      </c>
      <c r="O1401" s="9">
        <f>Table1[[#This Row],[Revenue]]-Table1[[#This Row],[COGS]]</f>
        <v>180000</v>
      </c>
      <c r="P1401" s="6">
        <v>1400</v>
      </c>
    </row>
    <row r="1402" spans="1:16">
      <c r="A1402" s="7" t="s">
        <v>57</v>
      </c>
      <c r="B1402" s="7" t="str">
        <f>TEXT(Table1[[#This Row],[Date]],"MMM")</f>
        <v>Feb</v>
      </c>
      <c r="C1402" t="s">
        <v>35</v>
      </c>
      <c r="D1402" t="s">
        <v>28</v>
      </c>
      <c r="E1402" t="s">
        <v>41</v>
      </c>
      <c r="F1402" t="s">
        <v>37</v>
      </c>
      <c r="G1402" t="s">
        <v>71</v>
      </c>
      <c r="H1402" t="s">
        <v>51</v>
      </c>
      <c r="I1402" s="9">
        <v>250000</v>
      </c>
      <c r="J1402">
        <v>5</v>
      </c>
      <c r="K1402" t="s">
        <v>33</v>
      </c>
      <c r="L1402" s="9">
        <f t="shared" si="21"/>
        <v>200000</v>
      </c>
      <c r="M1402" s="9">
        <f>Table1[[#This Row],[Unit Price]]*Table1[[#This Row],[Quantity]]</f>
        <v>1250000</v>
      </c>
      <c r="N1402" s="9">
        <f>Table1[[#This Row],[Cost Price]]*Table1[[#This Row],[Quantity]]</f>
        <v>1000000</v>
      </c>
      <c r="O1402" s="9">
        <f>Table1[[#This Row],[Revenue]]-Table1[[#This Row],[COGS]]</f>
        <v>250000</v>
      </c>
      <c r="P1402" s="6">
        <v>1401</v>
      </c>
    </row>
    <row r="1403" spans="1:16">
      <c r="A1403" s="7" t="s">
        <v>48</v>
      </c>
      <c r="B1403" s="7" t="str">
        <f>TEXT(Table1[[#This Row],[Date]],"MMM")</f>
        <v>Apr</v>
      </c>
      <c r="C1403" t="s">
        <v>27</v>
      </c>
      <c r="D1403" t="s">
        <v>53</v>
      </c>
      <c r="E1403" t="s">
        <v>41</v>
      </c>
      <c r="F1403" t="s">
        <v>37</v>
      </c>
      <c r="G1403" t="s">
        <v>62</v>
      </c>
      <c r="H1403" t="s">
        <v>51</v>
      </c>
      <c r="I1403" s="9">
        <v>150000</v>
      </c>
      <c r="J1403">
        <v>2</v>
      </c>
      <c r="K1403" t="s">
        <v>58</v>
      </c>
      <c r="L1403" s="9">
        <f t="shared" si="21"/>
        <v>120000</v>
      </c>
      <c r="M1403" s="9">
        <f>Table1[[#This Row],[Unit Price]]*Table1[[#This Row],[Quantity]]</f>
        <v>300000</v>
      </c>
      <c r="N1403" s="9">
        <f>Table1[[#This Row],[Cost Price]]*Table1[[#This Row],[Quantity]]</f>
        <v>240000</v>
      </c>
      <c r="O1403" s="9">
        <f>Table1[[#This Row],[Revenue]]-Table1[[#This Row],[COGS]]</f>
        <v>60000</v>
      </c>
      <c r="P1403" s="6">
        <v>1402</v>
      </c>
    </row>
    <row r="1404" spans="1:16">
      <c r="A1404" s="7" t="s">
        <v>163</v>
      </c>
      <c r="B1404" s="7" t="str">
        <f>TEXT(Table1[[#This Row],[Date]],"MMM")</f>
        <v>Apr</v>
      </c>
      <c r="C1404" t="s">
        <v>35</v>
      </c>
      <c r="D1404" t="s">
        <v>36</v>
      </c>
      <c r="E1404" t="s">
        <v>41</v>
      </c>
      <c r="F1404" t="s">
        <v>30</v>
      </c>
      <c r="G1404" t="s">
        <v>73</v>
      </c>
      <c r="H1404" t="s">
        <v>39</v>
      </c>
      <c r="I1404" s="9">
        <v>220000</v>
      </c>
      <c r="J1404">
        <v>3</v>
      </c>
      <c r="K1404" t="s">
        <v>69</v>
      </c>
      <c r="L1404" s="9">
        <f t="shared" si="21"/>
        <v>176000</v>
      </c>
      <c r="M1404" s="9">
        <f>Table1[[#This Row],[Unit Price]]*Table1[[#This Row],[Quantity]]</f>
        <v>660000</v>
      </c>
      <c r="N1404" s="9">
        <f>Table1[[#This Row],[Cost Price]]*Table1[[#This Row],[Quantity]]</f>
        <v>528000</v>
      </c>
      <c r="O1404" s="9">
        <f>Table1[[#This Row],[Revenue]]-Table1[[#This Row],[COGS]]</f>
        <v>132000</v>
      </c>
      <c r="P1404" s="6">
        <v>1403</v>
      </c>
    </row>
    <row r="1405" spans="1:16">
      <c r="A1405" s="7" t="s">
        <v>103</v>
      </c>
      <c r="B1405" s="7" t="str">
        <f>TEXT(Table1[[#This Row],[Date]],"MMM")</f>
        <v>Mar</v>
      </c>
      <c r="C1405" t="s">
        <v>35</v>
      </c>
      <c r="D1405" t="s">
        <v>36</v>
      </c>
      <c r="E1405" t="s">
        <v>41</v>
      </c>
      <c r="F1405" t="s">
        <v>37</v>
      </c>
      <c r="G1405" t="s">
        <v>50</v>
      </c>
      <c r="H1405" t="s">
        <v>51</v>
      </c>
      <c r="I1405" s="9">
        <v>300000</v>
      </c>
      <c r="J1405">
        <v>6</v>
      </c>
      <c r="K1405" t="s">
        <v>42</v>
      </c>
      <c r="L1405" s="9">
        <f t="shared" si="21"/>
        <v>240000</v>
      </c>
      <c r="M1405" s="9">
        <f>Table1[[#This Row],[Unit Price]]*Table1[[#This Row],[Quantity]]</f>
        <v>1800000</v>
      </c>
      <c r="N1405" s="9">
        <f>Table1[[#This Row],[Cost Price]]*Table1[[#This Row],[Quantity]]</f>
        <v>1440000</v>
      </c>
      <c r="O1405" s="9">
        <f>Table1[[#This Row],[Revenue]]-Table1[[#This Row],[COGS]]</f>
        <v>360000</v>
      </c>
      <c r="P1405" s="6">
        <v>1404</v>
      </c>
    </row>
    <row r="1406" spans="1:16">
      <c r="A1406" s="7" t="s">
        <v>162</v>
      </c>
      <c r="B1406" s="7" t="str">
        <f>TEXT(Table1[[#This Row],[Date]],"MMM")</f>
        <v>Apr</v>
      </c>
      <c r="C1406" t="s">
        <v>44</v>
      </c>
      <c r="D1406" t="s">
        <v>36</v>
      </c>
      <c r="E1406" t="s">
        <v>29</v>
      </c>
      <c r="F1406" t="s">
        <v>37</v>
      </c>
      <c r="G1406" t="s">
        <v>54</v>
      </c>
      <c r="H1406" t="s">
        <v>39</v>
      </c>
      <c r="I1406" s="9">
        <v>180000</v>
      </c>
      <c r="J1406">
        <v>2</v>
      </c>
      <c r="K1406" t="s">
        <v>69</v>
      </c>
      <c r="L1406" s="9">
        <f t="shared" si="21"/>
        <v>144000</v>
      </c>
      <c r="M1406" s="9">
        <f>Table1[[#This Row],[Unit Price]]*Table1[[#This Row],[Quantity]]</f>
        <v>360000</v>
      </c>
      <c r="N1406" s="9">
        <f>Table1[[#This Row],[Cost Price]]*Table1[[#This Row],[Quantity]]</f>
        <v>288000</v>
      </c>
      <c r="O1406" s="9">
        <f>Table1[[#This Row],[Revenue]]-Table1[[#This Row],[COGS]]</f>
        <v>72000</v>
      </c>
      <c r="P1406" s="6">
        <v>1405</v>
      </c>
    </row>
    <row r="1407" spans="1:16">
      <c r="A1407" s="7" t="s">
        <v>174</v>
      </c>
      <c r="B1407" s="7" t="str">
        <f>TEXT(Table1[[#This Row],[Date]],"MMM")</f>
        <v>Feb</v>
      </c>
      <c r="C1407" t="s">
        <v>35</v>
      </c>
      <c r="D1407" t="s">
        <v>53</v>
      </c>
      <c r="E1407" t="s">
        <v>29</v>
      </c>
      <c r="F1407" t="s">
        <v>30</v>
      </c>
      <c r="G1407" t="s">
        <v>62</v>
      </c>
      <c r="H1407" t="s">
        <v>51</v>
      </c>
      <c r="I1407" s="9">
        <v>150000</v>
      </c>
      <c r="J1407">
        <v>5</v>
      </c>
      <c r="K1407" t="s">
        <v>65</v>
      </c>
      <c r="L1407" s="9">
        <f t="shared" si="21"/>
        <v>120000</v>
      </c>
      <c r="M1407" s="9">
        <f>Table1[[#This Row],[Unit Price]]*Table1[[#This Row],[Quantity]]</f>
        <v>750000</v>
      </c>
      <c r="N1407" s="9">
        <f>Table1[[#This Row],[Cost Price]]*Table1[[#This Row],[Quantity]]</f>
        <v>600000</v>
      </c>
      <c r="O1407" s="9">
        <f>Table1[[#This Row],[Revenue]]-Table1[[#This Row],[COGS]]</f>
        <v>150000</v>
      </c>
      <c r="P1407" s="6">
        <v>1406</v>
      </c>
    </row>
    <row r="1408" spans="1:16">
      <c r="A1408" s="7" t="s">
        <v>93</v>
      </c>
      <c r="B1408" s="7" t="str">
        <f>TEXT(Table1[[#This Row],[Date]],"MMM")</f>
        <v>Apr</v>
      </c>
      <c r="C1408" t="s">
        <v>35</v>
      </c>
      <c r="D1408" t="s">
        <v>45</v>
      </c>
      <c r="E1408" t="s">
        <v>41</v>
      </c>
      <c r="F1408" t="s">
        <v>37</v>
      </c>
      <c r="G1408" t="s">
        <v>31</v>
      </c>
      <c r="H1408" t="s">
        <v>32</v>
      </c>
      <c r="I1408" s="9">
        <v>85000</v>
      </c>
      <c r="J1408">
        <v>1</v>
      </c>
      <c r="K1408" t="s">
        <v>65</v>
      </c>
      <c r="L1408" s="9">
        <f t="shared" si="21"/>
        <v>68000</v>
      </c>
      <c r="M1408" s="9">
        <f>Table1[[#This Row],[Unit Price]]*Table1[[#This Row],[Quantity]]</f>
        <v>85000</v>
      </c>
      <c r="N1408" s="9">
        <f>Table1[[#This Row],[Cost Price]]*Table1[[#This Row],[Quantity]]</f>
        <v>68000</v>
      </c>
      <c r="O1408" s="9">
        <f>Table1[[#This Row],[Revenue]]-Table1[[#This Row],[COGS]]</f>
        <v>17000</v>
      </c>
      <c r="P1408" s="6">
        <v>1407</v>
      </c>
    </row>
    <row r="1409" spans="1:16">
      <c r="A1409" s="7" t="s">
        <v>158</v>
      </c>
      <c r="B1409" s="7" t="str">
        <f>TEXT(Table1[[#This Row],[Date]],"MMM")</f>
        <v>Jan</v>
      </c>
      <c r="C1409" t="s">
        <v>27</v>
      </c>
      <c r="D1409" t="s">
        <v>28</v>
      </c>
      <c r="E1409" t="s">
        <v>29</v>
      </c>
      <c r="F1409" t="s">
        <v>30</v>
      </c>
      <c r="G1409" t="s">
        <v>38</v>
      </c>
      <c r="H1409" t="s">
        <v>39</v>
      </c>
      <c r="I1409" s="9">
        <v>30000</v>
      </c>
      <c r="J1409">
        <v>1</v>
      </c>
      <c r="K1409" t="s">
        <v>58</v>
      </c>
      <c r="L1409" s="9">
        <f t="shared" si="21"/>
        <v>24000</v>
      </c>
      <c r="M1409" s="9">
        <f>Table1[[#This Row],[Unit Price]]*Table1[[#This Row],[Quantity]]</f>
        <v>30000</v>
      </c>
      <c r="N1409" s="9">
        <f>Table1[[#This Row],[Cost Price]]*Table1[[#This Row],[Quantity]]</f>
        <v>24000</v>
      </c>
      <c r="O1409" s="9">
        <f>Table1[[#This Row],[Revenue]]-Table1[[#This Row],[COGS]]</f>
        <v>6000</v>
      </c>
      <c r="P1409" s="6">
        <v>1408</v>
      </c>
    </row>
    <row r="1410" spans="1:16">
      <c r="A1410" s="7" t="s">
        <v>169</v>
      </c>
      <c r="B1410" s="7" t="str">
        <f>TEXT(Table1[[#This Row],[Date]],"MMM")</f>
        <v>Feb</v>
      </c>
      <c r="C1410" t="s">
        <v>35</v>
      </c>
      <c r="D1410" t="s">
        <v>36</v>
      </c>
      <c r="E1410" t="s">
        <v>29</v>
      </c>
      <c r="F1410" t="s">
        <v>37</v>
      </c>
      <c r="G1410" t="s">
        <v>31</v>
      </c>
      <c r="H1410" t="s">
        <v>32</v>
      </c>
      <c r="I1410" s="9">
        <v>85000</v>
      </c>
      <c r="J1410">
        <v>1</v>
      </c>
      <c r="K1410" t="s">
        <v>65</v>
      </c>
      <c r="L1410" s="9">
        <f t="shared" ref="L1410:L1473" si="22">I1410-I1410*0.2</f>
        <v>68000</v>
      </c>
      <c r="M1410" s="9">
        <f>Table1[[#This Row],[Unit Price]]*Table1[[#This Row],[Quantity]]</f>
        <v>85000</v>
      </c>
      <c r="N1410" s="9">
        <f>Table1[[#This Row],[Cost Price]]*Table1[[#This Row],[Quantity]]</f>
        <v>68000</v>
      </c>
      <c r="O1410" s="9">
        <f>Table1[[#This Row],[Revenue]]-Table1[[#This Row],[COGS]]</f>
        <v>17000</v>
      </c>
      <c r="P1410" s="6">
        <v>1409</v>
      </c>
    </row>
    <row r="1411" spans="1:16">
      <c r="A1411" s="7" t="s">
        <v>102</v>
      </c>
      <c r="B1411" s="7" t="str">
        <f>TEXT(Table1[[#This Row],[Date]],"MMM")</f>
        <v>Mar</v>
      </c>
      <c r="C1411" t="s">
        <v>44</v>
      </c>
      <c r="D1411" t="s">
        <v>36</v>
      </c>
      <c r="E1411" t="s">
        <v>29</v>
      </c>
      <c r="F1411" t="s">
        <v>37</v>
      </c>
      <c r="G1411" t="s">
        <v>38</v>
      </c>
      <c r="H1411" t="s">
        <v>39</v>
      </c>
      <c r="I1411" s="9">
        <v>30000</v>
      </c>
      <c r="J1411">
        <v>2</v>
      </c>
      <c r="K1411" t="s">
        <v>65</v>
      </c>
      <c r="L1411" s="9">
        <f t="shared" si="22"/>
        <v>24000</v>
      </c>
      <c r="M1411" s="9">
        <f>Table1[[#This Row],[Unit Price]]*Table1[[#This Row],[Quantity]]</f>
        <v>60000</v>
      </c>
      <c r="N1411" s="9">
        <f>Table1[[#This Row],[Cost Price]]*Table1[[#This Row],[Quantity]]</f>
        <v>48000</v>
      </c>
      <c r="O1411" s="9">
        <f>Table1[[#This Row],[Revenue]]-Table1[[#This Row],[COGS]]</f>
        <v>12000</v>
      </c>
      <c r="P1411" s="6">
        <v>1410</v>
      </c>
    </row>
    <row r="1412" spans="1:16">
      <c r="A1412" s="7" t="s">
        <v>153</v>
      </c>
      <c r="B1412" s="7" t="str">
        <f>TEXT(Table1[[#This Row],[Date]],"MMM")</f>
        <v>Mar</v>
      </c>
      <c r="C1412" t="s">
        <v>35</v>
      </c>
      <c r="D1412" t="s">
        <v>28</v>
      </c>
      <c r="E1412" t="s">
        <v>29</v>
      </c>
      <c r="F1412" t="s">
        <v>37</v>
      </c>
      <c r="G1412" t="s">
        <v>67</v>
      </c>
      <c r="H1412" t="s">
        <v>51</v>
      </c>
      <c r="I1412" s="9">
        <v>420000</v>
      </c>
      <c r="J1412">
        <v>3</v>
      </c>
      <c r="K1412" t="s">
        <v>33</v>
      </c>
      <c r="L1412" s="9">
        <f t="shared" si="22"/>
        <v>336000</v>
      </c>
      <c r="M1412" s="9">
        <f>Table1[[#This Row],[Unit Price]]*Table1[[#This Row],[Quantity]]</f>
        <v>1260000</v>
      </c>
      <c r="N1412" s="9">
        <f>Table1[[#This Row],[Cost Price]]*Table1[[#This Row],[Quantity]]</f>
        <v>1008000</v>
      </c>
      <c r="O1412" s="9">
        <f>Table1[[#This Row],[Revenue]]-Table1[[#This Row],[COGS]]</f>
        <v>252000</v>
      </c>
      <c r="P1412" s="6">
        <v>1411</v>
      </c>
    </row>
    <row r="1413" spans="1:16">
      <c r="A1413" s="7" t="s">
        <v>26</v>
      </c>
      <c r="B1413" s="7" t="str">
        <f>TEXT(Table1[[#This Row],[Date]],"MMM")</f>
        <v>Jan</v>
      </c>
      <c r="C1413" t="s">
        <v>27</v>
      </c>
      <c r="D1413" t="s">
        <v>36</v>
      </c>
      <c r="E1413" t="s">
        <v>29</v>
      </c>
      <c r="F1413" t="s">
        <v>37</v>
      </c>
      <c r="G1413" t="s">
        <v>38</v>
      </c>
      <c r="H1413" t="s">
        <v>39</v>
      </c>
      <c r="I1413" s="9">
        <v>30000</v>
      </c>
      <c r="J1413">
        <v>2</v>
      </c>
      <c r="K1413" t="s">
        <v>58</v>
      </c>
      <c r="L1413" s="9">
        <f t="shared" si="22"/>
        <v>24000</v>
      </c>
      <c r="M1413" s="9">
        <f>Table1[[#This Row],[Unit Price]]*Table1[[#This Row],[Quantity]]</f>
        <v>60000</v>
      </c>
      <c r="N1413" s="9">
        <f>Table1[[#This Row],[Cost Price]]*Table1[[#This Row],[Quantity]]</f>
        <v>48000</v>
      </c>
      <c r="O1413" s="9">
        <f>Table1[[#This Row],[Revenue]]-Table1[[#This Row],[COGS]]</f>
        <v>12000</v>
      </c>
      <c r="P1413" s="6">
        <v>1412</v>
      </c>
    </row>
    <row r="1414" spans="1:16">
      <c r="A1414" s="7" t="s">
        <v>126</v>
      </c>
      <c r="B1414" s="7" t="str">
        <f>TEXT(Table1[[#This Row],[Date]],"MMM")</f>
        <v>Jan</v>
      </c>
      <c r="C1414" t="s">
        <v>44</v>
      </c>
      <c r="D1414" t="s">
        <v>53</v>
      </c>
      <c r="E1414" t="s">
        <v>29</v>
      </c>
      <c r="F1414" t="s">
        <v>37</v>
      </c>
      <c r="G1414" t="s">
        <v>50</v>
      </c>
      <c r="H1414" t="s">
        <v>51</v>
      </c>
      <c r="I1414" s="9">
        <v>300000</v>
      </c>
      <c r="J1414">
        <v>9</v>
      </c>
      <c r="K1414" t="s">
        <v>47</v>
      </c>
      <c r="L1414" s="9">
        <f t="shared" si="22"/>
        <v>240000</v>
      </c>
      <c r="M1414" s="9">
        <f>Table1[[#This Row],[Unit Price]]*Table1[[#This Row],[Quantity]]</f>
        <v>2700000</v>
      </c>
      <c r="N1414" s="9">
        <f>Table1[[#This Row],[Cost Price]]*Table1[[#This Row],[Quantity]]</f>
        <v>2160000</v>
      </c>
      <c r="O1414" s="9">
        <f>Table1[[#This Row],[Revenue]]-Table1[[#This Row],[COGS]]</f>
        <v>540000</v>
      </c>
      <c r="P1414" s="6">
        <v>1413</v>
      </c>
    </row>
    <row r="1415" spans="1:16">
      <c r="A1415" s="7" t="s">
        <v>92</v>
      </c>
      <c r="B1415" s="7" t="str">
        <f>TEXT(Table1[[#This Row],[Date]],"MMM")</f>
        <v>Jan</v>
      </c>
      <c r="C1415" t="s">
        <v>35</v>
      </c>
      <c r="D1415" t="s">
        <v>45</v>
      </c>
      <c r="E1415" t="s">
        <v>41</v>
      </c>
      <c r="F1415" t="s">
        <v>37</v>
      </c>
      <c r="G1415" t="s">
        <v>62</v>
      </c>
      <c r="H1415" t="s">
        <v>51</v>
      </c>
      <c r="I1415" s="9">
        <v>150000</v>
      </c>
      <c r="J1415">
        <v>4</v>
      </c>
      <c r="K1415" t="s">
        <v>58</v>
      </c>
      <c r="L1415" s="9">
        <f t="shared" si="22"/>
        <v>120000</v>
      </c>
      <c r="M1415" s="9">
        <f>Table1[[#This Row],[Unit Price]]*Table1[[#This Row],[Quantity]]</f>
        <v>600000</v>
      </c>
      <c r="N1415" s="9">
        <f>Table1[[#This Row],[Cost Price]]*Table1[[#This Row],[Quantity]]</f>
        <v>480000</v>
      </c>
      <c r="O1415" s="9">
        <f>Table1[[#This Row],[Revenue]]-Table1[[#This Row],[COGS]]</f>
        <v>120000</v>
      </c>
      <c r="P1415" s="6">
        <v>1414</v>
      </c>
    </row>
    <row r="1416" spans="1:16">
      <c r="A1416" s="7" t="s">
        <v>113</v>
      </c>
      <c r="B1416" s="7" t="str">
        <f>TEXT(Table1[[#This Row],[Date]],"MMM")</f>
        <v>Apr</v>
      </c>
      <c r="C1416" t="s">
        <v>35</v>
      </c>
      <c r="D1416" t="s">
        <v>28</v>
      </c>
      <c r="E1416" t="s">
        <v>29</v>
      </c>
      <c r="F1416" t="s">
        <v>37</v>
      </c>
      <c r="G1416" t="s">
        <v>73</v>
      </c>
      <c r="H1416" t="s">
        <v>39</v>
      </c>
      <c r="I1416" s="9">
        <v>220000</v>
      </c>
      <c r="J1416">
        <v>2</v>
      </c>
      <c r="K1416" t="s">
        <v>69</v>
      </c>
      <c r="L1416" s="9">
        <f t="shared" si="22"/>
        <v>176000</v>
      </c>
      <c r="M1416" s="9">
        <f>Table1[[#This Row],[Unit Price]]*Table1[[#This Row],[Quantity]]</f>
        <v>440000</v>
      </c>
      <c r="N1416" s="9">
        <f>Table1[[#This Row],[Cost Price]]*Table1[[#This Row],[Quantity]]</f>
        <v>352000</v>
      </c>
      <c r="O1416" s="9">
        <f>Table1[[#This Row],[Revenue]]-Table1[[#This Row],[COGS]]</f>
        <v>88000</v>
      </c>
      <c r="P1416" s="6">
        <v>1415</v>
      </c>
    </row>
    <row r="1417" spans="1:16">
      <c r="A1417" s="7" t="s">
        <v>149</v>
      </c>
      <c r="B1417" s="7" t="str">
        <f>TEXT(Table1[[#This Row],[Date]],"MMM")</f>
        <v>Apr</v>
      </c>
      <c r="C1417" t="s">
        <v>44</v>
      </c>
      <c r="D1417" t="s">
        <v>36</v>
      </c>
      <c r="E1417" t="s">
        <v>29</v>
      </c>
      <c r="F1417" t="s">
        <v>37</v>
      </c>
      <c r="G1417" t="s">
        <v>31</v>
      </c>
      <c r="H1417" t="s">
        <v>32</v>
      </c>
      <c r="I1417" s="9">
        <v>85000</v>
      </c>
      <c r="J1417">
        <v>6</v>
      </c>
      <c r="K1417" t="s">
        <v>33</v>
      </c>
      <c r="L1417" s="9">
        <f t="shared" si="22"/>
        <v>68000</v>
      </c>
      <c r="M1417" s="9">
        <f>Table1[[#This Row],[Unit Price]]*Table1[[#This Row],[Quantity]]</f>
        <v>510000</v>
      </c>
      <c r="N1417" s="9">
        <f>Table1[[#This Row],[Cost Price]]*Table1[[#This Row],[Quantity]]</f>
        <v>408000</v>
      </c>
      <c r="O1417" s="9">
        <f>Table1[[#This Row],[Revenue]]-Table1[[#This Row],[COGS]]</f>
        <v>102000</v>
      </c>
      <c r="P1417" s="6">
        <v>1416</v>
      </c>
    </row>
    <row r="1418" spans="1:16">
      <c r="A1418" s="7" t="s">
        <v>151</v>
      </c>
      <c r="B1418" s="7" t="str">
        <f>TEXT(Table1[[#This Row],[Date]],"MMM")</f>
        <v>Feb</v>
      </c>
      <c r="C1418" t="s">
        <v>27</v>
      </c>
      <c r="D1418" t="s">
        <v>36</v>
      </c>
      <c r="E1418" t="s">
        <v>29</v>
      </c>
      <c r="F1418" t="s">
        <v>37</v>
      </c>
      <c r="G1418" t="s">
        <v>50</v>
      </c>
      <c r="H1418" t="s">
        <v>51</v>
      </c>
      <c r="I1418" s="9">
        <v>300000</v>
      </c>
      <c r="J1418">
        <v>8</v>
      </c>
      <c r="K1418" t="s">
        <v>33</v>
      </c>
      <c r="L1418" s="9">
        <f t="shared" si="22"/>
        <v>240000</v>
      </c>
      <c r="M1418" s="9">
        <f>Table1[[#This Row],[Unit Price]]*Table1[[#This Row],[Quantity]]</f>
        <v>2400000</v>
      </c>
      <c r="N1418" s="9">
        <f>Table1[[#This Row],[Cost Price]]*Table1[[#This Row],[Quantity]]</f>
        <v>1920000</v>
      </c>
      <c r="O1418" s="9">
        <f>Table1[[#This Row],[Revenue]]-Table1[[#This Row],[COGS]]</f>
        <v>480000</v>
      </c>
      <c r="P1418" s="6">
        <v>1417</v>
      </c>
    </row>
    <row r="1419" spans="1:16">
      <c r="A1419" s="7" t="s">
        <v>64</v>
      </c>
      <c r="B1419" s="7" t="str">
        <f>TEXT(Table1[[#This Row],[Date]],"MMM")</f>
        <v>Apr</v>
      </c>
      <c r="C1419" t="s">
        <v>44</v>
      </c>
      <c r="D1419" t="s">
        <v>45</v>
      </c>
      <c r="E1419" t="s">
        <v>41</v>
      </c>
      <c r="F1419" t="s">
        <v>37</v>
      </c>
      <c r="G1419" t="s">
        <v>67</v>
      </c>
      <c r="H1419" t="s">
        <v>51</v>
      </c>
      <c r="I1419" s="9">
        <v>420000</v>
      </c>
      <c r="J1419">
        <v>2</v>
      </c>
      <c r="K1419" t="s">
        <v>58</v>
      </c>
      <c r="L1419" s="9">
        <f t="shared" si="22"/>
        <v>336000</v>
      </c>
      <c r="M1419" s="9">
        <f>Table1[[#This Row],[Unit Price]]*Table1[[#This Row],[Quantity]]</f>
        <v>840000</v>
      </c>
      <c r="N1419" s="9">
        <f>Table1[[#This Row],[Cost Price]]*Table1[[#This Row],[Quantity]]</f>
        <v>672000</v>
      </c>
      <c r="O1419" s="9">
        <f>Table1[[#This Row],[Revenue]]-Table1[[#This Row],[COGS]]</f>
        <v>168000</v>
      </c>
      <c r="P1419" s="6">
        <v>1418</v>
      </c>
    </row>
    <row r="1420" spans="1:16">
      <c r="A1420" s="7" t="s">
        <v>176</v>
      </c>
      <c r="B1420" s="7" t="str">
        <f>TEXT(Table1[[#This Row],[Date]],"MMM")</f>
        <v>Jan</v>
      </c>
      <c r="C1420" t="s">
        <v>35</v>
      </c>
      <c r="D1420" t="s">
        <v>45</v>
      </c>
      <c r="E1420" t="s">
        <v>29</v>
      </c>
      <c r="F1420" t="s">
        <v>37</v>
      </c>
      <c r="G1420" t="s">
        <v>73</v>
      </c>
      <c r="H1420" t="s">
        <v>39</v>
      </c>
      <c r="I1420" s="9">
        <v>220000</v>
      </c>
      <c r="J1420">
        <v>3</v>
      </c>
      <c r="K1420" t="s">
        <v>42</v>
      </c>
      <c r="L1420" s="9">
        <f t="shared" si="22"/>
        <v>176000</v>
      </c>
      <c r="M1420" s="9">
        <f>Table1[[#This Row],[Unit Price]]*Table1[[#This Row],[Quantity]]</f>
        <v>660000</v>
      </c>
      <c r="N1420" s="9">
        <f>Table1[[#This Row],[Cost Price]]*Table1[[#This Row],[Quantity]]</f>
        <v>528000</v>
      </c>
      <c r="O1420" s="9">
        <f>Table1[[#This Row],[Revenue]]-Table1[[#This Row],[COGS]]</f>
        <v>132000</v>
      </c>
      <c r="P1420" s="6">
        <v>1419</v>
      </c>
    </row>
    <row r="1421" spans="1:16">
      <c r="A1421" s="7" t="s">
        <v>163</v>
      </c>
      <c r="B1421" s="7" t="str">
        <f>TEXT(Table1[[#This Row],[Date]],"MMM")</f>
        <v>Apr</v>
      </c>
      <c r="C1421" t="s">
        <v>35</v>
      </c>
      <c r="D1421" t="s">
        <v>36</v>
      </c>
      <c r="E1421" t="s">
        <v>29</v>
      </c>
      <c r="F1421" t="s">
        <v>37</v>
      </c>
      <c r="G1421" t="s">
        <v>67</v>
      </c>
      <c r="H1421" t="s">
        <v>51</v>
      </c>
      <c r="I1421" s="9">
        <v>420000</v>
      </c>
      <c r="J1421">
        <v>10</v>
      </c>
      <c r="K1421" t="s">
        <v>33</v>
      </c>
      <c r="L1421" s="9">
        <f t="shared" si="22"/>
        <v>336000</v>
      </c>
      <c r="M1421" s="9">
        <f>Table1[[#This Row],[Unit Price]]*Table1[[#This Row],[Quantity]]</f>
        <v>4200000</v>
      </c>
      <c r="N1421" s="9">
        <f>Table1[[#This Row],[Cost Price]]*Table1[[#This Row],[Quantity]]</f>
        <v>3360000</v>
      </c>
      <c r="O1421" s="9">
        <f>Table1[[#This Row],[Revenue]]-Table1[[#This Row],[COGS]]</f>
        <v>840000</v>
      </c>
      <c r="P1421" s="6">
        <v>1420</v>
      </c>
    </row>
    <row r="1422" spans="1:16">
      <c r="A1422" s="7" t="s">
        <v>157</v>
      </c>
      <c r="B1422" s="7" t="str">
        <f>TEXT(Table1[[#This Row],[Date]],"MMM")</f>
        <v>Apr</v>
      </c>
      <c r="C1422" t="s">
        <v>49</v>
      </c>
      <c r="D1422" t="s">
        <v>36</v>
      </c>
      <c r="E1422" t="s">
        <v>29</v>
      </c>
      <c r="F1422" t="s">
        <v>37</v>
      </c>
      <c r="G1422" t="s">
        <v>50</v>
      </c>
      <c r="H1422" t="s">
        <v>51</v>
      </c>
      <c r="I1422" s="9">
        <v>300000</v>
      </c>
      <c r="J1422">
        <v>7</v>
      </c>
      <c r="K1422" t="s">
        <v>42</v>
      </c>
      <c r="L1422" s="9">
        <f t="shared" si="22"/>
        <v>240000</v>
      </c>
      <c r="M1422" s="9">
        <f>Table1[[#This Row],[Unit Price]]*Table1[[#This Row],[Quantity]]</f>
        <v>2100000</v>
      </c>
      <c r="N1422" s="9">
        <f>Table1[[#This Row],[Cost Price]]*Table1[[#This Row],[Quantity]]</f>
        <v>1680000</v>
      </c>
      <c r="O1422" s="9">
        <f>Table1[[#This Row],[Revenue]]-Table1[[#This Row],[COGS]]</f>
        <v>420000</v>
      </c>
      <c r="P1422" s="6">
        <v>1421</v>
      </c>
    </row>
    <row r="1423" spans="1:16">
      <c r="A1423" s="7" t="s">
        <v>157</v>
      </c>
      <c r="B1423" s="7" t="str">
        <f>TEXT(Table1[[#This Row],[Date]],"MMM")</f>
        <v>Apr</v>
      </c>
      <c r="C1423" t="s">
        <v>35</v>
      </c>
      <c r="D1423" t="s">
        <v>45</v>
      </c>
      <c r="E1423" t="s">
        <v>29</v>
      </c>
      <c r="F1423" t="s">
        <v>37</v>
      </c>
      <c r="G1423" t="s">
        <v>38</v>
      </c>
      <c r="H1423" t="s">
        <v>39</v>
      </c>
      <c r="I1423" s="9">
        <v>30000</v>
      </c>
      <c r="J1423">
        <v>1</v>
      </c>
      <c r="K1423" t="s">
        <v>47</v>
      </c>
      <c r="L1423" s="9">
        <f t="shared" si="22"/>
        <v>24000</v>
      </c>
      <c r="M1423" s="9">
        <f>Table1[[#This Row],[Unit Price]]*Table1[[#This Row],[Quantity]]</f>
        <v>30000</v>
      </c>
      <c r="N1423" s="9">
        <f>Table1[[#This Row],[Cost Price]]*Table1[[#This Row],[Quantity]]</f>
        <v>24000</v>
      </c>
      <c r="O1423" s="9">
        <f>Table1[[#This Row],[Revenue]]-Table1[[#This Row],[COGS]]</f>
        <v>6000</v>
      </c>
      <c r="P1423" s="6">
        <v>1422</v>
      </c>
    </row>
    <row r="1424" spans="1:16">
      <c r="A1424" s="7" t="s">
        <v>111</v>
      </c>
      <c r="B1424" s="7" t="str">
        <f>TEXT(Table1[[#This Row],[Date]],"MMM")</f>
        <v>Feb</v>
      </c>
      <c r="C1424" t="s">
        <v>35</v>
      </c>
      <c r="D1424" t="s">
        <v>36</v>
      </c>
      <c r="E1424" t="s">
        <v>41</v>
      </c>
      <c r="F1424" t="s">
        <v>37</v>
      </c>
      <c r="G1424" t="s">
        <v>38</v>
      </c>
      <c r="H1424" t="s">
        <v>39</v>
      </c>
      <c r="I1424" s="9">
        <v>30000</v>
      </c>
      <c r="J1424">
        <v>7</v>
      </c>
      <c r="K1424" t="s">
        <v>33</v>
      </c>
      <c r="L1424" s="9">
        <f t="shared" si="22"/>
        <v>24000</v>
      </c>
      <c r="M1424" s="9">
        <f>Table1[[#This Row],[Unit Price]]*Table1[[#This Row],[Quantity]]</f>
        <v>210000</v>
      </c>
      <c r="N1424" s="9">
        <f>Table1[[#This Row],[Cost Price]]*Table1[[#This Row],[Quantity]]</f>
        <v>168000</v>
      </c>
      <c r="O1424" s="9">
        <f>Table1[[#This Row],[Revenue]]-Table1[[#This Row],[COGS]]</f>
        <v>42000</v>
      </c>
      <c r="P1424" s="6">
        <v>1423</v>
      </c>
    </row>
    <row r="1425" spans="1:16">
      <c r="A1425" s="7" t="s">
        <v>130</v>
      </c>
      <c r="B1425" s="7" t="str">
        <f>TEXT(Table1[[#This Row],[Date]],"MMM")</f>
        <v>Jan</v>
      </c>
      <c r="C1425" t="s">
        <v>49</v>
      </c>
      <c r="D1425" t="s">
        <v>53</v>
      </c>
      <c r="E1425" t="s">
        <v>41</v>
      </c>
      <c r="F1425" t="s">
        <v>37</v>
      </c>
      <c r="G1425" t="s">
        <v>31</v>
      </c>
      <c r="H1425" t="s">
        <v>32</v>
      </c>
      <c r="I1425" s="9">
        <v>85000</v>
      </c>
      <c r="J1425">
        <v>8</v>
      </c>
      <c r="K1425" t="s">
        <v>58</v>
      </c>
      <c r="L1425" s="9">
        <f t="shared" si="22"/>
        <v>68000</v>
      </c>
      <c r="M1425" s="9">
        <f>Table1[[#This Row],[Unit Price]]*Table1[[#This Row],[Quantity]]</f>
        <v>680000</v>
      </c>
      <c r="N1425" s="9">
        <f>Table1[[#This Row],[Cost Price]]*Table1[[#This Row],[Quantity]]</f>
        <v>544000</v>
      </c>
      <c r="O1425" s="9">
        <f>Table1[[#This Row],[Revenue]]-Table1[[#This Row],[COGS]]</f>
        <v>136000</v>
      </c>
      <c r="P1425" s="6">
        <v>1424</v>
      </c>
    </row>
    <row r="1426" spans="1:16">
      <c r="A1426" s="7" t="s">
        <v>60</v>
      </c>
      <c r="B1426" s="7" t="str">
        <f>TEXT(Table1[[#This Row],[Date]],"MMM")</f>
        <v>Mar</v>
      </c>
      <c r="C1426" t="s">
        <v>35</v>
      </c>
      <c r="D1426" t="s">
        <v>36</v>
      </c>
      <c r="E1426" t="s">
        <v>29</v>
      </c>
      <c r="F1426" t="s">
        <v>37</v>
      </c>
      <c r="G1426" t="s">
        <v>71</v>
      </c>
      <c r="H1426" t="s">
        <v>51</v>
      </c>
      <c r="I1426" s="9">
        <v>250000</v>
      </c>
      <c r="J1426">
        <v>10</v>
      </c>
      <c r="K1426" t="s">
        <v>42</v>
      </c>
      <c r="L1426" s="9">
        <f t="shared" si="22"/>
        <v>200000</v>
      </c>
      <c r="M1426" s="9">
        <f>Table1[[#This Row],[Unit Price]]*Table1[[#This Row],[Quantity]]</f>
        <v>2500000</v>
      </c>
      <c r="N1426" s="9">
        <f>Table1[[#This Row],[Cost Price]]*Table1[[#This Row],[Quantity]]</f>
        <v>2000000</v>
      </c>
      <c r="O1426" s="9">
        <f>Table1[[#This Row],[Revenue]]-Table1[[#This Row],[COGS]]</f>
        <v>500000</v>
      </c>
      <c r="P1426" s="6">
        <v>1425</v>
      </c>
    </row>
    <row r="1427" spans="1:16">
      <c r="A1427" s="7" t="s">
        <v>76</v>
      </c>
      <c r="B1427" s="7" t="str">
        <f>TEXT(Table1[[#This Row],[Date]],"MMM")</f>
        <v>May</v>
      </c>
      <c r="C1427" t="s">
        <v>27</v>
      </c>
      <c r="D1427" t="s">
        <v>36</v>
      </c>
      <c r="E1427" t="s">
        <v>29</v>
      </c>
      <c r="F1427" t="s">
        <v>37</v>
      </c>
      <c r="G1427" t="s">
        <v>31</v>
      </c>
      <c r="H1427" t="s">
        <v>32</v>
      </c>
      <c r="I1427" s="9">
        <v>85000</v>
      </c>
      <c r="J1427">
        <v>4</v>
      </c>
      <c r="K1427" t="s">
        <v>69</v>
      </c>
      <c r="L1427" s="9">
        <f t="shared" si="22"/>
        <v>68000</v>
      </c>
      <c r="M1427" s="9">
        <f>Table1[[#This Row],[Unit Price]]*Table1[[#This Row],[Quantity]]</f>
        <v>340000</v>
      </c>
      <c r="N1427" s="9">
        <f>Table1[[#This Row],[Cost Price]]*Table1[[#This Row],[Quantity]]</f>
        <v>272000</v>
      </c>
      <c r="O1427" s="9">
        <f>Table1[[#This Row],[Revenue]]-Table1[[#This Row],[COGS]]</f>
        <v>68000</v>
      </c>
      <c r="P1427" s="6">
        <v>1426</v>
      </c>
    </row>
    <row r="1428" spans="1:16">
      <c r="A1428" s="7" t="s">
        <v>121</v>
      </c>
      <c r="B1428" s="7" t="str">
        <f>TEXT(Table1[[#This Row],[Date]],"MMM")</f>
        <v>Apr</v>
      </c>
      <c r="C1428" t="s">
        <v>27</v>
      </c>
      <c r="D1428" t="s">
        <v>53</v>
      </c>
      <c r="E1428" t="s">
        <v>29</v>
      </c>
      <c r="F1428" t="s">
        <v>37</v>
      </c>
      <c r="G1428" t="s">
        <v>71</v>
      </c>
      <c r="H1428" t="s">
        <v>51</v>
      </c>
      <c r="I1428" s="9">
        <v>250000</v>
      </c>
      <c r="J1428">
        <v>6</v>
      </c>
      <c r="K1428" t="s">
        <v>69</v>
      </c>
      <c r="L1428" s="9">
        <f t="shared" si="22"/>
        <v>200000</v>
      </c>
      <c r="M1428" s="9">
        <f>Table1[[#This Row],[Unit Price]]*Table1[[#This Row],[Quantity]]</f>
        <v>1500000</v>
      </c>
      <c r="N1428" s="9">
        <f>Table1[[#This Row],[Cost Price]]*Table1[[#This Row],[Quantity]]</f>
        <v>1200000</v>
      </c>
      <c r="O1428" s="9">
        <f>Table1[[#This Row],[Revenue]]-Table1[[#This Row],[COGS]]</f>
        <v>300000</v>
      </c>
      <c r="P1428" s="6">
        <v>1427</v>
      </c>
    </row>
    <row r="1429" spans="1:16">
      <c r="A1429" s="7" t="s">
        <v>113</v>
      </c>
      <c r="B1429" s="7" t="str">
        <f>TEXT(Table1[[#This Row],[Date]],"MMM")</f>
        <v>Apr</v>
      </c>
      <c r="C1429" t="s">
        <v>35</v>
      </c>
      <c r="D1429" t="s">
        <v>53</v>
      </c>
      <c r="E1429" t="s">
        <v>41</v>
      </c>
      <c r="F1429" t="s">
        <v>37</v>
      </c>
      <c r="G1429" t="s">
        <v>56</v>
      </c>
      <c r="H1429" t="s">
        <v>32</v>
      </c>
      <c r="I1429" s="9">
        <v>320000</v>
      </c>
      <c r="J1429">
        <v>7</v>
      </c>
      <c r="K1429" t="s">
        <v>65</v>
      </c>
      <c r="L1429" s="9">
        <f t="shared" si="22"/>
        <v>256000</v>
      </c>
      <c r="M1429" s="9">
        <f>Table1[[#This Row],[Unit Price]]*Table1[[#This Row],[Quantity]]</f>
        <v>2240000</v>
      </c>
      <c r="N1429" s="9">
        <f>Table1[[#This Row],[Cost Price]]*Table1[[#This Row],[Quantity]]</f>
        <v>1792000</v>
      </c>
      <c r="O1429" s="9">
        <f>Table1[[#This Row],[Revenue]]-Table1[[#This Row],[COGS]]</f>
        <v>448000</v>
      </c>
      <c r="P1429" s="6">
        <v>1428</v>
      </c>
    </row>
    <row r="1430" spans="1:16">
      <c r="A1430" s="7" t="s">
        <v>55</v>
      </c>
      <c r="B1430" s="7" t="str">
        <f>TEXT(Table1[[#This Row],[Date]],"MMM")</f>
        <v>Mar</v>
      </c>
      <c r="C1430" t="s">
        <v>35</v>
      </c>
      <c r="D1430" t="s">
        <v>53</v>
      </c>
      <c r="E1430" t="s">
        <v>41</v>
      </c>
      <c r="F1430" t="s">
        <v>37</v>
      </c>
      <c r="G1430" t="s">
        <v>54</v>
      </c>
      <c r="H1430" t="s">
        <v>39</v>
      </c>
      <c r="I1430" s="9">
        <v>180000</v>
      </c>
      <c r="J1430">
        <v>2</v>
      </c>
      <c r="K1430" t="s">
        <v>33</v>
      </c>
      <c r="L1430" s="9">
        <f t="shared" si="22"/>
        <v>144000</v>
      </c>
      <c r="M1430" s="9">
        <f>Table1[[#This Row],[Unit Price]]*Table1[[#This Row],[Quantity]]</f>
        <v>360000</v>
      </c>
      <c r="N1430" s="9">
        <f>Table1[[#This Row],[Cost Price]]*Table1[[#This Row],[Quantity]]</f>
        <v>288000</v>
      </c>
      <c r="O1430" s="9">
        <f>Table1[[#This Row],[Revenue]]-Table1[[#This Row],[COGS]]</f>
        <v>72000</v>
      </c>
      <c r="P1430" s="6">
        <v>1429</v>
      </c>
    </row>
    <row r="1431" spans="1:16">
      <c r="A1431" s="7" t="s">
        <v>48</v>
      </c>
      <c r="B1431" s="7" t="str">
        <f>TEXT(Table1[[#This Row],[Date]],"MMM")</f>
        <v>Apr</v>
      </c>
      <c r="C1431" t="s">
        <v>49</v>
      </c>
      <c r="D1431" t="s">
        <v>53</v>
      </c>
      <c r="E1431" t="s">
        <v>41</v>
      </c>
      <c r="F1431" t="s">
        <v>37</v>
      </c>
      <c r="G1431" t="s">
        <v>73</v>
      </c>
      <c r="H1431" t="s">
        <v>39</v>
      </c>
      <c r="I1431" s="9">
        <v>220000</v>
      </c>
      <c r="J1431">
        <v>2</v>
      </c>
      <c r="K1431" t="s">
        <v>69</v>
      </c>
      <c r="L1431" s="9">
        <f t="shared" si="22"/>
        <v>176000</v>
      </c>
      <c r="M1431" s="9">
        <f>Table1[[#This Row],[Unit Price]]*Table1[[#This Row],[Quantity]]</f>
        <v>440000</v>
      </c>
      <c r="N1431" s="9">
        <f>Table1[[#This Row],[Cost Price]]*Table1[[#This Row],[Quantity]]</f>
        <v>352000</v>
      </c>
      <c r="O1431" s="9">
        <f>Table1[[#This Row],[Revenue]]-Table1[[#This Row],[COGS]]</f>
        <v>88000</v>
      </c>
      <c r="P1431" s="6">
        <v>1430</v>
      </c>
    </row>
    <row r="1432" spans="1:16">
      <c r="A1432" s="7" t="s">
        <v>133</v>
      </c>
      <c r="B1432" s="7" t="str">
        <f>TEXT(Table1[[#This Row],[Date]],"MMM")</f>
        <v>Jan</v>
      </c>
      <c r="C1432" t="s">
        <v>49</v>
      </c>
      <c r="D1432" t="s">
        <v>45</v>
      </c>
      <c r="E1432" t="s">
        <v>41</v>
      </c>
      <c r="F1432" t="s">
        <v>37</v>
      </c>
      <c r="G1432" t="s">
        <v>54</v>
      </c>
      <c r="H1432" t="s">
        <v>39</v>
      </c>
      <c r="I1432" s="9">
        <v>180000</v>
      </c>
      <c r="J1432">
        <v>6</v>
      </c>
      <c r="K1432" t="s">
        <v>42</v>
      </c>
      <c r="L1432" s="9">
        <f t="shared" si="22"/>
        <v>144000</v>
      </c>
      <c r="M1432" s="9">
        <f>Table1[[#This Row],[Unit Price]]*Table1[[#This Row],[Quantity]]</f>
        <v>1080000</v>
      </c>
      <c r="N1432" s="9">
        <f>Table1[[#This Row],[Cost Price]]*Table1[[#This Row],[Quantity]]</f>
        <v>864000</v>
      </c>
      <c r="O1432" s="9">
        <f>Table1[[#This Row],[Revenue]]-Table1[[#This Row],[COGS]]</f>
        <v>216000</v>
      </c>
      <c r="P1432" s="6">
        <v>1431</v>
      </c>
    </row>
    <row r="1433" spans="1:16">
      <c r="A1433" s="7" t="s">
        <v>115</v>
      </c>
      <c r="B1433" s="7" t="str">
        <f>TEXT(Table1[[#This Row],[Date]],"MMM")</f>
        <v>Jan</v>
      </c>
      <c r="C1433" t="s">
        <v>27</v>
      </c>
      <c r="D1433" t="s">
        <v>53</v>
      </c>
      <c r="E1433" t="s">
        <v>29</v>
      </c>
      <c r="F1433" t="s">
        <v>37</v>
      </c>
      <c r="G1433" t="s">
        <v>54</v>
      </c>
      <c r="H1433" t="s">
        <v>39</v>
      </c>
      <c r="I1433" s="9">
        <v>180000</v>
      </c>
      <c r="J1433">
        <v>3</v>
      </c>
      <c r="K1433" t="s">
        <v>42</v>
      </c>
      <c r="L1433" s="9">
        <f t="shared" si="22"/>
        <v>144000</v>
      </c>
      <c r="M1433" s="9">
        <f>Table1[[#This Row],[Unit Price]]*Table1[[#This Row],[Quantity]]</f>
        <v>540000</v>
      </c>
      <c r="N1433" s="9">
        <f>Table1[[#This Row],[Cost Price]]*Table1[[#This Row],[Quantity]]</f>
        <v>432000</v>
      </c>
      <c r="O1433" s="9">
        <f>Table1[[#This Row],[Revenue]]-Table1[[#This Row],[COGS]]</f>
        <v>108000</v>
      </c>
      <c r="P1433" s="6">
        <v>1432</v>
      </c>
    </row>
    <row r="1434" spans="1:16">
      <c r="A1434" s="7" t="s">
        <v>114</v>
      </c>
      <c r="B1434" s="7" t="str">
        <f>TEXT(Table1[[#This Row],[Date]],"MMM")</f>
        <v>Apr</v>
      </c>
      <c r="C1434" t="s">
        <v>27</v>
      </c>
      <c r="D1434" t="s">
        <v>45</v>
      </c>
      <c r="E1434" t="s">
        <v>29</v>
      </c>
      <c r="F1434" t="s">
        <v>37</v>
      </c>
      <c r="G1434" t="s">
        <v>46</v>
      </c>
      <c r="H1434" t="s">
        <v>39</v>
      </c>
      <c r="I1434" s="9">
        <v>60000</v>
      </c>
      <c r="J1434">
        <v>2</v>
      </c>
      <c r="K1434" t="s">
        <v>42</v>
      </c>
      <c r="L1434" s="9">
        <f t="shared" si="22"/>
        <v>48000</v>
      </c>
      <c r="M1434" s="9">
        <f>Table1[[#This Row],[Unit Price]]*Table1[[#This Row],[Quantity]]</f>
        <v>120000</v>
      </c>
      <c r="N1434" s="9">
        <f>Table1[[#This Row],[Cost Price]]*Table1[[#This Row],[Quantity]]</f>
        <v>96000</v>
      </c>
      <c r="O1434" s="9">
        <f>Table1[[#This Row],[Revenue]]-Table1[[#This Row],[COGS]]</f>
        <v>24000</v>
      </c>
      <c r="P1434" s="6">
        <v>1433</v>
      </c>
    </row>
    <row r="1435" spans="1:16">
      <c r="A1435" s="7" t="s">
        <v>157</v>
      </c>
      <c r="B1435" s="7" t="str">
        <f>TEXT(Table1[[#This Row],[Date]],"MMM")</f>
        <v>Apr</v>
      </c>
      <c r="C1435" t="s">
        <v>49</v>
      </c>
      <c r="D1435" t="s">
        <v>53</v>
      </c>
      <c r="E1435" t="s">
        <v>41</v>
      </c>
      <c r="F1435" t="s">
        <v>37</v>
      </c>
      <c r="G1435" t="s">
        <v>50</v>
      </c>
      <c r="H1435" t="s">
        <v>51</v>
      </c>
      <c r="I1435" s="9">
        <v>300000</v>
      </c>
      <c r="J1435">
        <v>1</v>
      </c>
      <c r="K1435" t="s">
        <v>65</v>
      </c>
      <c r="L1435" s="9">
        <f t="shared" si="22"/>
        <v>240000</v>
      </c>
      <c r="M1435" s="9">
        <f>Table1[[#This Row],[Unit Price]]*Table1[[#This Row],[Quantity]]</f>
        <v>300000</v>
      </c>
      <c r="N1435" s="9">
        <f>Table1[[#This Row],[Cost Price]]*Table1[[#This Row],[Quantity]]</f>
        <v>240000</v>
      </c>
      <c r="O1435" s="9">
        <f>Table1[[#This Row],[Revenue]]-Table1[[#This Row],[COGS]]</f>
        <v>60000</v>
      </c>
      <c r="P1435" s="6">
        <v>1434</v>
      </c>
    </row>
    <row r="1436" spans="1:16">
      <c r="A1436" s="7" t="s">
        <v>91</v>
      </c>
      <c r="B1436" s="7" t="str">
        <f>TEXT(Table1[[#This Row],[Date]],"MMM")</f>
        <v>Feb</v>
      </c>
      <c r="C1436" t="s">
        <v>44</v>
      </c>
      <c r="D1436" t="s">
        <v>45</v>
      </c>
      <c r="E1436" t="s">
        <v>41</v>
      </c>
      <c r="F1436" t="s">
        <v>37</v>
      </c>
      <c r="G1436" t="s">
        <v>67</v>
      </c>
      <c r="H1436" t="s">
        <v>51</v>
      </c>
      <c r="I1436" s="9">
        <v>420000</v>
      </c>
      <c r="J1436">
        <v>2</v>
      </c>
      <c r="K1436" t="s">
        <v>42</v>
      </c>
      <c r="L1436" s="9">
        <f t="shared" si="22"/>
        <v>336000</v>
      </c>
      <c r="M1436" s="9">
        <f>Table1[[#This Row],[Unit Price]]*Table1[[#This Row],[Quantity]]</f>
        <v>840000</v>
      </c>
      <c r="N1436" s="9">
        <f>Table1[[#This Row],[Cost Price]]*Table1[[#This Row],[Quantity]]</f>
        <v>672000</v>
      </c>
      <c r="O1436" s="9">
        <f>Table1[[#This Row],[Revenue]]-Table1[[#This Row],[COGS]]</f>
        <v>168000</v>
      </c>
      <c r="P1436" s="6">
        <v>1435</v>
      </c>
    </row>
    <row r="1437" spans="1:16">
      <c r="A1437" s="7" t="s">
        <v>70</v>
      </c>
      <c r="B1437" s="7" t="str">
        <f>TEXT(Table1[[#This Row],[Date]],"MMM")</f>
        <v>Apr</v>
      </c>
      <c r="C1437" t="s">
        <v>27</v>
      </c>
      <c r="D1437" t="s">
        <v>36</v>
      </c>
      <c r="E1437" t="s">
        <v>29</v>
      </c>
      <c r="F1437" t="s">
        <v>37</v>
      </c>
      <c r="G1437" t="s">
        <v>71</v>
      </c>
      <c r="H1437" t="s">
        <v>51</v>
      </c>
      <c r="I1437" s="9">
        <v>250000</v>
      </c>
      <c r="J1437">
        <v>9</v>
      </c>
      <c r="K1437" t="s">
        <v>42</v>
      </c>
      <c r="L1437" s="9">
        <f t="shared" si="22"/>
        <v>200000</v>
      </c>
      <c r="M1437" s="9">
        <f>Table1[[#This Row],[Unit Price]]*Table1[[#This Row],[Quantity]]</f>
        <v>2250000</v>
      </c>
      <c r="N1437" s="9">
        <f>Table1[[#This Row],[Cost Price]]*Table1[[#This Row],[Quantity]]</f>
        <v>1800000</v>
      </c>
      <c r="O1437" s="9">
        <f>Table1[[#This Row],[Revenue]]-Table1[[#This Row],[COGS]]</f>
        <v>450000</v>
      </c>
      <c r="P1437" s="6">
        <v>1436</v>
      </c>
    </row>
    <row r="1438" spans="1:16">
      <c r="A1438" s="7" t="s">
        <v>77</v>
      </c>
      <c r="B1438" s="7" t="str">
        <f>TEXT(Table1[[#This Row],[Date]],"MMM")</f>
        <v>Apr</v>
      </c>
      <c r="C1438" t="s">
        <v>44</v>
      </c>
      <c r="D1438" t="s">
        <v>28</v>
      </c>
      <c r="E1438" t="s">
        <v>41</v>
      </c>
      <c r="F1438" t="s">
        <v>37</v>
      </c>
      <c r="G1438" t="s">
        <v>54</v>
      </c>
      <c r="H1438" t="s">
        <v>39</v>
      </c>
      <c r="I1438" s="9">
        <v>180000</v>
      </c>
      <c r="J1438">
        <v>5</v>
      </c>
      <c r="K1438" t="s">
        <v>65</v>
      </c>
      <c r="L1438" s="9">
        <f t="shared" si="22"/>
        <v>144000</v>
      </c>
      <c r="M1438" s="9">
        <f>Table1[[#This Row],[Unit Price]]*Table1[[#This Row],[Quantity]]</f>
        <v>900000</v>
      </c>
      <c r="N1438" s="9">
        <f>Table1[[#This Row],[Cost Price]]*Table1[[#This Row],[Quantity]]</f>
        <v>720000</v>
      </c>
      <c r="O1438" s="9">
        <f>Table1[[#This Row],[Revenue]]-Table1[[#This Row],[COGS]]</f>
        <v>180000</v>
      </c>
      <c r="P1438" s="6">
        <v>1437</v>
      </c>
    </row>
    <row r="1439" spans="1:16">
      <c r="A1439" s="7" t="s">
        <v>144</v>
      </c>
      <c r="B1439" s="7" t="str">
        <f>TEXT(Table1[[#This Row],[Date]],"MMM")</f>
        <v>Feb</v>
      </c>
      <c r="C1439" t="s">
        <v>44</v>
      </c>
      <c r="D1439" t="s">
        <v>36</v>
      </c>
      <c r="E1439" t="s">
        <v>41</v>
      </c>
      <c r="F1439" t="s">
        <v>37</v>
      </c>
      <c r="G1439" t="s">
        <v>62</v>
      </c>
      <c r="H1439" t="s">
        <v>51</v>
      </c>
      <c r="I1439" s="9">
        <v>150000</v>
      </c>
      <c r="J1439">
        <v>5</v>
      </c>
      <c r="K1439" t="s">
        <v>58</v>
      </c>
      <c r="L1439" s="9">
        <f t="shared" si="22"/>
        <v>120000</v>
      </c>
      <c r="M1439" s="9">
        <f>Table1[[#This Row],[Unit Price]]*Table1[[#This Row],[Quantity]]</f>
        <v>750000</v>
      </c>
      <c r="N1439" s="9">
        <f>Table1[[#This Row],[Cost Price]]*Table1[[#This Row],[Quantity]]</f>
        <v>600000</v>
      </c>
      <c r="O1439" s="9">
        <f>Table1[[#This Row],[Revenue]]-Table1[[#This Row],[COGS]]</f>
        <v>150000</v>
      </c>
      <c r="P1439" s="6">
        <v>1438</v>
      </c>
    </row>
    <row r="1440" spans="1:16">
      <c r="A1440" s="7" t="s">
        <v>133</v>
      </c>
      <c r="B1440" s="7" t="str">
        <f>TEXT(Table1[[#This Row],[Date]],"MMM")</f>
        <v>Jan</v>
      </c>
      <c r="C1440" t="s">
        <v>27</v>
      </c>
      <c r="D1440" t="s">
        <v>53</v>
      </c>
      <c r="E1440" t="s">
        <v>29</v>
      </c>
      <c r="F1440" t="s">
        <v>37</v>
      </c>
      <c r="G1440" t="s">
        <v>56</v>
      </c>
      <c r="H1440" t="s">
        <v>32</v>
      </c>
      <c r="I1440" s="9">
        <v>320000</v>
      </c>
      <c r="J1440">
        <v>4</v>
      </c>
      <c r="K1440" t="s">
        <v>69</v>
      </c>
      <c r="L1440" s="9">
        <f t="shared" si="22"/>
        <v>256000</v>
      </c>
      <c r="M1440" s="9">
        <f>Table1[[#This Row],[Unit Price]]*Table1[[#This Row],[Quantity]]</f>
        <v>1280000</v>
      </c>
      <c r="N1440" s="9">
        <f>Table1[[#This Row],[Cost Price]]*Table1[[#This Row],[Quantity]]</f>
        <v>1024000</v>
      </c>
      <c r="O1440" s="9">
        <f>Table1[[#This Row],[Revenue]]-Table1[[#This Row],[COGS]]</f>
        <v>256000</v>
      </c>
      <c r="P1440" s="6">
        <v>1439</v>
      </c>
    </row>
    <row r="1441" spans="1:16">
      <c r="A1441" s="7" t="s">
        <v>110</v>
      </c>
      <c r="B1441" s="7" t="str">
        <f>TEXT(Table1[[#This Row],[Date]],"MMM")</f>
        <v>Jan</v>
      </c>
      <c r="C1441" t="s">
        <v>44</v>
      </c>
      <c r="D1441" t="s">
        <v>45</v>
      </c>
      <c r="E1441" t="s">
        <v>29</v>
      </c>
      <c r="F1441" t="s">
        <v>37</v>
      </c>
      <c r="G1441" t="s">
        <v>54</v>
      </c>
      <c r="H1441" t="s">
        <v>39</v>
      </c>
      <c r="I1441" s="9">
        <v>180000</v>
      </c>
      <c r="J1441">
        <v>10</v>
      </c>
      <c r="K1441" t="s">
        <v>58</v>
      </c>
      <c r="L1441" s="9">
        <f t="shared" si="22"/>
        <v>144000</v>
      </c>
      <c r="M1441" s="9">
        <f>Table1[[#This Row],[Unit Price]]*Table1[[#This Row],[Quantity]]</f>
        <v>1800000</v>
      </c>
      <c r="N1441" s="9">
        <f>Table1[[#This Row],[Cost Price]]*Table1[[#This Row],[Quantity]]</f>
        <v>1440000</v>
      </c>
      <c r="O1441" s="9">
        <f>Table1[[#This Row],[Revenue]]-Table1[[#This Row],[COGS]]</f>
        <v>360000</v>
      </c>
      <c r="P1441" s="6">
        <v>1440</v>
      </c>
    </row>
    <row r="1442" spans="1:16">
      <c r="A1442" s="7" t="s">
        <v>127</v>
      </c>
      <c r="B1442" s="7" t="str">
        <f>TEXT(Table1[[#This Row],[Date]],"MMM")</f>
        <v>Jan</v>
      </c>
      <c r="C1442" t="s">
        <v>49</v>
      </c>
      <c r="D1442" t="s">
        <v>28</v>
      </c>
      <c r="E1442" t="s">
        <v>41</v>
      </c>
      <c r="F1442" t="s">
        <v>37</v>
      </c>
      <c r="G1442" t="s">
        <v>67</v>
      </c>
      <c r="H1442" t="s">
        <v>51</v>
      </c>
      <c r="I1442" s="9">
        <v>420000</v>
      </c>
      <c r="J1442">
        <v>2</v>
      </c>
      <c r="K1442" t="s">
        <v>65</v>
      </c>
      <c r="L1442" s="9">
        <f t="shared" si="22"/>
        <v>336000</v>
      </c>
      <c r="M1442" s="9">
        <f>Table1[[#This Row],[Unit Price]]*Table1[[#This Row],[Quantity]]</f>
        <v>840000</v>
      </c>
      <c r="N1442" s="9">
        <f>Table1[[#This Row],[Cost Price]]*Table1[[#This Row],[Quantity]]</f>
        <v>672000</v>
      </c>
      <c r="O1442" s="9">
        <f>Table1[[#This Row],[Revenue]]-Table1[[#This Row],[COGS]]</f>
        <v>168000</v>
      </c>
      <c r="P1442" s="6">
        <v>1441</v>
      </c>
    </row>
    <row r="1443" spans="1:16">
      <c r="A1443" s="7" t="s">
        <v>90</v>
      </c>
      <c r="B1443" s="7" t="str">
        <f>TEXT(Table1[[#This Row],[Date]],"MMM")</f>
        <v>Feb</v>
      </c>
      <c r="C1443" t="s">
        <v>44</v>
      </c>
      <c r="D1443" t="s">
        <v>28</v>
      </c>
      <c r="E1443" t="s">
        <v>41</v>
      </c>
      <c r="F1443" t="s">
        <v>37</v>
      </c>
      <c r="G1443" t="s">
        <v>62</v>
      </c>
      <c r="H1443" t="s">
        <v>51</v>
      </c>
      <c r="I1443" s="9">
        <v>150000</v>
      </c>
      <c r="J1443">
        <v>6</v>
      </c>
      <c r="K1443" t="s">
        <v>65</v>
      </c>
      <c r="L1443" s="9">
        <f t="shared" si="22"/>
        <v>120000</v>
      </c>
      <c r="M1443" s="9">
        <f>Table1[[#This Row],[Unit Price]]*Table1[[#This Row],[Quantity]]</f>
        <v>900000</v>
      </c>
      <c r="N1443" s="9">
        <f>Table1[[#This Row],[Cost Price]]*Table1[[#This Row],[Quantity]]</f>
        <v>720000</v>
      </c>
      <c r="O1443" s="9">
        <f>Table1[[#This Row],[Revenue]]-Table1[[#This Row],[COGS]]</f>
        <v>180000</v>
      </c>
      <c r="P1443" s="6">
        <v>1442</v>
      </c>
    </row>
    <row r="1444" spans="1:16">
      <c r="A1444" s="7" t="s">
        <v>113</v>
      </c>
      <c r="B1444" s="7" t="str">
        <f>TEXT(Table1[[#This Row],[Date]],"MMM")</f>
        <v>Apr</v>
      </c>
      <c r="C1444" t="s">
        <v>27</v>
      </c>
      <c r="D1444" t="s">
        <v>36</v>
      </c>
      <c r="E1444" t="s">
        <v>41</v>
      </c>
      <c r="F1444" t="s">
        <v>37</v>
      </c>
      <c r="G1444" t="s">
        <v>62</v>
      </c>
      <c r="H1444" t="s">
        <v>51</v>
      </c>
      <c r="I1444" s="9">
        <v>150000</v>
      </c>
      <c r="J1444">
        <v>4</v>
      </c>
      <c r="K1444" t="s">
        <v>42</v>
      </c>
      <c r="L1444" s="9">
        <f t="shared" si="22"/>
        <v>120000</v>
      </c>
      <c r="M1444" s="9">
        <f>Table1[[#This Row],[Unit Price]]*Table1[[#This Row],[Quantity]]</f>
        <v>600000</v>
      </c>
      <c r="N1444" s="9">
        <f>Table1[[#This Row],[Cost Price]]*Table1[[#This Row],[Quantity]]</f>
        <v>480000</v>
      </c>
      <c r="O1444" s="9">
        <f>Table1[[#This Row],[Revenue]]-Table1[[#This Row],[COGS]]</f>
        <v>120000</v>
      </c>
      <c r="P1444" s="6">
        <v>1443</v>
      </c>
    </row>
    <row r="1445" spans="1:16">
      <c r="A1445" s="7" t="s">
        <v>141</v>
      </c>
      <c r="B1445" s="7" t="str">
        <f>TEXT(Table1[[#This Row],[Date]],"MMM")</f>
        <v>Mar</v>
      </c>
      <c r="C1445" t="s">
        <v>35</v>
      </c>
      <c r="D1445" t="s">
        <v>28</v>
      </c>
      <c r="E1445" t="s">
        <v>41</v>
      </c>
      <c r="F1445" t="s">
        <v>37</v>
      </c>
      <c r="G1445" t="s">
        <v>71</v>
      </c>
      <c r="H1445" t="s">
        <v>51</v>
      </c>
      <c r="I1445" s="9">
        <v>250000</v>
      </c>
      <c r="J1445">
        <v>9</v>
      </c>
      <c r="K1445" t="s">
        <v>65</v>
      </c>
      <c r="L1445" s="9">
        <f t="shared" si="22"/>
        <v>200000</v>
      </c>
      <c r="M1445" s="9">
        <f>Table1[[#This Row],[Unit Price]]*Table1[[#This Row],[Quantity]]</f>
        <v>2250000</v>
      </c>
      <c r="N1445" s="9">
        <f>Table1[[#This Row],[Cost Price]]*Table1[[#This Row],[Quantity]]</f>
        <v>1800000</v>
      </c>
      <c r="O1445" s="9">
        <f>Table1[[#This Row],[Revenue]]-Table1[[#This Row],[COGS]]</f>
        <v>450000</v>
      </c>
      <c r="P1445" s="6">
        <v>1444</v>
      </c>
    </row>
    <row r="1446" spans="1:16">
      <c r="A1446" s="7" t="s">
        <v>145</v>
      </c>
      <c r="B1446" s="7" t="str">
        <f>TEXT(Table1[[#This Row],[Date]],"MMM")</f>
        <v>Jan</v>
      </c>
      <c r="C1446" t="s">
        <v>44</v>
      </c>
      <c r="D1446" t="s">
        <v>36</v>
      </c>
      <c r="E1446" t="s">
        <v>41</v>
      </c>
      <c r="F1446" t="s">
        <v>37</v>
      </c>
      <c r="G1446" t="s">
        <v>73</v>
      </c>
      <c r="H1446" t="s">
        <v>39</v>
      </c>
      <c r="I1446" s="9">
        <v>220000</v>
      </c>
      <c r="J1446">
        <v>8</v>
      </c>
      <c r="K1446" t="s">
        <v>69</v>
      </c>
      <c r="L1446" s="9">
        <f t="shared" si="22"/>
        <v>176000</v>
      </c>
      <c r="M1446" s="9">
        <f>Table1[[#This Row],[Unit Price]]*Table1[[#This Row],[Quantity]]</f>
        <v>1760000</v>
      </c>
      <c r="N1446" s="9">
        <f>Table1[[#This Row],[Cost Price]]*Table1[[#This Row],[Quantity]]</f>
        <v>1408000</v>
      </c>
      <c r="O1446" s="9">
        <f>Table1[[#This Row],[Revenue]]-Table1[[#This Row],[COGS]]</f>
        <v>352000</v>
      </c>
      <c r="P1446" s="6">
        <v>1445</v>
      </c>
    </row>
    <row r="1447" spans="1:16">
      <c r="A1447" s="7" t="s">
        <v>168</v>
      </c>
      <c r="B1447" s="7" t="str">
        <f>TEXT(Table1[[#This Row],[Date]],"MMM")</f>
        <v>Apr</v>
      </c>
      <c r="C1447" t="s">
        <v>49</v>
      </c>
      <c r="D1447" t="s">
        <v>45</v>
      </c>
      <c r="E1447" t="s">
        <v>29</v>
      </c>
      <c r="F1447" t="s">
        <v>37</v>
      </c>
      <c r="G1447" t="s">
        <v>62</v>
      </c>
      <c r="H1447" t="s">
        <v>51</v>
      </c>
      <c r="I1447" s="9">
        <v>150000</v>
      </c>
      <c r="J1447">
        <v>2</v>
      </c>
      <c r="K1447" t="s">
        <v>47</v>
      </c>
      <c r="L1447" s="9">
        <f t="shared" si="22"/>
        <v>120000</v>
      </c>
      <c r="M1447" s="9">
        <f>Table1[[#This Row],[Unit Price]]*Table1[[#This Row],[Quantity]]</f>
        <v>300000</v>
      </c>
      <c r="N1447" s="9">
        <f>Table1[[#This Row],[Cost Price]]*Table1[[#This Row],[Quantity]]</f>
        <v>240000</v>
      </c>
      <c r="O1447" s="9">
        <f>Table1[[#This Row],[Revenue]]-Table1[[#This Row],[COGS]]</f>
        <v>60000</v>
      </c>
      <c r="P1447" s="6">
        <v>1446</v>
      </c>
    </row>
    <row r="1448" spans="1:16">
      <c r="A1448" s="7" t="s">
        <v>52</v>
      </c>
      <c r="B1448" s="7" t="str">
        <f>TEXT(Table1[[#This Row],[Date]],"MMM")</f>
        <v>Mar</v>
      </c>
      <c r="C1448" t="s">
        <v>27</v>
      </c>
      <c r="D1448" t="s">
        <v>36</v>
      </c>
      <c r="E1448" t="s">
        <v>41</v>
      </c>
      <c r="F1448" t="s">
        <v>37</v>
      </c>
      <c r="G1448" t="s">
        <v>73</v>
      </c>
      <c r="H1448" t="s">
        <v>39</v>
      </c>
      <c r="I1448" s="9">
        <v>220000</v>
      </c>
      <c r="J1448">
        <v>4</v>
      </c>
      <c r="K1448" t="s">
        <v>47</v>
      </c>
      <c r="L1448" s="9">
        <f t="shared" si="22"/>
        <v>176000</v>
      </c>
      <c r="M1448" s="9">
        <f>Table1[[#This Row],[Unit Price]]*Table1[[#This Row],[Quantity]]</f>
        <v>880000</v>
      </c>
      <c r="N1448" s="9">
        <f>Table1[[#This Row],[Cost Price]]*Table1[[#This Row],[Quantity]]</f>
        <v>704000</v>
      </c>
      <c r="O1448" s="9">
        <f>Table1[[#This Row],[Revenue]]-Table1[[#This Row],[COGS]]</f>
        <v>176000</v>
      </c>
      <c r="P1448" s="6">
        <v>1447</v>
      </c>
    </row>
    <row r="1449" spans="1:16">
      <c r="A1449" s="7" t="s">
        <v>116</v>
      </c>
      <c r="B1449" s="7" t="str">
        <f>TEXT(Table1[[#This Row],[Date]],"MMM")</f>
        <v>Apr</v>
      </c>
      <c r="C1449" t="s">
        <v>44</v>
      </c>
      <c r="D1449" t="s">
        <v>28</v>
      </c>
      <c r="E1449" t="s">
        <v>41</v>
      </c>
      <c r="F1449" t="s">
        <v>37</v>
      </c>
      <c r="G1449" t="s">
        <v>38</v>
      </c>
      <c r="H1449" t="s">
        <v>39</v>
      </c>
      <c r="I1449" s="9">
        <v>30000</v>
      </c>
      <c r="J1449">
        <v>6</v>
      </c>
      <c r="K1449" t="s">
        <v>65</v>
      </c>
      <c r="L1449" s="9">
        <f t="shared" si="22"/>
        <v>24000</v>
      </c>
      <c r="M1449" s="9">
        <f>Table1[[#This Row],[Unit Price]]*Table1[[#This Row],[Quantity]]</f>
        <v>180000</v>
      </c>
      <c r="N1449" s="9">
        <f>Table1[[#This Row],[Cost Price]]*Table1[[#This Row],[Quantity]]</f>
        <v>144000</v>
      </c>
      <c r="O1449" s="9">
        <f>Table1[[#This Row],[Revenue]]-Table1[[#This Row],[COGS]]</f>
        <v>36000</v>
      </c>
      <c r="P1449" s="6">
        <v>1448</v>
      </c>
    </row>
    <row r="1450" spans="1:16">
      <c r="A1450" s="7" t="s">
        <v>144</v>
      </c>
      <c r="B1450" s="7" t="str">
        <f>TEXT(Table1[[#This Row],[Date]],"MMM")</f>
        <v>Feb</v>
      </c>
      <c r="C1450" t="s">
        <v>35</v>
      </c>
      <c r="D1450" t="s">
        <v>53</v>
      </c>
      <c r="E1450" t="s">
        <v>29</v>
      </c>
      <c r="F1450" t="s">
        <v>37</v>
      </c>
      <c r="G1450" t="s">
        <v>31</v>
      </c>
      <c r="H1450" t="s">
        <v>32</v>
      </c>
      <c r="I1450" s="9">
        <v>85000</v>
      </c>
      <c r="J1450">
        <v>3</v>
      </c>
      <c r="K1450" t="s">
        <v>47</v>
      </c>
      <c r="L1450" s="9">
        <f t="shared" si="22"/>
        <v>68000</v>
      </c>
      <c r="M1450" s="9">
        <f>Table1[[#This Row],[Unit Price]]*Table1[[#This Row],[Quantity]]</f>
        <v>255000</v>
      </c>
      <c r="N1450" s="9">
        <f>Table1[[#This Row],[Cost Price]]*Table1[[#This Row],[Quantity]]</f>
        <v>204000</v>
      </c>
      <c r="O1450" s="9">
        <f>Table1[[#This Row],[Revenue]]-Table1[[#This Row],[COGS]]</f>
        <v>51000</v>
      </c>
      <c r="P1450" s="6">
        <v>1449</v>
      </c>
    </row>
    <row r="1451" spans="1:16">
      <c r="A1451" s="7" t="s">
        <v>173</v>
      </c>
      <c r="B1451" s="7" t="str">
        <f>TEXT(Table1[[#This Row],[Date]],"MMM")</f>
        <v>Mar</v>
      </c>
      <c r="C1451" t="s">
        <v>35</v>
      </c>
      <c r="D1451" t="s">
        <v>36</v>
      </c>
      <c r="E1451" t="s">
        <v>29</v>
      </c>
      <c r="F1451" t="s">
        <v>37</v>
      </c>
      <c r="G1451" t="s">
        <v>31</v>
      </c>
      <c r="H1451" t="s">
        <v>32</v>
      </c>
      <c r="I1451" s="9">
        <v>85000</v>
      </c>
      <c r="J1451">
        <v>2</v>
      </c>
      <c r="K1451" t="s">
        <v>33</v>
      </c>
      <c r="L1451" s="9">
        <f t="shared" si="22"/>
        <v>68000</v>
      </c>
      <c r="M1451" s="9">
        <f>Table1[[#This Row],[Unit Price]]*Table1[[#This Row],[Quantity]]</f>
        <v>170000</v>
      </c>
      <c r="N1451" s="9">
        <f>Table1[[#This Row],[Cost Price]]*Table1[[#This Row],[Quantity]]</f>
        <v>136000</v>
      </c>
      <c r="O1451" s="9">
        <f>Table1[[#This Row],[Revenue]]-Table1[[#This Row],[COGS]]</f>
        <v>34000</v>
      </c>
      <c r="P1451" s="6">
        <v>1450</v>
      </c>
    </row>
    <row r="1452" spans="1:16">
      <c r="A1452" s="7" t="s">
        <v>88</v>
      </c>
      <c r="B1452" s="7" t="str">
        <f>TEXT(Table1[[#This Row],[Date]],"MMM")</f>
        <v>Feb</v>
      </c>
      <c r="C1452" t="s">
        <v>49</v>
      </c>
      <c r="D1452" t="s">
        <v>36</v>
      </c>
      <c r="E1452" t="s">
        <v>29</v>
      </c>
      <c r="F1452" t="s">
        <v>37</v>
      </c>
      <c r="G1452" t="s">
        <v>71</v>
      </c>
      <c r="H1452" t="s">
        <v>51</v>
      </c>
      <c r="I1452" s="9">
        <v>250000</v>
      </c>
      <c r="J1452">
        <v>10</v>
      </c>
      <c r="K1452" t="s">
        <v>47</v>
      </c>
      <c r="L1452" s="9">
        <f t="shared" si="22"/>
        <v>200000</v>
      </c>
      <c r="M1452" s="9">
        <f>Table1[[#This Row],[Unit Price]]*Table1[[#This Row],[Quantity]]</f>
        <v>2500000</v>
      </c>
      <c r="N1452" s="9">
        <f>Table1[[#This Row],[Cost Price]]*Table1[[#This Row],[Quantity]]</f>
        <v>2000000</v>
      </c>
      <c r="O1452" s="9">
        <f>Table1[[#This Row],[Revenue]]-Table1[[#This Row],[COGS]]</f>
        <v>500000</v>
      </c>
      <c r="P1452" s="6">
        <v>1451</v>
      </c>
    </row>
    <row r="1453" spans="1:16">
      <c r="A1453" s="7" t="s">
        <v>93</v>
      </c>
      <c r="B1453" s="7" t="str">
        <f>TEXT(Table1[[#This Row],[Date]],"MMM")</f>
        <v>Apr</v>
      </c>
      <c r="C1453" t="s">
        <v>27</v>
      </c>
      <c r="D1453" t="s">
        <v>36</v>
      </c>
      <c r="E1453" t="s">
        <v>41</v>
      </c>
      <c r="F1453" t="s">
        <v>37</v>
      </c>
      <c r="G1453" t="s">
        <v>73</v>
      </c>
      <c r="H1453" t="s">
        <v>39</v>
      </c>
      <c r="I1453" s="9">
        <v>220000</v>
      </c>
      <c r="J1453">
        <v>2</v>
      </c>
      <c r="K1453" t="s">
        <v>65</v>
      </c>
      <c r="L1453" s="9">
        <f t="shared" si="22"/>
        <v>176000</v>
      </c>
      <c r="M1453" s="9">
        <f>Table1[[#This Row],[Unit Price]]*Table1[[#This Row],[Quantity]]</f>
        <v>440000</v>
      </c>
      <c r="N1453" s="9">
        <f>Table1[[#This Row],[Cost Price]]*Table1[[#This Row],[Quantity]]</f>
        <v>352000</v>
      </c>
      <c r="O1453" s="9">
        <f>Table1[[#This Row],[Revenue]]-Table1[[#This Row],[COGS]]</f>
        <v>88000</v>
      </c>
      <c r="P1453" s="6">
        <v>1452</v>
      </c>
    </row>
    <row r="1454" spans="1:16">
      <c r="A1454" s="7" t="s">
        <v>153</v>
      </c>
      <c r="B1454" s="7" t="str">
        <f>TEXT(Table1[[#This Row],[Date]],"MMM")</f>
        <v>Mar</v>
      </c>
      <c r="C1454" t="s">
        <v>27</v>
      </c>
      <c r="D1454" t="s">
        <v>28</v>
      </c>
      <c r="E1454" t="s">
        <v>41</v>
      </c>
      <c r="F1454" t="s">
        <v>37</v>
      </c>
      <c r="G1454" t="s">
        <v>50</v>
      </c>
      <c r="H1454" t="s">
        <v>51</v>
      </c>
      <c r="I1454" s="9">
        <v>300000</v>
      </c>
      <c r="J1454">
        <v>9</v>
      </c>
      <c r="K1454" t="s">
        <v>65</v>
      </c>
      <c r="L1454" s="9">
        <f t="shared" si="22"/>
        <v>240000</v>
      </c>
      <c r="M1454" s="9">
        <f>Table1[[#This Row],[Unit Price]]*Table1[[#This Row],[Quantity]]</f>
        <v>2700000</v>
      </c>
      <c r="N1454" s="9">
        <f>Table1[[#This Row],[Cost Price]]*Table1[[#This Row],[Quantity]]</f>
        <v>2160000</v>
      </c>
      <c r="O1454" s="9">
        <f>Table1[[#This Row],[Revenue]]-Table1[[#This Row],[COGS]]</f>
        <v>540000</v>
      </c>
      <c r="P1454" s="6">
        <v>1453</v>
      </c>
    </row>
    <row r="1455" spans="1:16">
      <c r="A1455" s="7" t="s">
        <v>120</v>
      </c>
      <c r="B1455" s="7" t="str">
        <f>TEXT(Table1[[#This Row],[Date]],"MMM")</f>
        <v>Mar</v>
      </c>
      <c r="C1455" t="s">
        <v>35</v>
      </c>
      <c r="D1455" t="s">
        <v>53</v>
      </c>
      <c r="E1455" t="s">
        <v>29</v>
      </c>
      <c r="F1455" t="s">
        <v>37</v>
      </c>
      <c r="G1455" t="s">
        <v>73</v>
      </c>
      <c r="H1455" t="s">
        <v>39</v>
      </c>
      <c r="I1455" s="9">
        <v>220000</v>
      </c>
      <c r="J1455">
        <v>3</v>
      </c>
      <c r="K1455" t="s">
        <v>42</v>
      </c>
      <c r="L1455" s="9">
        <f t="shared" si="22"/>
        <v>176000</v>
      </c>
      <c r="M1455" s="9">
        <f>Table1[[#This Row],[Unit Price]]*Table1[[#This Row],[Quantity]]</f>
        <v>660000</v>
      </c>
      <c r="N1455" s="9">
        <f>Table1[[#This Row],[Cost Price]]*Table1[[#This Row],[Quantity]]</f>
        <v>528000</v>
      </c>
      <c r="O1455" s="9">
        <f>Table1[[#This Row],[Revenue]]-Table1[[#This Row],[COGS]]</f>
        <v>132000</v>
      </c>
      <c r="P1455" s="6">
        <v>1454</v>
      </c>
    </row>
    <row r="1456" spans="1:16">
      <c r="A1456" s="7" t="s">
        <v>63</v>
      </c>
      <c r="B1456" s="7" t="str">
        <f>TEXT(Table1[[#This Row],[Date]],"MMM")</f>
        <v>Jan</v>
      </c>
      <c r="C1456" t="s">
        <v>35</v>
      </c>
      <c r="D1456" t="s">
        <v>53</v>
      </c>
      <c r="E1456" t="s">
        <v>41</v>
      </c>
      <c r="F1456" t="s">
        <v>37</v>
      </c>
      <c r="G1456" t="s">
        <v>71</v>
      </c>
      <c r="H1456" t="s">
        <v>51</v>
      </c>
      <c r="I1456" s="9">
        <v>250000</v>
      </c>
      <c r="J1456">
        <v>8</v>
      </c>
      <c r="K1456" t="s">
        <v>47</v>
      </c>
      <c r="L1456" s="9">
        <f t="shared" si="22"/>
        <v>200000</v>
      </c>
      <c r="M1456" s="9">
        <f>Table1[[#This Row],[Unit Price]]*Table1[[#This Row],[Quantity]]</f>
        <v>2000000</v>
      </c>
      <c r="N1456" s="9">
        <f>Table1[[#This Row],[Cost Price]]*Table1[[#This Row],[Quantity]]</f>
        <v>1600000</v>
      </c>
      <c r="O1456" s="9">
        <f>Table1[[#This Row],[Revenue]]-Table1[[#This Row],[COGS]]</f>
        <v>400000</v>
      </c>
      <c r="P1456" s="6">
        <v>1455</v>
      </c>
    </row>
    <row r="1457" spans="1:16">
      <c r="A1457" s="7" t="s">
        <v>110</v>
      </c>
      <c r="B1457" s="7" t="str">
        <f>TEXT(Table1[[#This Row],[Date]],"MMM")</f>
        <v>Jan</v>
      </c>
      <c r="C1457" t="s">
        <v>44</v>
      </c>
      <c r="D1457" t="s">
        <v>36</v>
      </c>
      <c r="E1457" t="s">
        <v>41</v>
      </c>
      <c r="F1457" t="s">
        <v>37</v>
      </c>
      <c r="G1457" t="s">
        <v>71</v>
      </c>
      <c r="H1457" t="s">
        <v>51</v>
      </c>
      <c r="I1457" s="9">
        <v>250000</v>
      </c>
      <c r="J1457">
        <v>5</v>
      </c>
      <c r="K1457" t="s">
        <v>69</v>
      </c>
      <c r="L1457" s="9">
        <f t="shared" si="22"/>
        <v>200000</v>
      </c>
      <c r="M1457" s="9">
        <f>Table1[[#This Row],[Unit Price]]*Table1[[#This Row],[Quantity]]</f>
        <v>1250000</v>
      </c>
      <c r="N1457" s="9">
        <f>Table1[[#This Row],[Cost Price]]*Table1[[#This Row],[Quantity]]</f>
        <v>1000000</v>
      </c>
      <c r="O1457" s="9">
        <f>Table1[[#This Row],[Revenue]]-Table1[[#This Row],[COGS]]</f>
        <v>250000</v>
      </c>
      <c r="P1457" s="6">
        <v>1456</v>
      </c>
    </row>
    <row r="1458" spans="1:16">
      <c r="A1458" s="7" t="s">
        <v>151</v>
      </c>
      <c r="B1458" s="7" t="str">
        <f>TEXT(Table1[[#This Row],[Date]],"MMM")</f>
        <v>Feb</v>
      </c>
      <c r="C1458" t="s">
        <v>49</v>
      </c>
      <c r="D1458" t="s">
        <v>53</v>
      </c>
      <c r="E1458" t="s">
        <v>29</v>
      </c>
      <c r="F1458" t="s">
        <v>37</v>
      </c>
      <c r="G1458" t="s">
        <v>67</v>
      </c>
      <c r="H1458" t="s">
        <v>51</v>
      </c>
      <c r="I1458" s="9">
        <v>420000</v>
      </c>
      <c r="J1458">
        <v>5</v>
      </c>
      <c r="K1458" t="s">
        <v>42</v>
      </c>
      <c r="L1458" s="9">
        <f t="shared" si="22"/>
        <v>336000</v>
      </c>
      <c r="M1458" s="9">
        <f>Table1[[#This Row],[Unit Price]]*Table1[[#This Row],[Quantity]]</f>
        <v>2100000</v>
      </c>
      <c r="N1458" s="9">
        <f>Table1[[#This Row],[Cost Price]]*Table1[[#This Row],[Quantity]]</f>
        <v>1680000</v>
      </c>
      <c r="O1458" s="9">
        <f>Table1[[#This Row],[Revenue]]-Table1[[#This Row],[COGS]]</f>
        <v>420000</v>
      </c>
      <c r="P1458" s="6">
        <v>1457</v>
      </c>
    </row>
    <row r="1459" spans="1:16">
      <c r="A1459" s="7" t="s">
        <v>86</v>
      </c>
      <c r="B1459" s="7" t="str">
        <f>TEXT(Table1[[#This Row],[Date]],"MMM")</f>
        <v>Feb</v>
      </c>
      <c r="C1459" t="s">
        <v>44</v>
      </c>
      <c r="D1459" t="s">
        <v>36</v>
      </c>
      <c r="E1459" t="s">
        <v>29</v>
      </c>
      <c r="F1459" t="s">
        <v>37</v>
      </c>
      <c r="G1459" t="s">
        <v>46</v>
      </c>
      <c r="H1459" t="s">
        <v>39</v>
      </c>
      <c r="I1459" s="9">
        <v>60000</v>
      </c>
      <c r="J1459">
        <v>7</v>
      </c>
      <c r="K1459" t="s">
        <v>69</v>
      </c>
      <c r="L1459" s="9">
        <f t="shared" si="22"/>
        <v>48000</v>
      </c>
      <c r="M1459" s="9">
        <f>Table1[[#This Row],[Unit Price]]*Table1[[#This Row],[Quantity]]</f>
        <v>420000</v>
      </c>
      <c r="N1459" s="9">
        <f>Table1[[#This Row],[Cost Price]]*Table1[[#This Row],[Quantity]]</f>
        <v>336000</v>
      </c>
      <c r="O1459" s="9">
        <f>Table1[[#This Row],[Revenue]]-Table1[[#This Row],[COGS]]</f>
        <v>84000</v>
      </c>
      <c r="P1459" s="6">
        <v>1458</v>
      </c>
    </row>
    <row r="1460" spans="1:16">
      <c r="A1460" s="7" t="s">
        <v>116</v>
      </c>
      <c r="B1460" s="7" t="str">
        <f>TEXT(Table1[[#This Row],[Date]],"MMM")</f>
        <v>Apr</v>
      </c>
      <c r="C1460" t="s">
        <v>35</v>
      </c>
      <c r="D1460" t="s">
        <v>45</v>
      </c>
      <c r="E1460" t="s">
        <v>29</v>
      </c>
      <c r="F1460" t="s">
        <v>37</v>
      </c>
      <c r="G1460" t="s">
        <v>38</v>
      </c>
      <c r="H1460" t="s">
        <v>39</v>
      </c>
      <c r="I1460" s="9">
        <v>30000</v>
      </c>
      <c r="J1460">
        <v>8</v>
      </c>
      <c r="K1460" t="s">
        <v>33</v>
      </c>
      <c r="L1460" s="9">
        <f t="shared" si="22"/>
        <v>24000</v>
      </c>
      <c r="M1460" s="9">
        <f>Table1[[#This Row],[Unit Price]]*Table1[[#This Row],[Quantity]]</f>
        <v>240000</v>
      </c>
      <c r="N1460" s="9">
        <f>Table1[[#This Row],[Cost Price]]*Table1[[#This Row],[Quantity]]</f>
        <v>192000</v>
      </c>
      <c r="O1460" s="9">
        <f>Table1[[#This Row],[Revenue]]-Table1[[#This Row],[COGS]]</f>
        <v>48000</v>
      </c>
      <c r="P1460" s="6">
        <v>1459</v>
      </c>
    </row>
    <row r="1461" spans="1:16">
      <c r="A1461" s="7" t="s">
        <v>75</v>
      </c>
      <c r="B1461" s="7" t="str">
        <f>TEXT(Table1[[#This Row],[Date]],"MMM")</f>
        <v>Mar</v>
      </c>
      <c r="C1461" t="s">
        <v>49</v>
      </c>
      <c r="D1461" t="s">
        <v>28</v>
      </c>
      <c r="E1461" t="s">
        <v>41</v>
      </c>
      <c r="F1461" t="s">
        <v>37</v>
      </c>
      <c r="G1461" t="s">
        <v>71</v>
      </c>
      <c r="H1461" t="s">
        <v>51</v>
      </c>
      <c r="I1461" s="9">
        <v>250000</v>
      </c>
      <c r="J1461">
        <v>2</v>
      </c>
      <c r="K1461" t="s">
        <v>47</v>
      </c>
      <c r="L1461" s="9">
        <f t="shared" si="22"/>
        <v>200000</v>
      </c>
      <c r="M1461" s="9">
        <f>Table1[[#This Row],[Unit Price]]*Table1[[#This Row],[Quantity]]</f>
        <v>500000</v>
      </c>
      <c r="N1461" s="9">
        <f>Table1[[#This Row],[Cost Price]]*Table1[[#This Row],[Quantity]]</f>
        <v>400000</v>
      </c>
      <c r="O1461" s="9">
        <f>Table1[[#This Row],[Revenue]]-Table1[[#This Row],[COGS]]</f>
        <v>100000</v>
      </c>
      <c r="P1461" s="6">
        <v>1460</v>
      </c>
    </row>
    <row r="1462" spans="1:16">
      <c r="A1462" s="7" t="s">
        <v>79</v>
      </c>
      <c r="B1462" s="7" t="str">
        <f>TEXT(Table1[[#This Row],[Date]],"MMM")</f>
        <v>Feb</v>
      </c>
      <c r="C1462" t="s">
        <v>35</v>
      </c>
      <c r="D1462" t="s">
        <v>28</v>
      </c>
      <c r="E1462" t="s">
        <v>29</v>
      </c>
      <c r="F1462" t="s">
        <v>37</v>
      </c>
      <c r="G1462" t="s">
        <v>46</v>
      </c>
      <c r="H1462" t="s">
        <v>39</v>
      </c>
      <c r="I1462" s="9">
        <v>60000</v>
      </c>
      <c r="J1462">
        <v>8</v>
      </c>
      <c r="K1462" t="s">
        <v>69</v>
      </c>
      <c r="L1462" s="9">
        <f t="shared" si="22"/>
        <v>48000</v>
      </c>
      <c r="M1462" s="9">
        <f>Table1[[#This Row],[Unit Price]]*Table1[[#This Row],[Quantity]]</f>
        <v>480000</v>
      </c>
      <c r="N1462" s="9">
        <f>Table1[[#This Row],[Cost Price]]*Table1[[#This Row],[Quantity]]</f>
        <v>384000</v>
      </c>
      <c r="O1462" s="9">
        <f>Table1[[#This Row],[Revenue]]-Table1[[#This Row],[COGS]]</f>
        <v>96000</v>
      </c>
      <c r="P1462" s="6">
        <v>1461</v>
      </c>
    </row>
    <row r="1463" spans="1:16">
      <c r="A1463" s="7" t="s">
        <v>162</v>
      </c>
      <c r="B1463" s="7" t="str">
        <f>TEXT(Table1[[#This Row],[Date]],"MMM")</f>
        <v>Apr</v>
      </c>
      <c r="C1463" t="s">
        <v>27</v>
      </c>
      <c r="D1463" t="s">
        <v>28</v>
      </c>
      <c r="E1463" t="s">
        <v>29</v>
      </c>
      <c r="F1463" t="s">
        <v>37</v>
      </c>
      <c r="G1463" t="s">
        <v>38</v>
      </c>
      <c r="H1463" t="s">
        <v>39</v>
      </c>
      <c r="I1463" s="9">
        <v>30000</v>
      </c>
      <c r="J1463">
        <v>7</v>
      </c>
      <c r="K1463" t="s">
        <v>65</v>
      </c>
      <c r="L1463" s="9">
        <f t="shared" si="22"/>
        <v>24000</v>
      </c>
      <c r="M1463" s="9">
        <f>Table1[[#This Row],[Unit Price]]*Table1[[#This Row],[Quantity]]</f>
        <v>210000</v>
      </c>
      <c r="N1463" s="9">
        <f>Table1[[#This Row],[Cost Price]]*Table1[[#This Row],[Quantity]]</f>
        <v>168000</v>
      </c>
      <c r="O1463" s="9">
        <f>Table1[[#This Row],[Revenue]]-Table1[[#This Row],[COGS]]</f>
        <v>42000</v>
      </c>
      <c r="P1463" s="6">
        <v>1462</v>
      </c>
    </row>
    <row r="1464" spans="1:16">
      <c r="A1464" s="7" t="s">
        <v>125</v>
      </c>
      <c r="B1464" s="7" t="str">
        <f>TEXT(Table1[[#This Row],[Date]],"MMM")</f>
        <v>Feb</v>
      </c>
      <c r="C1464" t="s">
        <v>44</v>
      </c>
      <c r="D1464" t="s">
        <v>36</v>
      </c>
      <c r="E1464" t="s">
        <v>41</v>
      </c>
      <c r="F1464" t="s">
        <v>37</v>
      </c>
      <c r="G1464" t="s">
        <v>38</v>
      </c>
      <c r="H1464" t="s">
        <v>39</v>
      </c>
      <c r="I1464" s="9">
        <v>30000</v>
      </c>
      <c r="J1464">
        <v>3</v>
      </c>
      <c r="K1464" t="s">
        <v>33</v>
      </c>
      <c r="L1464" s="9">
        <f t="shared" si="22"/>
        <v>24000</v>
      </c>
      <c r="M1464" s="9">
        <f>Table1[[#This Row],[Unit Price]]*Table1[[#This Row],[Quantity]]</f>
        <v>90000</v>
      </c>
      <c r="N1464" s="9">
        <f>Table1[[#This Row],[Cost Price]]*Table1[[#This Row],[Quantity]]</f>
        <v>72000</v>
      </c>
      <c r="O1464" s="9">
        <f>Table1[[#This Row],[Revenue]]-Table1[[#This Row],[COGS]]</f>
        <v>18000</v>
      </c>
      <c r="P1464" s="6">
        <v>1463</v>
      </c>
    </row>
    <row r="1465" spans="1:16">
      <c r="A1465" s="7" t="s">
        <v>143</v>
      </c>
      <c r="B1465" s="7" t="str">
        <f>TEXT(Table1[[#This Row],[Date]],"MMM")</f>
        <v>Apr</v>
      </c>
      <c r="C1465" t="s">
        <v>44</v>
      </c>
      <c r="D1465" t="s">
        <v>45</v>
      </c>
      <c r="E1465" t="s">
        <v>41</v>
      </c>
      <c r="F1465" t="s">
        <v>37</v>
      </c>
      <c r="G1465" t="s">
        <v>54</v>
      </c>
      <c r="H1465" t="s">
        <v>39</v>
      </c>
      <c r="I1465" s="9">
        <v>180000</v>
      </c>
      <c r="J1465">
        <v>5</v>
      </c>
      <c r="K1465" t="s">
        <v>65</v>
      </c>
      <c r="L1465" s="9">
        <f t="shared" si="22"/>
        <v>144000</v>
      </c>
      <c r="M1465" s="9">
        <f>Table1[[#This Row],[Unit Price]]*Table1[[#This Row],[Quantity]]</f>
        <v>900000</v>
      </c>
      <c r="N1465" s="9">
        <f>Table1[[#This Row],[Cost Price]]*Table1[[#This Row],[Quantity]]</f>
        <v>720000</v>
      </c>
      <c r="O1465" s="9">
        <f>Table1[[#This Row],[Revenue]]-Table1[[#This Row],[COGS]]</f>
        <v>180000</v>
      </c>
      <c r="P1465" s="6">
        <v>1464</v>
      </c>
    </row>
    <row r="1466" spans="1:16">
      <c r="A1466" s="7" t="s">
        <v>82</v>
      </c>
      <c r="B1466" s="7" t="str">
        <f>TEXT(Table1[[#This Row],[Date]],"MMM")</f>
        <v>Mar</v>
      </c>
      <c r="C1466" t="s">
        <v>35</v>
      </c>
      <c r="D1466" t="s">
        <v>53</v>
      </c>
      <c r="E1466" t="s">
        <v>29</v>
      </c>
      <c r="F1466" t="s">
        <v>37</v>
      </c>
      <c r="G1466" t="s">
        <v>71</v>
      </c>
      <c r="H1466" t="s">
        <v>51</v>
      </c>
      <c r="I1466" s="9">
        <v>250000</v>
      </c>
      <c r="J1466">
        <v>5</v>
      </c>
      <c r="K1466" t="s">
        <v>58</v>
      </c>
      <c r="L1466" s="9">
        <f t="shared" si="22"/>
        <v>200000</v>
      </c>
      <c r="M1466" s="9">
        <f>Table1[[#This Row],[Unit Price]]*Table1[[#This Row],[Quantity]]</f>
        <v>1250000</v>
      </c>
      <c r="N1466" s="9">
        <f>Table1[[#This Row],[Cost Price]]*Table1[[#This Row],[Quantity]]</f>
        <v>1000000</v>
      </c>
      <c r="O1466" s="9">
        <f>Table1[[#This Row],[Revenue]]-Table1[[#This Row],[COGS]]</f>
        <v>250000</v>
      </c>
      <c r="P1466" s="6">
        <v>1465</v>
      </c>
    </row>
    <row r="1467" spans="1:16">
      <c r="A1467" s="7" t="s">
        <v>68</v>
      </c>
      <c r="B1467" s="7" t="str">
        <f>TEXT(Table1[[#This Row],[Date]],"MMM")</f>
        <v>Mar</v>
      </c>
      <c r="C1467" t="s">
        <v>35</v>
      </c>
      <c r="D1467" t="s">
        <v>28</v>
      </c>
      <c r="E1467" t="s">
        <v>29</v>
      </c>
      <c r="F1467" t="s">
        <v>37</v>
      </c>
      <c r="G1467" t="s">
        <v>31</v>
      </c>
      <c r="H1467" t="s">
        <v>32</v>
      </c>
      <c r="I1467" s="9">
        <v>85000</v>
      </c>
      <c r="J1467">
        <v>3</v>
      </c>
      <c r="K1467" t="s">
        <v>65</v>
      </c>
      <c r="L1467" s="9">
        <f t="shared" si="22"/>
        <v>68000</v>
      </c>
      <c r="M1467" s="9">
        <f>Table1[[#This Row],[Unit Price]]*Table1[[#This Row],[Quantity]]</f>
        <v>255000</v>
      </c>
      <c r="N1467" s="9">
        <f>Table1[[#This Row],[Cost Price]]*Table1[[#This Row],[Quantity]]</f>
        <v>204000</v>
      </c>
      <c r="O1467" s="9">
        <f>Table1[[#This Row],[Revenue]]-Table1[[#This Row],[COGS]]</f>
        <v>51000</v>
      </c>
      <c r="P1467" s="6">
        <v>1466</v>
      </c>
    </row>
    <row r="1468" spans="1:16">
      <c r="A1468" s="7" t="s">
        <v>142</v>
      </c>
      <c r="B1468" s="7" t="str">
        <f>TEXT(Table1[[#This Row],[Date]],"MMM")</f>
        <v>Apr</v>
      </c>
      <c r="C1468" t="s">
        <v>49</v>
      </c>
      <c r="D1468" t="s">
        <v>28</v>
      </c>
      <c r="E1468" t="s">
        <v>41</v>
      </c>
      <c r="F1468" t="s">
        <v>37</v>
      </c>
      <c r="G1468" t="s">
        <v>38</v>
      </c>
      <c r="H1468" t="s">
        <v>39</v>
      </c>
      <c r="I1468" s="9">
        <v>30000</v>
      </c>
      <c r="J1468">
        <v>1</v>
      </c>
      <c r="K1468" t="s">
        <v>42</v>
      </c>
      <c r="L1468" s="9">
        <f t="shared" si="22"/>
        <v>24000</v>
      </c>
      <c r="M1468" s="9">
        <f>Table1[[#This Row],[Unit Price]]*Table1[[#This Row],[Quantity]]</f>
        <v>30000</v>
      </c>
      <c r="N1468" s="9">
        <f>Table1[[#This Row],[Cost Price]]*Table1[[#This Row],[Quantity]]</f>
        <v>24000</v>
      </c>
      <c r="O1468" s="9">
        <f>Table1[[#This Row],[Revenue]]-Table1[[#This Row],[COGS]]</f>
        <v>6000</v>
      </c>
      <c r="P1468" s="6">
        <v>1467</v>
      </c>
    </row>
    <row r="1469" spans="1:16">
      <c r="A1469" s="7" t="s">
        <v>161</v>
      </c>
      <c r="B1469" s="7" t="str">
        <f>TEXT(Table1[[#This Row],[Date]],"MMM")</f>
        <v>Mar</v>
      </c>
      <c r="C1469" t="s">
        <v>44</v>
      </c>
      <c r="D1469" t="s">
        <v>45</v>
      </c>
      <c r="E1469" t="s">
        <v>41</v>
      </c>
      <c r="F1469" t="s">
        <v>37</v>
      </c>
      <c r="G1469" t="s">
        <v>50</v>
      </c>
      <c r="H1469" t="s">
        <v>51</v>
      </c>
      <c r="I1469" s="9">
        <v>300000</v>
      </c>
      <c r="J1469">
        <v>10</v>
      </c>
      <c r="K1469" t="s">
        <v>58</v>
      </c>
      <c r="L1469" s="9">
        <f t="shared" si="22"/>
        <v>240000</v>
      </c>
      <c r="M1469" s="9">
        <f>Table1[[#This Row],[Unit Price]]*Table1[[#This Row],[Quantity]]</f>
        <v>3000000</v>
      </c>
      <c r="N1469" s="9">
        <f>Table1[[#This Row],[Cost Price]]*Table1[[#This Row],[Quantity]]</f>
        <v>2400000</v>
      </c>
      <c r="O1469" s="9">
        <f>Table1[[#This Row],[Revenue]]-Table1[[#This Row],[COGS]]</f>
        <v>600000</v>
      </c>
      <c r="P1469" s="6">
        <v>1468</v>
      </c>
    </row>
    <row r="1470" spans="1:16">
      <c r="A1470" s="7" t="s">
        <v>95</v>
      </c>
      <c r="B1470" s="7" t="str">
        <f>TEXT(Table1[[#This Row],[Date]],"MMM")</f>
        <v>Feb</v>
      </c>
      <c r="C1470" t="s">
        <v>44</v>
      </c>
      <c r="D1470" t="s">
        <v>36</v>
      </c>
      <c r="E1470" t="s">
        <v>41</v>
      </c>
      <c r="F1470" t="s">
        <v>37</v>
      </c>
      <c r="G1470" t="s">
        <v>67</v>
      </c>
      <c r="H1470" t="s">
        <v>51</v>
      </c>
      <c r="I1470" s="9">
        <v>420000</v>
      </c>
      <c r="J1470">
        <v>5</v>
      </c>
      <c r="K1470" t="s">
        <v>65</v>
      </c>
      <c r="L1470" s="9">
        <f t="shared" si="22"/>
        <v>336000</v>
      </c>
      <c r="M1470" s="9">
        <f>Table1[[#This Row],[Unit Price]]*Table1[[#This Row],[Quantity]]</f>
        <v>2100000</v>
      </c>
      <c r="N1470" s="9">
        <f>Table1[[#This Row],[Cost Price]]*Table1[[#This Row],[Quantity]]</f>
        <v>1680000</v>
      </c>
      <c r="O1470" s="9">
        <f>Table1[[#This Row],[Revenue]]-Table1[[#This Row],[COGS]]</f>
        <v>420000</v>
      </c>
      <c r="P1470" s="6">
        <v>1469</v>
      </c>
    </row>
    <row r="1471" spans="1:16">
      <c r="A1471" s="7" t="s">
        <v>70</v>
      </c>
      <c r="B1471" s="7" t="str">
        <f>TEXT(Table1[[#This Row],[Date]],"MMM")</f>
        <v>Apr</v>
      </c>
      <c r="C1471" t="s">
        <v>35</v>
      </c>
      <c r="D1471" t="s">
        <v>28</v>
      </c>
      <c r="E1471" t="s">
        <v>41</v>
      </c>
      <c r="F1471" t="s">
        <v>37</v>
      </c>
      <c r="G1471" t="s">
        <v>71</v>
      </c>
      <c r="H1471" t="s">
        <v>51</v>
      </c>
      <c r="I1471" s="9">
        <v>250000</v>
      </c>
      <c r="J1471">
        <v>4</v>
      </c>
      <c r="K1471" t="s">
        <v>65</v>
      </c>
      <c r="L1471" s="9">
        <f t="shared" si="22"/>
        <v>200000</v>
      </c>
      <c r="M1471" s="9">
        <f>Table1[[#This Row],[Unit Price]]*Table1[[#This Row],[Quantity]]</f>
        <v>1000000</v>
      </c>
      <c r="N1471" s="9">
        <f>Table1[[#This Row],[Cost Price]]*Table1[[#This Row],[Quantity]]</f>
        <v>800000</v>
      </c>
      <c r="O1471" s="9">
        <f>Table1[[#This Row],[Revenue]]-Table1[[#This Row],[COGS]]</f>
        <v>200000</v>
      </c>
      <c r="P1471" s="6">
        <v>1470</v>
      </c>
    </row>
    <row r="1472" spans="1:16">
      <c r="A1472" s="7" t="s">
        <v>96</v>
      </c>
      <c r="B1472" s="7" t="str">
        <f>TEXT(Table1[[#This Row],[Date]],"MMM")</f>
        <v>Mar</v>
      </c>
      <c r="C1472" t="s">
        <v>44</v>
      </c>
      <c r="D1472" t="s">
        <v>45</v>
      </c>
      <c r="E1472" t="s">
        <v>29</v>
      </c>
      <c r="F1472" t="s">
        <v>37</v>
      </c>
      <c r="G1472" t="s">
        <v>73</v>
      </c>
      <c r="H1472" t="s">
        <v>39</v>
      </c>
      <c r="I1472" s="9">
        <v>220000</v>
      </c>
      <c r="J1472">
        <v>3</v>
      </c>
      <c r="K1472" t="s">
        <v>33</v>
      </c>
      <c r="L1472" s="9">
        <f t="shared" si="22"/>
        <v>176000</v>
      </c>
      <c r="M1472" s="9">
        <f>Table1[[#This Row],[Unit Price]]*Table1[[#This Row],[Quantity]]</f>
        <v>660000</v>
      </c>
      <c r="N1472" s="9">
        <f>Table1[[#This Row],[Cost Price]]*Table1[[#This Row],[Quantity]]</f>
        <v>528000</v>
      </c>
      <c r="O1472" s="9">
        <f>Table1[[#This Row],[Revenue]]-Table1[[#This Row],[COGS]]</f>
        <v>132000</v>
      </c>
      <c r="P1472" s="6">
        <v>1471</v>
      </c>
    </row>
    <row r="1473" spans="1:16">
      <c r="A1473" s="7" t="s">
        <v>104</v>
      </c>
      <c r="B1473" s="7" t="str">
        <f>TEXT(Table1[[#This Row],[Date]],"MMM")</f>
        <v>Mar</v>
      </c>
      <c r="C1473" t="s">
        <v>49</v>
      </c>
      <c r="D1473" t="s">
        <v>53</v>
      </c>
      <c r="E1473" t="s">
        <v>29</v>
      </c>
      <c r="F1473" t="s">
        <v>37</v>
      </c>
      <c r="G1473" t="s">
        <v>56</v>
      </c>
      <c r="H1473" t="s">
        <v>32</v>
      </c>
      <c r="I1473" s="9">
        <v>320000</v>
      </c>
      <c r="J1473">
        <v>2</v>
      </c>
      <c r="K1473" t="s">
        <v>47</v>
      </c>
      <c r="L1473" s="9">
        <f t="shared" si="22"/>
        <v>256000</v>
      </c>
      <c r="M1473" s="9">
        <f>Table1[[#This Row],[Unit Price]]*Table1[[#This Row],[Quantity]]</f>
        <v>640000</v>
      </c>
      <c r="N1473" s="9">
        <f>Table1[[#This Row],[Cost Price]]*Table1[[#This Row],[Quantity]]</f>
        <v>512000</v>
      </c>
      <c r="O1473" s="9">
        <f>Table1[[#This Row],[Revenue]]-Table1[[#This Row],[COGS]]</f>
        <v>128000</v>
      </c>
      <c r="P1473" s="6">
        <v>1472</v>
      </c>
    </row>
    <row r="1474" spans="1:16">
      <c r="A1474" s="7" t="s">
        <v>77</v>
      </c>
      <c r="B1474" s="7" t="str">
        <f>TEXT(Table1[[#This Row],[Date]],"MMM")</f>
        <v>Apr</v>
      </c>
      <c r="C1474" t="s">
        <v>27</v>
      </c>
      <c r="D1474" t="s">
        <v>53</v>
      </c>
      <c r="E1474" t="s">
        <v>41</v>
      </c>
      <c r="F1474" t="s">
        <v>37</v>
      </c>
      <c r="G1474" t="s">
        <v>56</v>
      </c>
      <c r="H1474" t="s">
        <v>32</v>
      </c>
      <c r="I1474" s="9">
        <v>320000</v>
      </c>
      <c r="J1474">
        <v>9</v>
      </c>
      <c r="K1474" t="s">
        <v>69</v>
      </c>
      <c r="L1474" s="9">
        <f t="shared" ref="L1474:L1537" si="23">I1474-I1474*0.2</f>
        <v>256000</v>
      </c>
      <c r="M1474" s="9">
        <f>Table1[[#This Row],[Unit Price]]*Table1[[#This Row],[Quantity]]</f>
        <v>2880000</v>
      </c>
      <c r="N1474" s="9">
        <f>Table1[[#This Row],[Cost Price]]*Table1[[#This Row],[Quantity]]</f>
        <v>2304000</v>
      </c>
      <c r="O1474" s="9">
        <f>Table1[[#This Row],[Revenue]]-Table1[[#This Row],[COGS]]</f>
        <v>576000</v>
      </c>
      <c r="P1474" s="6">
        <v>1473</v>
      </c>
    </row>
    <row r="1475" spans="1:16">
      <c r="A1475" s="7" t="s">
        <v>40</v>
      </c>
      <c r="B1475" s="7" t="str">
        <f>TEXT(Table1[[#This Row],[Date]],"MMM")</f>
        <v>Feb</v>
      </c>
      <c r="C1475" t="s">
        <v>49</v>
      </c>
      <c r="D1475" t="s">
        <v>36</v>
      </c>
      <c r="E1475" t="s">
        <v>29</v>
      </c>
      <c r="F1475" t="s">
        <v>37</v>
      </c>
      <c r="G1475" t="s">
        <v>73</v>
      </c>
      <c r="H1475" t="s">
        <v>39</v>
      </c>
      <c r="I1475" s="9">
        <v>220000</v>
      </c>
      <c r="J1475">
        <v>10</v>
      </c>
      <c r="K1475" t="s">
        <v>42</v>
      </c>
      <c r="L1475" s="9">
        <f t="shared" si="23"/>
        <v>176000</v>
      </c>
      <c r="M1475" s="9">
        <f>Table1[[#This Row],[Unit Price]]*Table1[[#This Row],[Quantity]]</f>
        <v>2200000</v>
      </c>
      <c r="N1475" s="9">
        <f>Table1[[#This Row],[Cost Price]]*Table1[[#This Row],[Quantity]]</f>
        <v>1760000</v>
      </c>
      <c r="O1475" s="9">
        <f>Table1[[#This Row],[Revenue]]-Table1[[#This Row],[COGS]]</f>
        <v>440000</v>
      </c>
      <c r="P1475" s="6">
        <v>1474</v>
      </c>
    </row>
    <row r="1476" spans="1:16">
      <c r="A1476" s="7" t="s">
        <v>141</v>
      </c>
      <c r="B1476" s="7" t="str">
        <f>TEXT(Table1[[#This Row],[Date]],"MMM")</f>
        <v>Mar</v>
      </c>
      <c r="C1476" t="s">
        <v>44</v>
      </c>
      <c r="D1476" t="s">
        <v>28</v>
      </c>
      <c r="E1476" t="s">
        <v>29</v>
      </c>
      <c r="F1476" t="s">
        <v>37</v>
      </c>
      <c r="G1476" t="s">
        <v>31</v>
      </c>
      <c r="H1476" t="s">
        <v>32</v>
      </c>
      <c r="I1476" s="9">
        <v>85000</v>
      </c>
      <c r="J1476">
        <v>1</v>
      </c>
      <c r="K1476" t="s">
        <v>47</v>
      </c>
      <c r="L1476" s="9">
        <f t="shared" si="23"/>
        <v>68000</v>
      </c>
      <c r="M1476" s="9">
        <f>Table1[[#This Row],[Unit Price]]*Table1[[#This Row],[Quantity]]</f>
        <v>85000</v>
      </c>
      <c r="N1476" s="9">
        <f>Table1[[#This Row],[Cost Price]]*Table1[[#This Row],[Quantity]]</f>
        <v>68000</v>
      </c>
      <c r="O1476" s="9">
        <f>Table1[[#This Row],[Revenue]]-Table1[[#This Row],[COGS]]</f>
        <v>17000</v>
      </c>
      <c r="P1476" s="6">
        <v>1475</v>
      </c>
    </row>
    <row r="1477" spans="1:16">
      <c r="A1477" s="7" t="s">
        <v>98</v>
      </c>
      <c r="B1477" s="7" t="str">
        <f>TEXT(Table1[[#This Row],[Date]],"MMM")</f>
        <v>Jan</v>
      </c>
      <c r="C1477" t="s">
        <v>44</v>
      </c>
      <c r="D1477" t="s">
        <v>53</v>
      </c>
      <c r="E1477" t="s">
        <v>29</v>
      </c>
      <c r="F1477" t="s">
        <v>30</v>
      </c>
      <c r="G1477" t="s">
        <v>50</v>
      </c>
      <c r="H1477" t="s">
        <v>51</v>
      </c>
      <c r="I1477" s="9">
        <v>300000</v>
      </c>
      <c r="J1477">
        <v>4</v>
      </c>
      <c r="K1477" t="s">
        <v>47</v>
      </c>
      <c r="L1477" s="9">
        <f t="shared" si="23"/>
        <v>240000</v>
      </c>
      <c r="M1477" s="9">
        <f>Table1[[#This Row],[Unit Price]]*Table1[[#This Row],[Quantity]]</f>
        <v>1200000</v>
      </c>
      <c r="N1477" s="9">
        <f>Table1[[#This Row],[Cost Price]]*Table1[[#This Row],[Quantity]]</f>
        <v>960000</v>
      </c>
      <c r="O1477" s="9">
        <f>Table1[[#This Row],[Revenue]]-Table1[[#This Row],[COGS]]</f>
        <v>240000</v>
      </c>
      <c r="P1477" s="6">
        <v>1476</v>
      </c>
    </row>
    <row r="1478" spans="1:16">
      <c r="A1478" s="7" t="s">
        <v>40</v>
      </c>
      <c r="B1478" s="7" t="str">
        <f>TEXT(Table1[[#This Row],[Date]],"MMM")</f>
        <v>Feb</v>
      </c>
      <c r="C1478" t="s">
        <v>44</v>
      </c>
      <c r="D1478" t="s">
        <v>53</v>
      </c>
      <c r="E1478" t="s">
        <v>41</v>
      </c>
      <c r="F1478" t="s">
        <v>37</v>
      </c>
      <c r="G1478" t="s">
        <v>31</v>
      </c>
      <c r="H1478" t="s">
        <v>32</v>
      </c>
      <c r="I1478" s="9">
        <v>85000</v>
      </c>
      <c r="J1478">
        <v>5</v>
      </c>
      <c r="K1478" t="s">
        <v>42</v>
      </c>
      <c r="L1478" s="9">
        <f t="shared" si="23"/>
        <v>68000</v>
      </c>
      <c r="M1478" s="9">
        <f>Table1[[#This Row],[Unit Price]]*Table1[[#This Row],[Quantity]]</f>
        <v>425000</v>
      </c>
      <c r="N1478" s="9">
        <f>Table1[[#This Row],[Cost Price]]*Table1[[#This Row],[Quantity]]</f>
        <v>340000</v>
      </c>
      <c r="O1478" s="9">
        <f>Table1[[#This Row],[Revenue]]-Table1[[#This Row],[COGS]]</f>
        <v>85000</v>
      </c>
      <c r="P1478" s="6">
        <v>1477</v>
      </c>
    </row>
    <row r="1479" spans="1:16">
      <c r="A1479" s="7" t="s">
        <v>165</v>
      </c>
      <c r="B1479" s="7" t="str">
        <f>TEXT(Table1[[#This Row],[Date]],"MMM")</f>
        <v>Apr</v>
      </c>
      <c r="C1479" t="s">
        <v>44</v>
      </c>
      <c r="D1479" t="s">
        <v>53</v>
      </c>
      <c r="E1479" t="s">
        <v>41</v>
      </c>
      <c r="F1479" t="s">
        <v>30</v>
      </c>
      <c r="G1479" t="s">
        <v>50</v>
      </c>
      <c r="H1479" t="s">
        <v>51</v>
      </c>
      <c r="I1479" s="9">
        <v>300000</v>
      </c>
      <c r="J1479">
        <v>5</v>
      </c>
      <c r="K1479" t="s">
        <v>69</v>
      </c>
      <c r="L1479" s="9">
        <f t="shared" si="23"/>
        <v>240000</v>
      </c>
      <c r="M1479" s="9">
        <f>Table1[[#This Row],[Unit Price]]*Table1[[#This Row],[Quantity]]</f>
        <v>1500000</v>
      </c>
      <c r="N1479" s="9">
        <f>Table1[[#This Row],[Cost Price]]*Table1[[#This Row],[Quantity]]</f>
        <v>1200000</v>
      </c>
      <c r="O1479" s="9">
        <f>Table1[[#This Row],[Revenue]]-Table1[[#This Row],[COGS]]</f>
        <v>300000</v>
      </c>
      <c r="P1479" s="6">
        <v>1478</v>
      </c>
    </row>
    <row r="1480" spans="1:16">
      <c r="A1480" s="7" t="s">
        <v>110</v>
      </c>
      <c r="B1480" s="7" t="str">
        <f>TEXT(Table1[[#This Row],[Date]],"MMM")</f>
        <v>Jan</v>
      </c>
      <c r="C1480" t="s">
        <v>44</v>
      </c>
      <c r="D1480" t="s">
        <v>53</v>
      </c>
      <c r="E1480" t="s">
        <v>29</v>
      </c>
      <c r="F1480" t="s">
        <v>37</v>
      </c>
      <c r="G1480" t="s">
        <v>50</v>
      </c>
      <c r="H1480" t="s">
        <v>51</v>
      </c>
      <c r="I1480" s="9">
        <v>300000</v>
      </c>
      <c r="J1480">
        <v>5</v>
      </c>
      <c r="K1480" t="s">
        <v>33</v>
      </c>
      <c r="L1480" s="9">
        <f t="shared" si="23"/>
        <v>240000</v>
      </c>
      <c r="M1480" s="9">
        <f>Table1[[#This Row],[Unit Price]]*Table1[[#This Row],[Quantity]]</f>
        <v>1500000</v>
      </c>
      <c r="N1480" s="9">
        <f>Table1[[#This Row],[Cost Price]]*Table1[[#This Row],[Quantity]]</f>
        <v>1200000</v>
      </c>
      <c r="O1480" s="9">
        <f>Table1[[#This Row],[Revenue]]-Table1[[#This Row],[COGS]]</f>
        <v>300000</v>
      </c>
      <c r="P1480" s="6">
        <v>1479</v>
      </c>
    </row>
    <row r="1481" spans="1:16">
      <c r="A1481" s="7" t="s">
        <v>137</v>
      </c>
      <c r="B1481" s="7" t="str">
        <f>TEXT(Table1[[#This Row],[Date]],"MMM")</f>
        <v>Apr</v>
      </c>
      <c r="C1481" t="s">
        <v>27</v>
      </c>
      <c r="D1481" t="s">
        <v>36</v>
      </c>
      <c r="E1481" t="s">
        <v>41</v>
      </c>
      <c r="F1481" t="s">
        <v>37</v>
      </c>
      <c r="G1481" t="s">
        <v>38</v>
      </c>
      <c r="H1481" t="s">
        <v>39</v>
      </c>
      <c r="I1481" s="9">
        <v>30000</v>
      </c>
      <c r="J1481">
        <v>10</v>
      </c>
      <c r="K1481" t="s">
        <v>33</v>
      </c>
      <c r="L1481" s="9">
        <f t="shared" si="23"/>
        <v>24000</v>
      </c>
      <c r="M1481" s="9">
        <f>Table1[[#This Row],[Unit Price]]*Table1[[#This Row],[Quantity]]</f>
        <v>300000</v>
      </c>
      <c r="N1481" s="9">
        <f>Table1[[#This Row],[Cost Price]]*Table1[[#This Row],[Quantity]]</f>
        <v>240000</v>
      </c>
      <c r="O1481" s="9">
        <f>Table1[[#This Row],[Revenue]]-Table1[[#This Row],[COGS]]</f>
        <v>60000</v>
      </c>
      <c r="P1481" s="6">
        <v>1480</v>
      </c>
    </row>
    <row r="1482" spans="1:16">
      <c r="A1482" s="7" t="s">
        <v>156</v>
      </c>
      <c r="B1482" s="7" t="str">
        <f>TEXT(Table1[[#This Row],[Date]],"MMM")</f>
        <v>Feb</v>
      </c>
      <c r="C1482" t="s">
        <v>44</v>
      </c>
      <c r="D1482" t="s">
        <v>45</v>
      </c>
      <c r="E1482" t="s">
        <v>29</v>
      </c>
      <c r="F1482" t="s">
        <v>30</v>
      </c>
      <c r="G1482" t="s">
        <v>73</v>
      </c>
      <c r="H1482" t="s">
        <v>39</v>
      </c>
      <c r="I1482" s="9">
        <v>220000</v>
      </c>
      <c r="J1482">
        <v>6</v>
      </c>
      <c r="K1482" t="s">
        <v>58</v>
      </c>
      <c r="L1482" s="9">
        <f t="shared" si="23"/>
        <v>176000</v>
      </c>
      <c r="M1482" s="9">
        <f>Table1[[#This Row],[Unit Price]]*Table1[[#This Row],[Quantity]]</f>
        <v>1320000</v>
      </c>
      <c r="N1482" s="9">
        <f>Table1[[#This Row],[Cost Price]]*Table1[[#This Row],[Quantity]]</f>
        <v>1056000</v>
      </c>
      <c r="O1482" s="9">
        <f>Table1[[#This Row],[Revenue]]-Table1[[#This Row],[COGS]]</f>
        <v>264000</v>
      </c>
      <c r="P1482" s="6">
        <v>1481</v>
      </c>
    </row>
    <row r="1483" spans="1:16">
      <c r="A1483" s="7" t="s">
        <v>142</v>
      </c>
      <c r="B1483" s="7" t="str">
        <f>TEXT(Table1[[#This Row],[Date]],"MMM")</f>
        <v>Apr</v>
      </c>
      <c r="C1483" t="s">
        <v>27</v>
      </c>
      <c r="D1483" t="s">
        <v>53</v>
      </c>
      <c r="E1483" t="s">
        <v>41</v>
      </c>
      <c r="F1483" t="s">
        <v>30</v>
      </c>
      <c r="G1483" t="s">
        <v>31</v>
      </c>
      <c r="H1483" t="s">
        <v>32</v>
      </c>
      <c r="I1483" s="9">
        <v>85000</v>
      </c>
      <c r="J1483">
        <v>9</v>
      </c>
      <c r="K1483" t="s">
        <v>42</v>
      </c>
      <c r="L1483" s="9">
        <f t="shared" si="23"/>
        <v>68000</v>
      </c>
      <c r="M1483" s="9">
        <f>Table1[[#This Row],[Unit Price]]*Table1[[#This Row],[Quantity]]</f>
        <v>765000</v>
      </c>
      <c r="N1483" s="9">
        <f>Table1[[#This Row],[Cost Price]]*Table1[[#This Row],[Quantity]]</f>
        <v>612000</v>
      </c>
      <c r="O1483" s="9">
        <f>Table1[[#This Row],[Revenue]]-Table1[[#This Row],[COGS]]</f>
        <v>153000</v>
      </c>
      <c r="P1483" s="6">
        <v>1482</v>
      </c>
    </row>
    <row r="1484" spans="1:16">
      <c r="A1484" s="7" t="s">
        <v>127</v>
      </c>
      <c r="B1484" s="7" t="str">
        <f>TEXT(Table1[[#This Row],[Date]],"MMM")</f>
        <v>Jan</v>
      </c>
      <c r="C1484" t="s">
        <v>35</v>
      </c>
      <c r="D1484" t="s">
        <v>53</v>
      </c>
      <c r="E1484" t="s">
        <v>29</v>
      </c>
      <c r="F1484" t="s">
        <v>30</v>
      </c>
      <c r="G1484" t="s">
        <v>67</v>
      </c>
      <c r="H1484" t="s">
        <v>51</v>
      </c>
      <c r="I1484" s="9">
        <v>420000</v>
      </c>
      <c r="J1484">
        <v>10</v>
      </c>
      <c r="K1484" t="s">
        <v>47</v>
      </c>
      <c r="L1484" s="9">
        <f t="shared" si="23"/>
        <v>336000</v>
      </c>
      <c r="M1484" s="9">
        <f>Table1[[#This Row],[Unit Price]]*Table1[[#This Row],[Quantity]]</f>
        <v>4200000</v>
      </c>
      <c r="N1484" s="9">
        <f>Table1[[#This Row],[Cost Price]]*Table1[[#This Row],[Quantity]]</f>
        <v>3360000</v>
      </c>
      <c r="O1484" s="9">
        <f>Table1[[#This Row],[Revenue]]-Table1[[#This Row],[COGS]]</f>
        <v>840000</v>
      </c>
      <c r="P1484" s="6">
        <v>1483</v>
      </c>
    </row>
    <row r="1485" spans="1:16">
      <c r="A1485" s="7" t="s">
        <v>125</v>
      </c>
      <c r="B1485" s="7" t="str">
        <f>TEXT(Table1[[#This Row],[Date]],"MMM")</f>
        <v>Feb</v>
      </c>
      <c r="C1485" t="s">
        <v>49</v>
      </c>
      <c r="D1485" t="s">
        <v>28</v>
      </c>
      <c r="E1485" t="s">
        <v>41</v>
      </c>
      <c r="F1485" t="s">
        <v>37</v>
      </c>
      <c r="G1485" t="s">
        <v>67</v>
      </c>
      <c r="H1485" t="s">
        <v>51</v>
      </c>
      <c r="I1485" s="9">
        <v>420000</v>
      </c>
      <c r="J1485">
        <v>1</v>
      </c>
      <c r="K1485" t="s">
        <v>58</v>
      </c>
      <c r="L1485" s="9">
        <f t="shared" si="23"/>
        <v>336000</v>
      </c>
      <c r="M1485" s="9">
        <f>Table1[[#This Row],[Unit Price]]*Table1[[#This Row],[Quantity]]</f>
        <v>420000</v>
      </c>
      <c r="N1485" s="9">
        <f>Table1[[#This Row],[Cost Price]]*Table1[[#This Row],[Quantity]]</f>
        <v>336000</v>
      </c>
      <c r="O1485" s="9">
        <f>Table1[[#This Row],[Revenue]]-Table1[[#This Row],[COGS]]</f>
        <v>84000</v>
      </c>
      <c r="P1485" s="6">
        <v>1484</v>
      </c>
    </row>
    <row r="1486" spans="1:16">
      <c r="A1486" s="7" t="s">
        <v>48</v>
      </c>
      <c r="B1486" s="7" t="str">
        <f>TEXT(Table1[[#This Row],[Date]],"MMM")</f>
        <v>Apr</v>
      </c>
      <c r="C1486" t="s">
        <v>27</v>
      </c>
      <c r="D1486" t="s">
        <v>36</v>
      </c>
      <c r="E1486" t="s">
        <v>29</v>
      </c>
      <c r="F1486" t="s">
        <v>37</v>
      </c>
      <c r="G1486" t="s">
        <v>46</v>
      </c>
      <c r="H1486" t="s">
        <v>39</v>
      </c>
      <c r="I1486" s="9">
        <v>60000</v>
      </c>
      <c r="J1486">
        <v>6</v>
      </c>
      <c r="K1486" t="s">
        <v>47</v>
      </c>
      <c r="L1486" s="9">
        <f t="shared" si="23"/>
        <v>48000</v>
      </c>
      <c r="M1486" s="9">
        <f>Table1[[#This Row],[Unit Price]]*Table1[[#This Row],[Quantity]]</f>
        <v>360000</v>
      </c>
      <c r="N1486" s="9">
        <f>Table1[[#This Row],[Cost Price]]*Table1[[#This Row],[Quantity]]</f>
        <v>288000</v>
      </c>
      <c r="O1486" s="9">
        <f>Table1[[#This Row],[Revenue]]-Table1[[#This Row],[COGS]]</f>
        <v>72000</v>
      </c>
      <c r="P1486" s="6">
        <v>1485</v>
      </c>
    </row>
    <row r="1487" spans="1:16">
      <c r="A1487" s="7" t="s">
        <v>128</v>
      </c>
      <c r="B1487" s="7" t="str">
        <f>TEXT(Table1[[#This Row],[Date]],"MMM")</f>
        <v>Mar</v>
      </c>
      <c r="C1487" t="s">
        <v>44</v>
      </c>
      <c r="D1487" t="s">
        <v>53</v>
      </c>
      <c r="E1487" t="s">
        <v>29</v>
      </c>
      <c r="F1487" t="s">
        <v>37</v>
      </c>
      <c r="G1487" t="s">
        <v>62</v>
      </c>
      <c r="H1487" t="s">
        <v>51</v>
      </c>
      <c r="I1487" s="9">
        <v>150000</v>
      </c>
      <c r="J1487">
        <v>1</v>
      </c>
      <c r="K1487" t="s">
        <v>47</v>
      </c>
      <c r="L1487" s="9">
        <f t="shared" si="23"/>
        <v>120000</v>
      </c>
      <c r="M1487" s="9">
        <f>Table1[[#This Row],[Unit Price]]*Table1[[#This Row],[Quantity]]</f>
        <v>150000</v>
      </c>
      <c r="N1487" s="9">
        <f>Table1[[#This Row],[Cost Price]]*Table1[[#This Row],[Quantity]]</f>
        <v>120000</v>
      </c>
      <c r="O1487" s="9">
        <f>Table1[[#This Row],[Revenue]]-Table1[[#This Row],[COGS]]</f>
        <v>30000</v>
      </c>
      <c r="P1487" s="6">
        <v>1486</v>
      </c>
    </row>
    <row r="1488" spans="1:16">
      <c r="A1488" s="7" t="s">
        <v>91</v>
      </c>
      <c r="B1488" s="7" t="str">
        <f>TEXT(Table1[[#This Row],[Date]],"MMM")</f>
        <v>Feb</v>
      </c>
      <c r="C1488" t="s">
        <v>49</v>
      </c>
      <c r="D1488" t="s">
        <v>45</v>
      </c>
      <c r="E1488" t="s">
        <v>29</v>
      </c>
      <c r="F1488" t="s">
        <v>30</v>
      </c>
      <c r="G1488" t="s">
        <v>71</v>
      </c>
      <c r="H1488" t="s">
        <v>51</v>
      </c>
      <c r="I1488" s="9">
        <v>250000</v>
      </c>
      <c r="J1488">
        <v>5</v>
      </c>
      <c r="K1488" t="s">
        <v>47</v>
      </c>
      <c r="L1488" s="9">
        <f t="shared" si="23"/>
        <v>200000</v>
      </c>
      <c r="M1488" s="9">
        <f>Table1[[#This Row],[Unit Price]]*Table1[[#This Row],[Quantity]]</f>
        <v>1250000</v>
      </c>
      <c r="N1488" s="9">
        <f>Table1[[#This Row],[Cost Price]]*Table1[[#This Row],[Quantity]]</f>
        <v>1000000</v>
      </c>
      <c r="O1488" s="9">
        <f>Table1[[#This Row],[Revenue]]-Table1[[#This Row],[COGS]]</f>
        <v>250000</v>
      </c>
      <c r="P1488" s="6">
        <v>1487</v>
      </c>
    </row>
    <row r="1489" spans="1:16">
      <c r="A1489" s="7" t="s">
        <v>121</v>
      </c>
      <c r="B1489" s="7" t="str">
        <f>TEXT(Table1[[#This Row],[Date]],"MMM")</f>
        <v>Apr</v>
      </c>
      <c r="C1489" t="s">
        <v>35</v>
      </c>
      <c r="D1489" t="s">
        <v>53</v>
      </c>
      <c r="E1489" t="s">
        <v>29</v>
      </c>
      <c r="F1489" t="s">
        <v>37</v>
      </c>
      <c r="G1489" t="s">
        <v>73</v>
      </c>
      <c r="H1489" t="s">
        <v>39</v>
      </c>
      <c r="I1489" s="9">
        <v>220000</v>
      </c>
      <c r="J1489">
        <v>5</v>
      </c>
      <c r="K1489" t="s">
        <v>47</v>
      </c>
      <c r="L1489" s="9">
        <f t="shared" si="23"/>
        <v>176000</v>
      </c>
      <c r="M1489" s="9">
        <f>Table1[[#This Row],[Unit Price]]*Table1[[#This Row],[Quantity]]</f>
        <v>1100000</v>
      </c>
      <c r="N1489" s="9">
        <f>Table1[[#This Row],[Cost Price]]*Table1[[#This Row],[Quantity]]</f>
        <v>880000</v>
      </c>
      <c r="O1489" s="9">
        <f>Table1[[#This Row],[Revenue]]-Table1[[#This Row],[COGS]]</f>
        <v>220000</v>
      </c>
      <c r="P1489" s="6">
        <v>1488</v>
      </c>
    </row>
    <row r="1490" spans="1:16">
      <c r="A1490" s="7" t="s">
        <v>43</v>
      </c>
      <c r="B1490" s="7" t="str">
        <f>TEXT(Table1[[#This Row],[Date]],"MMM")</f>
        <v>Apr</v>
      </c>
      <c r="C1490" t="s">
        <v>27</v>
      </c>
      <c r="D1490" t="s">
        <v>36</v>
      </c>
      <c r="E1490" t="s">
        <v>41</v>
      </c>
      <c r="F1490" t="s">
        <v>37</v>
      </c>
      <c r="G1490" t="s">
        <v>46</v>
      </c>
      <c r="H1490" t="s">
        <v>39</v>
      </c>
      <c r="I1490" s="9">
        <v>60000</v>
      </c>
      <c r="J1490">
        <v>2</v>
      </c>
      <c r="K1490" t="s">
        <v>47</v>
      </c>
      <c r="L1490" s="9">
        <f t="shared" si="23"/>
        <v>48000</v>
      </c>
      <c r="M1490" s="9">
        <f>Table1[[#This Row],[Unit Price]]*Table1[[#This Row],[Quantity]]</f>
        <v>120000</v>
      </c>
      <c r="N1490" s="9">
        <f>Table1[[#This Row],[Cost Price]]*Table1[[#This Row],[Quantity]]</f>
        <v>96000</v>
      </c>
      <c r="O1490" s="9">
        <f>Table1[[#This Row],[Revenue]]-Table1[[#This Row],[COGS]]</f>
        <v>24000</v>
      </c>
      <c r="P1490" s="6">
        <v>1489</v>
      </c>
    </row>
    <row r="1491" spans="1:16">
      <c r="A1491" s="7" t="s">
        <v>52</v>
      </c>
      <c r="B1491" s="7" t="str">
        <f>TEXT(Table1[[#This Row],[Date]],"MMM")</f>
        <v>Mar</v>
      </c>
      <c r="C1491" t="s">
        <v>35</v>
      </c>
      <c r="D1491" t="s">
        <v>53</v>
      </c>
      <c r="E1491" t="s">
        <v>41</v>
      </c>
      <c r="F1491" t="s">
        <v>37</v>
      </c>
      <c r="G1491" t="s">
        <v>62</v>
      </c>
      <c r="H1491" t="s">
        <v>51</v>
      </c>
      <c r="I1491" s="9">
        <v>150000</v>
      </c>
      <c r="J1491">
        <v>3</v>
      </c>
      <c r="K1491" t="s">
        <v>69</v>
      </c>
      <c r="L1491" s="9">
        <f t="shared" si="23"/>
        <v>120000</v>
      </c>
      <c r="M1491" s="9">
        <f>Table1[[#This Row],[Unit Price]]*Table1[[#This Row],[Quantity]]</f>
        <v>450000</v>
      </c>
      <c r="N1491" s="9">
        <f>Table1[[#This Row],[Cost Price]]*Table1[[#This Row],[Quantity]]</f>
        <v>360000</v>
      </c>
      <c r="O1491" s="9">
        <f>Table1[[#This Row],[Revenue]]-Table1[[#This Row],[COGS]]</f>
        <v>90000</v>
      </c>
      <c r="P1491" s="6">
        <v>1490</v>
      </c>
    </row>
    <row r="1492" spans="1:16">
      <c r="A1492" s="7" t="s">
        <v>40</v>
      </c>
      <c r="B1492" s="7" t="str">
        <f>TEXT(Table1[[#This Row],[Date]],"MMM")</f>
        <v>Feb</v>
      </c>
      <c r="C1492" t="s">
        <v>44</v>
      </c>
      <c r="D1492" t="s">
        <v>36</v>
      </c>
      <c r="E1492" t="s">
        <v>41</v>
      </c>
      <c r="F1492" t="s">
        <v>37</v>
      </c>
      <c r="G1492" t="s">
        <v>31</v>
      </c>
      <c r="H1492" t="s">
        <v>32</v>
      </c>
      <c r="I1492" s="9">
        <v>85000</v>
      </c>
      <c r="J1492">
        <v>3</v>
      </c>
      <c r="K1492" t="s">
        <v>65</v>
      </c>
      <c r="L1492" s="9">
        <f t="shared" si="23"/>
        <v>68000</v>
      </c>
      <c r="M1492" s="9">
        <f>Table1[[#This Row],[Unit Price]]*Table1[[#This Row],[Quantity]]</f>
        <v>255000</v>
      </c>
      <c r="N1492" s="9">
        <f>Table1[[#This Row],[Cost Price]]*Table1[[#This Row],[Quantity]]</f>
        <v>204000</v>
      </c>
      <c r="O1492" s="9">
        <f>Table1[[#This Row],[Revenue]]-Table1[[#This Row],[COGS]]</f>
        <v>51000</v>
      </c>
      <c r="P1492" s="6">
        <v>1491</v>
      </c>
    </row>
    <row r="1493" spans="1:16">
      <c r="A1493" s="7" t="s">
        <v>170</v>
      </c>
      <c r="B1493" s="7" t="str">
        <f>TEXT(Table1[[#This Row],[Date]],"MMM")</f>
        <v>Jan</v>
      </c>
      <c r="C1493" t="s">
        <v>49</v>
      </c>
      <c r="D1493" t="s">
        <v>53</v>
      </c>
      <c r="E1493" t="s">
        <v>29</v>
      </c>
      <c r="F1493" t="s">
        <v>37</v>
      </c>
      <c r="G1493" t="s">
        <v>54</v>
      </c>
      <c r="H1493" t="s">
        <v>39</v>
      </c>
      <c r="I1493" s="9">
        <v>180000</v>
      </c>
      <c r="J1493">
        <v>7</v>
      </c>
      <c r="K1493" t="s">
        <v>69</v>
      </c>
      <c r="L1493" s="9">
        <f t="shared" si="23"/>
        <v>144000</v>
      </c>
      <c r="M1493" s="9">
        <f>Table1[[#This Row],[Unit Price]]*Table1[[#This Row],[Quantity]]</f>
        <v>1260000</v>
      </c>
      <c r="N1493" s="9">
        <f>Table1[[#This Row],[Cost Price]]*Table1[[#This Row],[Quantity]]</f>
        <v>1008000</v>
      </c>
      <c r="O1493" s="9">
        <f>Table1[[#This Row],[Revenue]]-Table1[[#This Row],[COGS]]</f>
        <v>252000</v>
      </c>
      <c r="P1493" s="6">
        <v>1492</v>
      </c>
    </row>
    <row r="1494" spans="1:16">
      <c r="A1494" s="7" t="s">
        <v>59</v>
      </c>
      <c r="B1494" s="7" t="str">
        <f>TEXT(Table1[[#This Row],[Date]],"MMM")</f>
        <v>Mar</v>
      </c>
      <c r="C1494" t="s">
        <v>49</v>
      </c>
      <c r="D1494" t="s">
        <v>36</v>
      </c>
      <c r="E1494" t="s">
        <v>41</v>
      </c>
      <c r="F1494" t="s">
        <v>30</v>
      </c>
      <c r="G1494" t="s">
        <v>54</v>
      </c>
      <c r="H1494" t="s">
        <v>39</v>
      </c>
      <c r="I1494" s="9">
        <v>180000</v>
      </c>
      <c r="J1494">
        <v>10</v>
      </c>
      <c r="K1494" t="s">
        <v>65</v>
      </c>
      <c r="L1494" s="9">
        <f t="shared" si="23"/>
        <v>144000</v>
      </c>
      <c r="M1494" s="9">
        <f>Table1[[#This Row],[Unit Price]]*Table1[[#This Row],[Quantity]]</f>
        <v>1800000</v>
      </c>
      <c r="N1494" s="9">
        <f>Table1[[#This Row],[Cost Price]]*Table1[[#This Row],[Quantity]]</f>
        <v>1440000</v>
      </c>
      <c r="O1494" s="9">
        <f>Table1[[#This Row],[Revenue]]-Table1[[#This Row],[COGS]]</f>
        <v>360000</v>
      </c>
      <c r="P1494" s="6">
        <v>1493</v>
      </c>
    </row>
    <row r="1495" spans="1:16">
      <c r="A1495" s="7" t="s">
        <v>34</v>
      </c>
      <c r="B1495" s="7" t="str">
        <f>TEXT(Table1[[#This Row],[Date]],"MMM")</f>
        <v>Apr</v>
      </c>
      <c r="C1495" t="s">
        <v>49</v>
      </c>
      <c r="D1495" t="s">
        <v>28</v>
      </c>
      <c r="E1495" t="s">
        <v>41</v>
      </c>
      <c r="F1495" t="s">
        <v>37</v>
      </c>
      <c r="G1495" t="s">
        <v>54</v>
      </c>
      <c r="H1495" t="s">
        <v>39</v>
      </c>
      <c r="I1495" s="9">
        <v>180000</v>
      </c>
      <c r="J1495">
        <v>1</v>
      </c>
      <c r="K1495" t="s">
        <v>47</v>
      </c>
      <c r="L1495" s="9">
        <f t="shared" si="23"/>
        <v>144000</v>
      </c>
      <c r="M1495" s="9">
        <f>Table1[[#This Row],[Unit Price]]*Table1[[#This Row],[Quantity]]</f>
        <v>180000</v>
      </c>
      <c r="N1495" s="9">
        <f>Table1[[#This Row],[Cost Price]]*Table1[[#This Row],[Quantity]]</f>
        <v>144000</v>
      </c>
      <c r="O1495" s="9">
        <f>Table1[[#This Row],[Revenue]]-Table1[[#This Row],[COGS]]</f>
        <v>36000</v>
      </c>
      <c r="P1495" s="6">
        <v>1494</v>
      </c>
    </row>
    <row r="1496" spans="1:16">
      <c r="A1496" s="7" t="s">
        <v>83</v>
      </c>
      <c r="B1496" s="7" t="str">
        <f>TEXT(Table1[[#This Row],[Date]],"MMM")</f>
        <v>Jan</v>
      </c>
      <c r="C1496" t="s">
        <v>27</v>
      </c>
      <c r="D1496" t="s">
        <v>53</v>
      </c>
      <c r="E1496" t="s">
        <v>29</v>
      </c>
      <c r="F1496" t="s">
        <v>30</v>
      </c>
      <c r="G1496" t="s">
        <v>56</v>
      </c>
      <c r="H1496" t="s">
        <v>32</v>
      </c>
      <c r="I1496" s="9">
        <v>320000</v>
      </c>
      <c r="J1496">
        <v>5</v>
      </c>
      <c r="K1496" t="s">
        <v>47</v>
      </c>
      <c r="L1496" s="9">
        <f t="shared" si="23"/>
        <v>256000</v>
      </c>
      <c r="M1496" s="9">
        <f>Table1[[#This Row],[Unit Price]]*Table1[[#This Row],[Quantity]]</f>
        <v>1600000</v>
      </c>
      <c r="N1496" s="9">
        <f>Table1[[#This Row],[Cost Price]]*Table1[[#This Row],[Quantity]]</f>
        <v>1280000</v>
      </c>
      <c r="O1496" s="9">
        <f>Table1[[#This Row],[Revenue]]-Table1[[#This Row],[COGS]]</f>
        <v>320000</v>
      </c>
      <c r="P1496" s="6">
        <v>1495</v>
      </c>
    </row>
    <row r="1497" spans="1:16">
      <c r="A1497" s="7" t="s">
        <v>128</v>
      </c>
      <c r="B1497" s="7" t="str">
        <f>TEXT(Table1[[#This Row],[Date]],"MMM")</f>
        <v>Mar</v>
      </c>
      <c r="C1497" t="s">
        <v>35</v>
      </c>
      <c r="D1497" t="s">
        <v>36</v>
      </c>
      <c r="E1497" t="s">
        <v>29</v>
      </c>
      <c r="F1497" t="s">
        <v>37</v>
      </c>
      <c r="G1497" t="s">
        <v>67</v>
      </c>
      <c r="H1497" t="s">
        <v>51</v>
      </c>
      <c r="I1497" s="9">
        <v>420000</v>
      </c>
      <c r="J1497">
        <v>5</v>
      </c>
      <c r="K1497" t="s">
        <v>58</v>
      </c>
      <c r="L1497" s="9">
        <f t="shared" si="23"/>
        <v>336000</v>
      </c>
      <c r="M1497" s="9">
        <f>Table1[[#This Row],[Unit Price]]*Table1[[#This Row],[Quantity]]</f>
        <v>2100000</v>
      </c>
      <c r="N1497" s="9">
        <f>Table1[[#This Row],[Cost Price]]*Table1[[#This Row],[Quantity]]</f>
        <v>1680000</v>
      </c>
      <c r="O1497" s="9">
        <f>Table1[[#This Row],[Revenue]]-Table1[[#This Row],[COGS]]</f>
        <v>420000</v>
      </c>
      <c r="P1497" s="6">
        <v>1496</v>
      </c>
    </row>
    <row r="1498" spans="1:16">
      <c r="A1498" s="7" t="s">
        <v>75</v>
      </c>
      <c r="B1498" s="7" t="str">
        <f>TEXT(Table1[[#This Row],[Date]],"MMM")</f>
        <v>Mar</v>
      </c>
      <c r="C1498" t="s">
        <v>27</v>
      </c>
      <c r="D1498" t="s">
        <v>45</v>
      </c>
      <c r="E1498" t="s">
        <v>41</v>
      </c>
      <c r="F1498" t="s">
        <v>30</v>
      </c>
      <c r="G1498" t="s">
        <v>54</v>
      </c>
      <c r="H1498" t="s">
        <v>39</v>
      </c>
      <c r="I1498" s="9">
        <v>180000</v>
      </c>
      <c r="J1498">
        <v>2</v>
      </c>
      <c r="K1498" t="s">
        <v>33</v>
      </c>
      <c r="L1498" s="9">
        <f t="shared" si="23"/>
        <v>144000</v>
      </c>
      <c r="M1498" s="9">
        <f>Table1[[#This Row],[Unit Price]]*Table1[[#This Row],[Quantity]]</f>
        <v>360000</v>
      </c>
      <c r="N1498" s="9">
        <f>Table1[[#This Row],[Cost Price]]*Table1[[#This Row],[Quantity]]</f>
        <v>288000</v>
      </c>
      <c r="O1498" s="9">
        <f>Table1[[#This Row],[Revenue]]-Table1[[#This Row],[COGS]]</f>
        <v>72000</v>
      </c>
      <c r="P1498" s="6">
        <v>1497</v>
      </c>
    </row>
    <row r="1499" spans="1:16">
      <c r="A1499" s="7" t="s">
        <v>116</v>
      </c>
      <c r="B1499" s="7" t="str">
        <f>TEXT(Table1[[#This Row],[Date]],"MMM")</f>
        <v>Apr</v>
      </c>
      <c r="C1499" t="s">
        <v>44</v>
      </c>
      <c r="D1499" t="s">
        <v>45</v>
      </c>
      <c r="E1499" t="s">
        <v>29</v>
      </c>
      <c r="F1499" t="s">
        <v>37</v>
      </c>
      <c r="G1499" t="s">
        <v>73</v>
      </c>
      <c r="H1499" t="s">
        <v>39</v>
      </c>
      <c r="I1499" s="9">
        <v>220000</v>
      </c>
      <c r="J1499">
        <v>1</v>
      </c>
      <c r="K1499" t="s">
        <v>42</v>
      </c>
      <c r="L1499" s="9">
        <f t="shared" si="23"/>
        <v>176000</v>
      </c>
      <c r="M1499" s="9">
        <f>Table1[[#This Row],[Unit Price]]*Table1[[#This Row],[Quantity]]</f>
        <v>220000</v>
      </c>
      <c r="N1499" s="9">
        <f>Table1[[#This Row],[Cost Price]]*Table1[[#This Row],[Quantity]]</f>
        <v>176000</v>
      </c>
      <c r="O1499" s="9">
        <f>Table1[[#This Row],[Revenue]]-Table1[[#This Row],[COGS]]</f>
        <v>44000</v>
      </c>
      <c r="P1499" s="6">
        <v>1498</v>
      </c>
    </row>
    <row r="1500" spans="1:16">
      <c r="A1500" s="7" t="s">
        <v>114</v>
      </c>
      <c r="B1500" s="7" t="str">
        <f>TEXT(Table1[[#This Row],[Date]],"MMM")</f>
        <v>Apr</v>
      </c>
      <c r="C1500" t="s">
        <v>27</v>
      </c>
      <c r="D1500" t="s">
        <v>45</v>
      </c>
      <c r="E1500" t="s">
        <v>41</v>
      </c>
      <c r="F1500" t="s">
        <v>30</v>
      </c>
      <c r="G1500" t="s">
        <v>56</v>
      </c>
      <c r="H1500" t="s">
        <v>32</v>
      </c>
      <c r="I1500" s="9">
        <v>320000</v>
      </c>
      <c r="J1500">
        <v>4</v>
      </c>
      <c r="K1500" t="s">
        <v>65</v>
      </c>
      <c r="L1500" s="9">
        <f t="shared" si="23"/>
        <v>256000</v>
      </c>
      <c r="M1500" s="9">
        <f>Table1[[#This Row],[Unit Price]]*Table1[[#This Row],[Quantity]]</f>
        <v>1280000</v>
      </c>
      <c r="N1500" s="9">
        <f>Table1[[#This Row],[Cost Price]]*Table1[[#This Row],[Quantity]]</f>
        <v>1024000</v>
      </c>
      <c r="O1500" s="9">
        <f>Table1[[#This Row],[Revenue]]-Table1[[#This Row],[COGS]]</f>
        <v>256000</v>
      </c>
      <c r="P1500" s="6">
        <v>1499</v>
      </c>
    </row>
    <row r="1501" spans="1:16">
      <c r="A1501" s="7" t="s">
        <v>59</v>
      </c>
      <c r="B1501" s="7" t="str">
        <f>TEXT(Table1[[#This Row],[Date]],"MMM")</f>
        <v>Mar</v>
      </c>
      <c r="C1501" t="s">
        <v>44</v>
      </c>
      <c r="D1501" t="s">
        <v>45</v>
      </c>
      <c r="E1501" t="s">
        <v>29</v>
      </c>
      <c r="F1501" t="s">
        <v>30</v>
      </c>
      <c r="G1501" t="s">
        <v>71</v>
      </c>
      <c r="H1501" t="s">
        <v>51</v>
      </c>
      <c r="I1501" s="9">
        <v>250000</v>
      </c>
      <c r="J1501">
        <v>4</v>
      </c>
      <c r="K1501" t="s">
        <v>42</v>
      </c>
      <c r="L1501" s="9">
        <f t="shared" si="23"/>
        <v>200000</v>
      </c>
      <c r="M1501" s="9">
        <f>Table1[[#This Row],[Unit Price]]*Table1[[#This Row],[Quantity]]</f>
        <v>1000000</v>
      </c>
      <c r="N1501" s="9">
        <f>Table1[[#This Row],[Cost Price]]*Table1[[#This Row],[Quantity]]</f>
        <v>800000</v>
      </c>
      <c r="O1501" s="9">
        <f>Table1[[#This Row],[Revenue]]-Table1[[#This Row],[COGS]]</f>
        <v>200000</v>
      </c>
      <c r="P1501" s="6">
        <v>1500</v>
      </c>
    </row>
    <row r="1502" spans="1:16">
      <c r="A1502" s="7" t="s">
        <v>40</v>
      </c>
      <c r="B1502" s="7" t="str">
        <f>TEXT(Table1[[#This Row],[Date]],"MMM")</f>
        <v>Feb</v>
      </c>
      <c r="C1502" t="s">
        <v>44</v>
      </c>
      <c r="D1502" t="s">
        <v>28</v>
      </c>
      <c r="E1502" t="s">
        <v>29</v>
      </c>
      <c r="F1502" t="s">
        <v>37</v>
      </c>
      <c r="G1502" t="s">
        <v>46</v>
      </c>
      <c r="H1502" t="s">
        <v>39</v>
      </c>
      <c r="I1502" s="9">
        <v>60000</v>
      </c>
      <c r="J1502">
        <v>10</v>
      </c>
      <c r="K1502" t="s">
        <v>69</v>
      </c>
      <c r="L1502" s="9">
        <f t="shared" si="23"/>
        <v>48000</v>
      </c>
      <c r="M1502" s="9">
        <f>Table1[[#This Row],[Unit Price]]*Table1[[#This Row],[Quantity]]</f>
        <v>600000</v>
      </c>
      <c r="N1502" s="9">
        <f>Table1[[#This Row],[Cost Price]]*Table1[[#This Row],[Quantity]]</f>
        <v>480000</v>
      </c>
      <c r="O1502" s="9">
        <f>Table1[[#This Row],[Revenue]]-Table1[[#This Row],[COGS]]</f>
        <v>120000</v>
      </c>
      <c r="P1502" s="6">
        <v>1501</v>
      </c>
    </row>
    <row r="1503" spans="1:16">
      <c r="A1503" s="7" t="s">
        <v>134</v>
      </c>
      <c r="B1503" s="7" t="str">
        <f>TEXT(Table1[[#This Row],[Date]],"MMM")</f>
        <v>Jan</v>
      </c>
      <c r="C1503" t="s">
        <v>35</v>
      </c>
      <c r="D1503" t="s">
        <v>53</v>
      </c>
      <c r="E1503" t="s">
        <v>41</v>
      </c>
      <c r="F1503" t="s">
        <v>30</v>
      </c>
      <c r="G1503" t="s">
        <v>54</v>
      </c>
      <c r="H1503" t="s">
        <v>39</v>
      </c>
      <c r="I1503" s="9">
        <v>180000</v>
      </c>
      <c r="J1503">
        <v>10</v>
      </c>
      <c r="K1503" t="s">
        <v>65</v>
      </c>
      <c r="L1503" s="9">
        <f t="shared" si="23"/>
        <v>144000</v>
      </c>
      <c r="M1503" s="9">
        <f>Table1[[#This Row],[Unit Price]]*Table1[[#This Row],[Quantity]]</f>
        <v>1800000</v>
      </c>
      <c r="N1503" s="9">
        <f>Table1[[#This Row],[Cost Price]]*Table1[[#This Row],[Quantity]]</f>
        <v>1440000</v>
      </c>
      <c r="O1503" s="9">
        <f>Table1[[#This Row],[Revenue]]-Table1[[#This Row],[COGS]]</f>
        <v>360000</v>
      </c>
      <c r="P1503" s="6">
        <v>1502</v>
      </c>
    </row>
    <row r="1504" spans="1:16">
      <c r="A1504" s="7" t="s">
        <v>89</v>
      </c>
      <c r="B1504" s="7" t="str">
        <f>TEXT(Table1[[#This Row],[Date]],"MMM")</f>
        <v>Feb</v>
      </c>
      <c r="C1504" t="s">
        <v>35</v>
      </c>
      <c r="D1504" t="s">
        <v>45</v>
      </c>
      <c r="E1504" t="s">
        <v>41</v>
      </c>
      <c r="F1504" t="s">
        <v>37</v>
      </c>
      <c r="G1504" t="s">
        <v>50</v>
      </c>
      <c r="H1504" t="s">
        <v>51</v>
      </c>
      <c r="I1504" s="9">
        <v>300000</v>
      </c>
      <c r="J1504">
        <v>5</v>
      </c>
      <c r="K1504" t="s">
        <v>58</v>
      </c>
      <c r="L1504" s="9">
        <f t="shared" si="23"/>
        <v>240000</v>
      </c>
      <c r="M1504" s="9">
        <f>Table1[[#This Row],[Unit Price]]*Table1[[#This Row],[Quantity]]</f>
        <v>1500000</v>
      </c>
      <c r="N1504" s="9">
        <f>Table1[[#This Row],[Cost Price]]*Table1[[#This Row],[Quantity]]</f>
        <v>1200000</v>
      </c>
      <c r="O1504" s="9">
        <f>Table1[[#This Row],[Revenue]]-Table1[[#This Row],[COGS]]</f>
        <v>300000</v>
      </c>
      <c r="P1504" s="6">
        <v>1503</v>
      </c>
    </row>
    <row r="1505" spans="1:16">
      <c r="A1505" s="7" t="s">
        <v>167</v>
      </c>
      <c r="B1505" s="7" t="str">
        <f>TEXT(Table1[[#This Row],[Date]],"MMM")</f>
        <v>Apr</v>
      </c>
      <c r="C1505" t="s">
        <v>35</v>
      </c>
      <c r="D1505" t="s">
        <v>53</v>
      </c>
      <c r="E1505" t="s">
        <v>29</v>
      </c>
      <c r="F1505" t="s">
        <v>37</v>
      </c>
      <c r="G1505" t="s">
        <v>31</v>
      </c>
      <c r="H1505" t="s">
        <v>32</v>
      </c>
      <c r="I1505" s="9">
        <v>85000</v>
      </c>
      <c r="J1505">
        <v>7</v>
      </c>
      <c r="K1505" t="s">
        <v>65</v>
      </c>
      <c r="L1505" s="9">
        <f t="shared" si="23"/>
        <v>68000</v>
      </c>
      <c r="M1505" s="9">
        <f>Table1[[#This Row],[Unit Price]]*Table1[[#This Row],[Quantity]]</f>
        <v>595000</v>
      </c>
      <c r="N1505" s="9">
        <f>Table1[[#This Row],[Cost Price]]*Table1[[#This Row],[Quantity]]</f>
        <v>476000</v>
      </c>
      <c r="O1505" s="9">
        <f>Table1[[#This Row],[Revenue]]-Table1[[#This Row],[COGS]]</f>
        <v>119000</v>
      </c>
      <c r="P1505" s="6">
        <v>1504</v>
      </c>
    </row>
    <row r="1506" spans="1:16">
      <c r="A1506" s="7" t="s">
        <v>77</v>
      </c>
      <c r="B1506" s="7" t="str">
        <f>TEXT(Table1[[#This Row],[Date]],"MMM")</f>
        <v>Apr</v>
      </c>
      <c r="C1506" t="s">
        <v>35</v>
      </c>
      <c r="D1506" t="s">
        <v>28</v>
      </c>
      <c r="E1506" t="s">
        <v>29</v>
      </c>
      <c r="F1506" t="s">
        <v>30</v>
      </c>
      <c r="G1506" t="s">
        <v>54</v>
      </c>
      <c r="H1506" t="s">
        <v>39</v>
      </c>
      <c r="I1506" s="9">
        <v>180000</v>
      </c>
      <c r="J1506">
        <v>5</v>
      </c>
      <c r="K1506" t="s">
        <v>47</v>
      </c>
      <c r="L1506" s="9">
        <f t="shared" si="23"/>
        <v>144000</v>
      </c>
      <c r="M1506" s="9">
        <f>Table1[[#This Row],[Unit Price]]*Table1[[#This Row],[Quantity]]</f>
        <v>900000</v>
      </c>
      <c r="N1506" s="9">
        <f>Table1[[#This Row],[Cost Price]]*Table1[[#This Row],[Quantity]]</f>
        <v>720000</v>
      </c>
      <c r="O1506" s="9">
        <f>Table1[[#This Row],[Revenue]]-Table1[[#This Row],[COGS]]</f>
        <v>180000</v>
      </c>
      <c r="P1506" s="6">
        <v>1505</v>
      </c>
    </row>
    <row r="1507" spans="1:16">
      <c r="A1507" s="7" t="s">
        <v>115</v>
      </c>
      <c r="B1507" s="7" t="str">
        <f>TEXT(Table1[[#This Row],[Date]],"MMM")</f>
        <v>Jan</v>
      </c>
      <c r="C1507" t="s">
        <v>35</v>
      </c>
      <c r="D1507" t="s">
        <v>45</v>
      </c>
      <c r="E1507" t="s">
        <v>41</v>
      </c>
      <c r="F1507" t="s">
        <v>37</v>
      </c>
      <c r="G1507" t="s">
        <v>56</v>
      </c>
      <c r="H1507" t="s">
        <v>32</v>
      </c>
      <c r="I1507" s="9">
        <v>320000</v>
      </c>
      <c r="J1507">
        <v>4</v>
      </c>
      <c r="K1507" t="s">
        <v>42</v>
      </c>
      <c r="L1507" s="9">
        <f t="shared" si="23"/>
        <v>256000</v>
      </c>
      <c r="M1507" s="9">
        <f>Table1[[#This Row],[Unit Price]]*Table1[[#This Row],[Quantity]]</f>
        <v>1280000</v>
      </c>
      <c r="N1507" s="9">
        <f>Table1[[#This Row],[Cost Price]]*Table1[[#This Row],[Quantity]]</f>
        <v>1024000</v>
      </c>
      <c r="O1507" s="9">
        <f>Table1[[#This Row],[Revenue]]-Table1[[#This Row],[COGS]]</f>
        <v>256000</v>
      </c>
      <c r="P1507" s="6">
        <v>1506</v>
      </c>
    </row>
    <row r="1508" spans="1:16">
      <c r="A1508" s="7" t="s">
        <v>128</v>
      </c>
      <c r="B1508" s="7" t="str">
        <f>TEXT(Table1[[#This Row],[Date]],"MMM")</f>
        <v>Mar</v>
      </c>
      <c r="C1508" t="s">
        <v>27</v>
      </c>
      <c r="D1508" t="s">
        <v>28</v>
      </c>
      <c r="E1508" t="s">
        <v>41</v>
      </c>
      <c r="F1508" t="s">
        <v>30</v>
      </c>
      <c r="G1508" t="s">
        <v>54</v>
      </c>
      <c r="H1508" t="s">
        <v>39</v>
      </c>
      <c r="I1508" s="9">
        <v>180000</v>
      </c>
      <c r="J1508">
        <v>8</v>
      </c>
      <c r="K1508" t="s">
        <v>47</v>
      </c>
      <c r="L1508" s="9">
        <f t="shared" si="23"/>
        <v>144000</v>
      </c>
      <c r="M1508" s="9">
        <f>Table1[[#This Row],[Unit Price]]*Table1[[#This Row],[Quantity]]</f>
        <v>1440000</v>
      </c>
      <c r="N1508" s="9">
        <f>Table1[[#This Row],[Cost Price]]*Table1[[#This Row],[Quantity]]</f>
        <v>1152000</v>
      </c>
      <c r="O1508" s="9">
        <f>Table1[[#This Row],[Revenue]]-Table1[[#This Row],[COGS]]</f>
        <v>288000</v>
      </c>
      <c r="P1508" s="6">
        <v>1507</v>
      </c>
    </row>
    <row r="1509" spans="1:16">
      <c r="A1509" s="7" t="s">
        <v>147</v>
      </c>
      <c r="B1509" s="7" t="str">
        <f>TEXT(Table1[[#This Row],[Date]],"MMM")</f>
        <v>Jan</v>
      </c>
      <c r="C1509" t="s">
        <v>49</v>
      </c>
      <c r="D1509" t="s">
        <v>45</v>
      </c>
      <c r="E1509" t="s">
        <v>29</v>
      </c>
      <c r="F1509" t="s">
        <v>30</v>
      </c>
      <c r="G1509" t="s">
        <v>38</v>
      </c>
      <c r="H1509" t="s">
        <v>39</v>
      </c>
      <c r="I1509" s="9">
        <v>30000</v>
      </c>
      <c r="J1509">
        <v>3</v>
      </c>
      <c r="K1509" t="s">
        <v>65</v>
      </c>
      <c r="L1509" s="9">
        <f t="shared" si="23"/>
        <v>24000</v>
      </c>
      <c r="M1509" s="9">
        <f>Table1[[#This Row],[Unit Price]]*Table1[[#This Row],[Quantity]]</f>
        <v>90000</v>
      </c>
      <c r="N1509" s="9">
        <f>Table1[[#This Row],[Cost Price]]*Table1[[#This Row],[Quantity]]</f>
        <v>72000</v>
      </c>
      <c r="O1509" s="9">
        <f>Table1[[#This Row],[Revenue]]-Table1[[#This Row],[COGS]]</f>
        <v>18000</v>
      </c>
      <c r="P1509" s="6">
        <v>1508</v>
      </c>
    </row>
    <row r="1510" spans="1:16">
      <c r="A1510" s="7" t="s">
        <v>43</v>
      </c>
      <c r="B1510" s="7" t="str">
        <f>TEXT(Table1[[#This Row],[Date]],"MMM")</f>
        <v>Apr</v>
      </c>
      <c r="C1510" t="s">
        <v>49</v>
      </c>
      <c r="D1510" t="s">
        <v>53</v>
      </c>
      <c r="E1510" t="s">
        <v>41</v>
      </c>
      <c r="F1510" t="s">
        <v>37</v>
      </c>
      <c r="G1510" t="s">
        <v>73</v>
      </c>
      <c r="H1510" t="s">
        <v>39</v>
      </c>
      <c r="I1510" s="9">
        <v>220000</v>
      </c>
      <c r="J1510">
        <v>3</v>
      </c>
      <c r="K1510" t="s">
        <v>42</v>
      </c>
      <c r="L1510" s="9">
        <f t="shared" si="23"/>
        <v>176000</v>
      </c>
      <c r="M1510" s="9">
        <f>Table1[[#This Row],[Unit Price]]*Table1[[#This Row],[Quantity]]</f>
        <v>660000</v>
      </c>
      <c r="N1510" s="9">
        <f>Table1[[#This Row],[Cost Price]]*Table1[[#This Row],[Quantity]]</f>
        <v>528000</v>
      </c>
      <c r="O1510" s="9">
        <f>Table1[[#This Row],[Revenue]]-Table1[[#This Row],[COGS]]</f>
        <v>132000</v>
      </c>
      <c r="P1510" s="6">
        <v>1509</v>
      </c>
    </row>
    <row r="1511" spans="1:16">
      <c r="A1511" s="7" t="s">
        <v>163</v>
      </c>
      <c r="B1511" s="7" t="str">
        <f>TEXT(Table1[[#This Row],[Date]],"MMM")</f>
        <v>Apr</v>
      </c>
      <c r="C1511" t="s">
        <v>35</v>
      </c>
      <c r="D1511" t="s">
        <v>45</v>
      </c>
      <c r="E1511" t="s">
        <v>29</v>
      </c>
      <c r="F1511" t="s">
        <v>30</v>
      </c>
      <c r="G1511" t="s">
        <v>31</v>
      </c>
      <c r="H1511" t="s">
        <v>32</v>
      </c>
      <c r="I1511" s="9">
        <v>85000</v>
      </c>
      <c r="J1511">
        <v>4</v>
      </c>
      <c r="K1511" t="s">
        <v>42</v>
      </c>
      <c r="L1511" s="9">
        <f t="shared" si="23"/>
        <v>68000</v>
      </c>
      <c r="M1511" s="9">
        <f>Table1[[#This Row],[Unit Price]]*Table1[[#This Row],[Quantity]]</f>
        <v>340000</v>
      </c>
      <c r="N1511" s="9">
        <f>Table1[[#This Row],[Cost Price]]*Table1[[#This Row],[Quantity]]</f>
        <v>272000</v>
      </c>
      <c r="O1511" s="9">
        <f>Table1[[#This Row],[Revenue]]-Table1[[#This Row],[COGS]]</f>
        <v>68000</v>
      </c>
      <c r="P1511" s="6">
        <v>1510</v>
      </c>
    </row>
    <row r="1512" spans="1:16">
      <c r="A1512" s="7" t="s">
        <v>154</v>
      </c>
      <c r="B1512" s="7" t="str">
        <f>TEXT(Table1[[#This Row],[Date]],"MMM")</f>
        <v>Feb</v>
      </c>
      <c r="C1512" t="s">
        <v>49</v>
      </c>
      <c r="D1512" t="s">
        <v>36</v>
      </c>
      <c r="E1512" t="s">
        <v>29</v>
      </c>
      <c r="F1512" t="s">
        <v>30</v>
      </c>
      <c r="G1512" t="s">
        <v>54</v>
      </c>
      <c r="H1512" t="s">
        <v>39</v>
      </c>
      <c r="I1512" s="9">
        <v>180000</v>
      </c>
      <c r="J1512">
        <v>6</v>
      </c>
      <c r="K1512" t="s">
        <v>42</v>
      </c>
      <c r="L1512" s="9">
        <f t="shared" si="23"/>
        <v>144000</v>
      </c>
      <c r="M1512" s="9">
        <f>Table1[[#This Row],[Unit Price]]*Table1[[#This Row],[Quantity]]</f>
        <v>1080000</v>
      </c>
      <c r="N1512" s="9">
        <f>Table1[[#This Row],[Cost Price]]*Table1[[#This Row],[Quantity]]</f>
        <v>864000</v>
      </c>
      <c r="O1512" s="9">
        <f>Table1[[#This Row],[Revenue]]-Table1[[#This Row],[COGS]]</f>
        <v>216000</v>
      </c>
      <c r="P1512" s="6">
        <v>1511</v>
      </c>
    </row>
    <row r="1513" spans="1:16">
      <c r="A1513" s="7" t="s">
        <v>98</v>
      </c>
      <c r="B1513" s="7" t="str">
        <f>TEXT(Table1[[#This Row],[Date]],"MMM")</f>
        <v>Jan</v>
      </c>
      <c r="C1513" t="s">
        <v>49</v>
      </c>
      <c r="D1513" t="s">
        <v>45</v>
      </c>
      <c r="E1513" t="s">
        <v>41</v>
      </c>
      <c r="F1513" t="s">
        <v>37</v>
      </c>
      <c r="G1513" t="s">
        <v>73</v>
      </c>
      <c r="H1513" t="s">
        <v>39</v>
      </c>
      <c r="I1513" s="9">
        <v>220000</v>
      </c>
      <c r="J1513">
        <v>8</v>
      </c>
      <c r="K1513" t="s">
        <v>33</v>
      </c>
      <c r="L1513" s="9">
        <f t="shared" si="23"/>
        <v>176000</v>
      </c>
      <c r="M1513" s="9">
        <f>Table1[[#This Row],[Unit Price]]*Table1[[#This Row],[Quantity]]</f>
        <v>1760000</v>
      </c>
      <c r="N1513" s="9">
        <f>Table1[[#This Row],[Cost Price]]*Table1[[#This Row],[Quantity]]</f>
        <v>1408000</v>
      </c>
      <c r="O1513" s="9">
        <f>Table1[[#This Row],[Revenue]]-Table1[[#This Row],[COGS]]</f>
        <v>352000</v>
      </c>
      <c r="P1513" s="6">
        <v>1512</v>
      </c>
    </row>
    <row r="1514" spans="1:16">
      <c r="A1514" s="7" t="s">
        <v>136</v>
      </c>
      <c r="B1514" s="7" t="str">
        <f>TEXT(Table1[[#This Row],[Date]],"MMM")</f>
        <v>Feb</v>
      </c>
      <c r="C1514" t="s">
        <v>44</v>
      </c>
      <c r="D1514" t="s">
        <v>36</v>
      </c>
      <c r="E1514" t="s">
        <v>29</v>
      </c>
      <c r="F1514" t="s">
        <v>37</v>
      </c>
      <c r="G1514" t="s">
        <v>62</v>
      </c>
      <c r="H1514" t="s">
        <v>51</v>
      </c>
      <c r="I1514" s="9">
        <v>150000</v>
      </c>
      <c r="J1514">
        <v>1</v>
      </c>
      <c r="K1514" t="s">
        <v>69</v>
      </c>
      <c r="L1514" s="9">
        <f t="shared" si="23"/>
        <v>120000</v>
      </c>
      <c r="M1514" s="9">
        <f>Table1[[#This Row],[Unit Price]]*Table1[[#This Row],[Quantity]]</f>
        <v>150000</v>
      </c>
      <c r="N1514" s="9">
        <f>Table1[[#This Row],[Cost Price]]*Table1[[#This Row],[Quantity]]</f>
        <v>120000</v>
      </c>
      <c r="O1514" s="9">
        <f>Table1[[#This Row],[Revenue]]-Table1[[#This Row],[COGS]]</f>
        <v>30000</v>
      </c>
      <c r="P1514" s="6">
        <v>1513</v>
      </c>
    </row>
    <row r="1515" spans="1:16">
      <c r="A1515" s="7" t="s">
        <v>141</v>
      </c>
      <c r="B1515" s="7" t="str">
        <f>TEXT(Table1[[#This Row],[Date]],"MMM")</f>
        <v>Mar</v>
      </c>
      <c r="C1515" t="s">
        <v>49</v>
      </c>
      <c r="D1515" t="s">
        <v>45</v>
      </c>
      <c r="E1515" t="s">
        <v>41</v>
      </c>
      <c r="F1515" t="s">
        <v>30</v>
      </c>
      <c r="G1515" t="s">
        <v>54</v>
      </c>
      <c r="H1515" t="s">
        <v>39</v>
      </c>
      <c r="I1515" s="9">
        <v>180000</v>
      </c>
      <c r="J1515">
        <v>9</v>
      </c>
      <c r="K1515" t="s">
        <v>58</v>
      </c>
      <c r="L1515" s="9">
        <f t="shared" si="23"/>
        <v>144000</v>
      </c>
      <c r="M1515" s="9">
        <f>Table1[[#This Row],[Unit Price]]*Table1[[#This Row],[Quantity]]</f>
        <v>1620000</v>
      </c>
      <c r="N1515" s="9">
        <f>Table1[[#This Row],[Cost Price]]*Table1[[#This Row],[Quantity]]</f>
        <v>1296000</v>
      </c>
      <c r="O1515" s="9">
        <f>Table1[[#This Row],[Revenue]]-Table1[[#This Row],[COGS]]</f>
        <v>324000</v>
      </c>
      <c r="P1515" s="6">
        <v>1514</v>
      </c>
    </row>
    <row r="1516" spans="1:16">
      <c r="A1516" s="7" t="s">
        <v>121</v>
      </c>
      <c r="B1516" s="7" t="str">
        <f>TEXT(Table1[[#This Row],[Date]],"MMM")</f>
        <v>Apr</v>
      </c>
      <c r="C1516" t="s">
        <v>49</v>
      </c>
      <c r="D1516" t="s">
        <v>45</v>
      </c>
      <c r="E1516" t="s">
        <v>41</v>
      </c>
      <c r="F1516" t="s">
        <v>37</v>
      </c>
      <c r="G1516" t="s">
        <v>67</v>
      </c>
      <c r="H1516" t="s">
        <v>51</v>
      </c>
      <c r="I1516" s="9">
        <v>420000</v>
      </c>
      <c r="J1516">
        <v>10</v>
      </c>
      <c r="K1516" t="s">
        <v>33</v>
      </c>
      <c r="L1516" s="9">
        <f t="shared" si="23"/>
        <v>336000</v>
      </c>
      <c r="M1516" s="9">
        <f>Table1[[#This Row],[Unit Price]]*Table1[[#This Row],[Quantity]]</f>
        <v>4200000</v>
      </c>
      <c r="N1516" s="9">
        <f>Table1[[#This Row],[Cost Price]]*Table1[[#This Row],[Quantity]]</f>
        <v>3360000</v>
      </c>
      <c r="O1516" s="9">
        <f>Table1[[#This Row],[Revenue]]-Table1[[#This Row],[COGS]]</f>
        <v>840000</v>
      </c>
      <c r="P1516" s="6">
        <v>1515</v>
      </c>
    </row>
    <row r="1517" spans="1:16">
      <c r="A1517" s="7" t="s">
        <v>59</v>
      </c>
      <c r="B1517" s="7" t="str">
        <f>TEXT(Table1[[#This Row],[Date]],"MMM")</f>
        <v>Mar</v>
      </c>
      <c r="C1517" t="s">
        <v>27</v>
      </c>
      <c r="D1517" t="s">
        <v>53</v>
      </c>
      <c r="E1517" t="s">
        <v>29</v>
      </c>
      <c r="F1517" t="s">
        <v>30</v>
      </c>
      <c r="G1517" t="s">
        <v>71</v>
      </c>
      <c r="H1517" t="s">
        <v>51</v>
      </c>
      <c r="I1517" s="9">
        <v>250000</v>
      </c>
      <c r="J1517">
        <v>10</v>
      </c>
      <c r="K1517" t="s">
        <v>33</v>
      </c>
      <c r="L1517" s="9">
        <f t="shared" si="23"/>
        <v>200000</v>
      </c>
      <c r="M1517" s="9">
        <f>Table1[[#This Row],[Unit Price]]*Table1[[#This Row],[Quantity]]</f>
        <v>2500000</v>
      </c>
      <c r="N1517" s="9">
        <f>Table1[[#This Row],[Cost Price]]*Table1[[#This Row],[Quantity]]</f>
        <v>2000000</v>
      </c>
      <c r="O1517" s="9">
        <f>Table1[[#This Row],[Revenue]]-Table1[[#This Row],[COGS]]</f>
        <v>500000</v>
      </c>
      <c r="P1517" s="6">
        <v>1516</v>
      </c>
    </row>
    <row r="1518" spans="1:16">
      <c r="A1518" s="7" t="s">
        <v>78</v>
      </c>
      <c r="B1518" s="7" t="str">
        <f>TEXT(Table1[[#This Row],[Date]],"MMM")</f>
        <v>Apr</v>
      </c>
      <c r="C1518" t="s">
        <v>35</v>
      </c>
      <c r="D1518" t="s">
        <v>45</v>
      </c>
      <c r="E1518" t="s">
        <v>29</v>
      </c>
      <c r="F1518" t="s">
        <v>37</v>
      </c>
      <c r="G1518" t="s">
        <v>73</v>
      </c>
      <c r="H1518" t="s">
        <v>39</v>
      </c>
      <c r="I1518" s="9">
        <v>220000</v>
      </c>
      <c r="J1518">
        <v>3</v>
      </c>
      <c r="K1518" t="s">
        <v>42</v>
      </c>
      <c r="L1518" s="9">
        <f t="shared" si="23"/>
        <v>176000</v>
      </c>
      <c r="M1518" s="9">
        <f>Table1[[#This Row],[Unit Price]]*Table1[[#This Row],[Quantity]]</f>
        <v>660000</v>
      </c>
      <c r="N1518" s="9">
        <f>Table1[[#This Row],[Cost Price]]*Table1[[#This Row],[Quantity]]</f>
        <v>528000</v>
      </c>
      <c r="O1518" s="9">
        <f>Table1[[#This Row],[Revenue]]-Table1[[#This Row],[COGS]]</f>
        <v>132000</v>
      </c>
      <c r="P1518" s="6">
        <v>1517</v>
      </c>
    </row>
    <row r="1519" spans="1:16">
      <c r="A1519" s="7" t="s">
        <v>139</v>
      </c>
      <c r="B1519" s="7" t="str">
        <f>TEXT(Table1[[#This Row],[Date]],"MMM")</f>
        <v>Jan</v>
      </c>
      <c r="C1519" t="s">
        <v>49</v>
      </c>
      <c r="D1519" t="s">
        <v>53</v>
      </c>
      <c r="E1519" t="s">
        <v>29</v>
      </c>
      <c r="F1519" t="s">
        <v>30</v>
      </c>
      <c r="G1519" t="s">
        <v>38</v>
      </c>
      <c r="H1519" t="s">
        <v>39</v>
      </c>
      <c r="I1519" s="9">
        <v>30000</v>
      </c>
      <c r="J1519">
        <v>4</v>
      </c>
      <c r="K1519" t="s">
        <v>58</v>
      </c>
      <c r="L1519" s="9">
        <f t="shared" si="23"/>
        <v>24000</v>
      </c>
      <c r="M1519" s="9">
        <f>Table1[[#This Row],[Unit Price]]*Table1[[#This Row],[Quantity]]</f>
        <v>120000</v>
      </c>
      <c r="N1519" s="9">
        <f>Table1[[#This Row],[Cost Price]]*Table1[[#This Row],[Quantity]]</f>
        <v>96000</v>
      </c>
      <c r="O1519" s="9">
        <f>Table1[[#This Row],[Revenue]]-Table1[[#This Row],[COGS]]</f>
        <v>24000</v>
      </c>
      <c r="P1519" s="6">
        <v>1518</v>
      </c>
    </row>
    <row r="1520" spans="1:16">
      <c r="A1520" s="7" t="s">
        <v>162</v>
      </c>
      <c r="B1520" s="7" t="str">
        <f>TEXT(Table1[[#This Row],[Date]],"MMM")</f>
        <v>Apr</v>
      </c>
      <c r="C1520" t="s">
        <v>35</v>
      </c>
      <c r="D1520" t="s">
        <v>53</v>
      </c>
      <c r="E1520" t="s">
        <v>29</v>
      </c>
      <c r="F1520" t="s">
        <v>37</v>
      </c>
      <c r="G1520" t="s">
        <v>54</v>
      </c>
      <c r="H1520" t="s">
        <v>39</v>
      </c>
      <c r="I1520" s="9">
        <v>180000</v>
      </c>
      <c r="J1520">
        <v>9</v>
      </c>
      <c r="K1520" t="s">
        <v>58</v>
      </c>
      <c r="L1520" s="9">
        <f t="shared" si="23"/>
        <v>144000</v>
      </c>
      <c r="M1520" s="9">
        <f>Table1[[#This Row],[Unit Price]]*Table1[[#This Row],[Quantity]]</f>
        <v>1620000</v>
      </c>
      <c r="N1520" s="9">
        <f>Table1[[#This Row],[Cost Price]]*Table1[[#This Row],[Quantity]]</f>
        <v>1296000</v>
      </c>
      <c r="O1520" s="9">
        <f>Table1[[#This Row],[Revenue]]-Table1[[#This Row],[COGS]]</f>
        <v>324000</v>
      </c>
      <c r="P1520" s="6">
        <v>1519</v>
      </c>
    </row>
    <row r="1521" spans="1:16">
      <c r="A1521" s="7" t="s">
        <v>174</v>
      </c>
      <c r="B1521" s="7" t="str">
        <f>TEXT(Table1[[#This Row],[Date]],"MMM")</f>
        <v>Feb</v>
      </c>
      <c r="C1521" t="s">
        <v>27</v>
      </c>
      <c r="D1521" t="s">
        <v>45</v>
      </c>
      <c r="E1521" t="s">
        <v>29</v>
      </c>
      <c r="F1521" t="s">
        <v>37</v>
      </c>
      <c r="G1521" t="s">
        <v>54</v>
      </c>
      <c r="H1521" t="s">
        <v>39</v>
      </c>
      <c r="I1521" s="9">
        <v>180000</v>
      </c>
      <c r="J1521">
        <v>7</v>
      </c>
      <c r="K1521" t="s">
        <v>58</v>
      </c>
      <c r="L1521" s="9">
        <f t="shared" si="23"/>
        <v>144000</v>
      </c>
      <c r="M1521" s="9">
        <f>Table1[[#This Row],[Unit Price]]*Table1[[#This Row],[Quantity]]</f>
        <v>1260000</v>
      </c>
      <c r="N1521" s="9">
        <f>Table1[[#This Row],[Cost Price]]*Table1[[#This Row],[Quantity]]</f>
        <v>1008000</v>
      </c>
      <c r="O1521" s="9">
        <f>Table1[[#This Row],[Revenue]]-Table1[[#This Row],[COGS]]</f>
        <v>252000</v>
      </c>
      <c r="P1521" s="6">
        <v>1520</v>
      </c>
    </row>
    <row r="1522" spans="1:16">
      <c r="A1522" s="7" t="s">
        <v>90</v>
      </c>
      <c r="B1522" s="7" t="str">
        <f>TEXT(Table1[[#This Row],[Date]],"MMM")</f>
        <v>Feb</v>
      </c>
      <c r="C1522" t="s">
        <v>35</v>
      </c>
      <c r="D1522" t="s">
        <v>28</v>
      </c>
      <c r="E1522" t="s">
        <v>41</v>
      </c>
      <c r="F1522" t="s">
        <v>37</v>
      </c>
      <c r="G1522" t="s">
        <v>62</v>
      </c>
      <c r="H1522" t="s">
        <v>51</v>
      </c>
      <c r="I1522" s="9">
        <v>150000</v>
      </c>
      <c r="J1522">
        <v>7</v>
      </c>
      <c r="K1522" t="s">
        <v>33</v>
      </c>
      <c r="L1522" s="9">
        <f t="shared" si="23"/>
        <v>120000</v>
      </c>
      <c r="M1522" s="9">
        <f>Table1[[#This Row],[Unit Price]]*Table1[[#This Row],[Quantity]]</f>
        <v>1050000</v>
      </c>
      <c r="N1522" s="9">
        <f>Table1[[#This Row],[Cost Price]]*Table1[[#This Row],[Quantity]]</f>
        <v>840000</v>
      </c>
      <c r="O1522" s="9">
        <f>Table1[[#This Row],[Revenue]]-Table1[[#This Row],[COGS]]</f>
        <v>210000</v>
      </c>
      <c r="P1522" s="6">
        <v>1521</v>
      </c>
    </row>
    <row r="1523" spans="1:16">
      <c r="A1523" s="7" t="s">
        <v>98</v>
      </c>
      <c r="B1523" s="7" t="str">
        <f>TEXT(Table1[[#This Row],[Date]],"MMM")</f>
        <v>Jan</v>
      </c>
      <c r="C1523" t="s">
        <v>35</v>
      </c>
      <c r="D1523" t="s">
        <v>53</v>
      </c>
      <c r="E1523" t="s">
        <v>29</v>
      </c>
      <c r="F1523" t="s">
        <v>30</v>
      </c>
      <c r="G1523" t="s">
        <v>38</v>
      </c>
      <c r="H1523" t="s">
        <v>39</v>
      </c>
      <c r="I1523" s="9">
        <v>30000</v>
      </c>
      <c r="J1523">
        <v>4</v>
      </c>
      <c r="K1523" t="s">
        <v>47</v>
      </c>
      <c r="L1523" s="9">
        <f t="shared" si="23"/>
        <v>24000</v>
      </c>
      <c r="M1523" s="9">
        <f>Table1[[#This Row],[Unit Price]]*Table1[[#This Row],[Quantity]]</f>
        <v>120000</v>
      </c>
      <c r="N1523" s="9">
        <f>Table1[[#This Row],[Cost Price]]*Table1[[#This Row],[Quantity]]</f>
        <v>96000</v>
      </c>
      <c r="O1523" s="9">
        <f>Table1[[#This Row],[Revenue]]-Table1[[#This Row],[COGS]]</f>
        <v>24000</v>
      </c>
      <c r="P1523" s="6">
        <v>1522</v>
      </c>
    </row>
    <row r="1524" spans="1:16">
      <c r="A1524" s="7" t="s">
        <v>166</v>
      </c>
      <c r="B1524" s="7" t="str">
        <f>TEXT(Table1[[#This Row],[Date]],"MMM")</f>
        <v>Jan</v>
      </c>
      <c r="C1524" t="s">
        <v>35</v>
      </c>
      <c r="D1524" t="s">
        <v>36</v>
      </c>
      <c r="E1524" t="s">
        <v>29</v>
      </c>
      <c r="F1524" t="s">
        <v>30</v>
      </c>
      <c r="G1524" t="s">
        <v>56</v>
      </c>
      <c r="H1524" t="s">
        <v>32</v>
      </c>
      <c r="I1524" s="9">
        <v>320000</v>
      </c>
      <c r="J1524">
        <v>2</v>
      </c>
      <c r="K1524" t="s">
        <v>58</v>
      </c>
      <c r="L1524" s="9">
        <f t="shared" si="23"/>
        <v>256000</v>
      </c>
      <c r="M1524" s="9">
        <f>Table1[[#This Row],[Unit Price]]*Table1[[#This Row],[Quantity]]</f>
        <v>640000</v>
      </c>
      <c r="N1524" s="9">
        <f>Table1[[#This Row],[Cost Price]]*Table1[[#This Row],[Quantity]]</f>
        <v>512000</v>
      </c>
      <c r="O1524" s="9">
        <f>Table1[[#This Row],[Revenue]]-Table1[[#This Row],[COGS]]</f>
        <v>128000</v>
      </c>
      <c r="P1524" s="6">
        <v>1523</v>
      </c>
    </row>
    <row r="1525" spans="1:16">
      <c r="A1525" s="7" t="s">
        <v>137</v>
      </c>
      <c r="B1525" s="7" t="str">
        <f>TEXT(Table1[[#This Row],[Date]],"MMM")</f>
        <v>Apr</v>
      </c>
      <c r="C1525" t="s">
        <v>35</v>
      </c>
      <c r="D1525" t="s">
        <v>36</v>
      </c>
      <c r="E1525" t="s">
        <v>41</v>
      </c>
      <c r="F1525" t="s">
        <v>37</v>
      </c>
      <c r="G1525" t="s">
        <v>56</v>
      </c>
      <c r="H1525" t="s">
        <v>32</v>
      </c>
      <c r="I1525" s="9">
        <v>320000</v>
      </c>
      <c r="J1525">
        <v>6</v>
      </c>
      <c r="K1525" t="s">
        <v>65</v>
      </c>
      <c r="L1525" s="9">
        <f t="shared" si="23"/>
        <v>256000</v>
      </c>
      <c r="M1525" s="9">
        <f>Table1[[#This Row],[Unit Price]]*Table1[[#This Row],[Quantity]]</f>
        <v>1920000</v>
      </c>
      <c r="N1525" s="9">
        <f>Table1[[#This Row],[Cost Price]]*Table1[[#This Row],[Quantity]]</f>
        <v>1536000</v>
      </c>
      <c r="O1525" s="9">
        <f>Table1[[#This Row],[Revenue]]-Table1[[#This Row],[COGS]]</f>
        <v>384000</v>
      </c>
      <c r="P1525" s="6">
        <v>1524</v>
      </c>
    </row>
    <row r="1526" spans="1:16">
      <c r="A1526" s="7" t="s">
        <v>78</v>
      </c>
      <c r="B1526" s="7" t="str">
        <f>TEXT(Table1[[#This Row],[Date]],"MMM")</f>
        <v>Apr</v>
      </c>
      <c r="C1526" t="s">
        <v>35</v>
      </c>
      <c r="D1526" t="s">
        <v>45</v>
      </c>
      <c r="E1526" t="s">
        <v>41</v>
      </c>
      <c r="F1526" t="s">
        <v>37</v>
      </c>
      <c r="G1526" t="s">
        <v>67</v>
      </c>
      <c r="H1526" t="s">
        <v>51</v>
      </c>
      <c r="I1526" s="9">
        <v>420000</v>
      </c>
      <c r="J1526">
        <v>10</v>
      </c>
      <c r="K1526" t="s">
        <v>42</v>
      </c>
      <c r="L1526" s="9">
        <f t="shared" si="23"/>
        <v>336000</v>
      </c>
      <c r="M1526" s="9">
        <f>Table1[[#This Row],[Unit Price]]*Table1[[#This Row],[Quantity]]</f>
        <v>4200000</v>
      </c>
      <c r="N1526" s="9">
        <f>Table1[[#This Row],[Cost Price]]*Table1[[#This Row],[Quantity]]</f>
        <v>3360000</v>
      </c>
      <c r="O1526" s="9">
        <f>Table1[[#This Row],[Revenue]]-Table1[[#This Row],[COGS]]</f>
        <v>840000</v>
      </c>
      <c r="P1526" s="6">
        <v>1525</v>
      </c>
    </row>
    <row r="1527" spans="1:16">
      <c r="A1527" s="7" t="s">
        <v>138</v>
      </c>
      <c r="B1527" s="7" t="str">
        <f>TEXT(Table1[[#This Row],[Date]],"MMM")</f>
        <v>Apr</v>
      </c>
      <c r="C1527" t="s">
        <v>44</v>
      </c>
      <c r="D1527" t="s">
        <v>53</v>
      </c>
      <c r="E1527" t="s">
        <v>29</v>
      </c>
      <c r="F1527" t="s">
        <v>30</v>
      </c>
      <c r="G1527" t="s">
        <v>73</v>
      </c>
      <c r="H1527" t="s">
        <v>39</v>
      </c>
      <c r="I1527" s="9">
        <v>220000</v>
      </c>
      <c r="J1527">
        <v>8</v>
      </c>
      <c r="K1527" t="s">
        <v>33</v>
      </c>
      <c r="L1527" s="9">
        <f t="shared" si="23"/>
        <v>176000</v>
      </c>
      <c r="M1527" s="9">
        <f>Table1[[#This Row],[Unit Price]]*Table1[[#This Row],[Quantity]]</f>
        <v>1760000</v>
      </c>
      <c r="N1527" s="9">
        <f>Table1[[#This Row],[Cost Price]]*Table1[[#This Row],[Quantity]]</f>
        <v>1408000</v>
      </c>
      <c r="O1527" s="9">
        <f>Table1[[#This Row],[Revenue]]-Table1[[#This Row],[COGS]]</f>
        <v>352000</v>
      </c>
      <c r="P1527" s="6">
        <v>1526</v>
      </c>
    </row>
    <row r="1528" spans="1:16">
      <c r="A1528" s="7" t="s">
        <v>131</v>
      </c>
      <c r="B1528" s="7" t="str">
        <f>TEXT(Table1[[#This Row],[Date]],"MMM")</f>
        <v>Mar</v>
      </c>
      <c r="C1528" t="s">
        <v>35</v>
      </c>
      <c r="D1528" t="s">
        <v>28</v>
      </c>
      <c r="E1528" t="s">
        <v>29</v>
      </c>
      <c r="F1528" t="s">
        <v>30</v>
      </c>
      <c r="G1528" t="s">
        <v>50</v>
      </c>
      <c r="H1528" t="s">
        <v>51</v>
      </c>
      <c r="I1528" s="9">
        <v>300000</v>
      </c>
      <c r="J1528">
        <v>10</v>
      </c>
      <c r="K1528" t="s">
        <v>33</v>
      </c>
      <c r="L1528" s="9">
        <f t="shared" si="23"/>
        <v>240000</v>
      </c>
      <c r="M1528" s="9">
        <f>Table1[[#This Row],[Unit Price]]*Table1[[#This Row],[Quantity]]</f>
        <v>3000000</v>
      </c>
      <c r="N1528" s="9">
        <f>Table1[[#This Row],[Cost Price]]*Table1[[#This Row],[Quantity]]</f>
        <v>2400000</v>
      </c>
      <c r="O1528" s="9">
        <f>Table1[[#This Row],[Revenue]]-Table1[[#This Row],[COGS]]</f>
        <v>600000</v>
      </c>
      <c r="P1528" s="6">
        <v>1527</v>
      </c>
    </row>
    <row r="1529" spans="1:16">
      <c r="A1529" s="7" t="s">
        <v>63</v>
      </c>
      <c r="B1529" s="7" t="str">
        <f>TEXT(Table1[[#This Row],[Date]],"MMM")</f>
        <v>Jan</v>
      </c>
      <c r="C1529" t="s">
        <v>44</v>
      </c>
      <c r="D1529" t="s">
        <v>53</v>
      </c>
      <c r="E1529" t="s">
        <v>41</v>
      </c>
      <c r="F1529" t="s">
        <v>37</v>
      </c>
      <c r="G1529" t="s">
        <v>50</v>
      </c>
      <c r="H1529" t="s">
        <v>51</v>
      </c>
      <c r="I1529" s="9">
        <v>300000</v>
      </c>
      <c r="J1529">
        <v>3</v>
      </c>
      <c r="K1529" t="s">
        <v>47</v>
      </c>
      <c r="L1529" s="9">
        <f t="shared" si="23"/>
        <v>240000</v>
      </c>
      <c r="M1529" s="9">
        <f>Table1[[#This Row],[Unit Price]]*Table1[[#This Row],[Quantity]]</f>
        <v>900000</v>
      </c>
      <c r="N1529" s="9">
        <f>Table1[[#This Row],[Cost Price]]*Table1[[#This Row],[Quantity]]</f>
        <v>720000</v>
      </c>
      <c r="O1529" s="9">
        <f>Table1[[#This Row],[Revenue]]-Table1[[#This Row],[COGS]]</f>
        <v>180000</v>
      </c>
      <c r="P1529" s="6">
        <v>1528</v>
      </c>
    </row>
    <row r="1530" spans="1:16">
      <c r="A1530" s="7" t="s">
        <v>125</v>
      </c>
      <c r="B1530" s="7" t="str">
        <f>TEXT(Table1[[#This Row],[Date]],"MMM")</f>
        <v>Feb</v>
      </c>
      <c r="C1530" t="s">
        <v>49</v>
      </c>
      <c r="D1530" t="s">
        <v>28</v>
      </c>
      <c r="E1530" t="s">
        <v>29</v>
      </c>
      <c r="F1530" t="s">
        <v>30</v>
      </c>
      <c r="G1530" t="s">
        <v>56</v>
      </c>
      <c r="H1530" t="s">
        <v>32</v>
      </c>
      <c r="I1530" s="9">
        <v>320000</v>
      </c>
      <c r="J1530">
        <v>5</v>
      </c>
      <c r="K1530" t="s">
        <v>65</v>
      </c>
      <c r="L1530" s="9">
        <f t="shared" si="23"/>
        <v>256000</v>
      </c>
      <c r="M1530" s="9">
        <f>Table1[[#This Row],[Unit Price]]*Table1[[#This Row],[Quantity]]</f>
        <v>1600000</v>
      </c>
      <c r="N1530" s="9">
        <f>Table1[[#This Row],[Cost Price]]*Table1[[#This Row],[Quantity]]</f>
        <v>1280000</v>
      </c>
      <c r="O1530" s="9">
        <f>Table1[[#This Row],[Revenue]]-Table1[[#This Row],[COGS]]</f>
        <v>320000</v>
      </c>
      <c r="P1530" s="6">
        <v>1529</v>
      </c>
    </row>
    <row r="1531" spans="1:16">
      <c r="A1531" s="7" t="s">
        <v>86</v>
      </c>
      <c r="B1531" s="7" t="str">
        <f>TEXT(Table1[[#This Row],[Date]],"MMM")</f>
        <v>Feb</v>
      </c>
      <c r="C1531" t="s">
        <v>35</v>
      </c>
      <c r="D1531" t="s">
        <v>53</v>
      </c>
      <c r="E1531" t="s">
        <v>29</v>
      </c>
      <c r="F1531" t="s">
        <v>30</v>
      </c>
      <c r="G1531" t="s">
        <v>31</v>
      </c>
      <c r="H1531" t="s">
        <v>32</v>
      </c>
      <c r="I1531" s="9">
        <v>85000</v>
      </c>
      <c r="J1531">
        <v>7</v>
      </c>
      <c r="K1531" t="s">
        <v>33</v>
      </c>
      <c r="L1531" s="9">
        <f t="shared" si="23"/>
        <v>68000</v>
      </c>
      <c r="M1531" s="9">
        <f>Table1[[#This Row],[Unit Price]]*Table1[[#This Row],[Quantity]]</f>
        <v>595000</v>
      </c>
      <c r="N1531" s="9">
        <f>Table1[[#This Row],[Cost Price]]*Table1[[#This Row],[Quantity]]</f>
        <v>476000</v>
      </c>
      <c r="O1531" s="9">
        <f>Table1[[#This Row],[Revenue]]-Table1[[#This Row],[COGS]]</f>
        <v>119000</v>
      </c>
      <c r="P1531" s="6">
        <v>1530</v>
      </c>
    </row>
    <row r="1532" spans="1:16">
      <c r="A1532" s="7" t="s">
        <v>156</v>
      </c>
      <c r="B1532" s="7" t="str">
        <f>TEXT(Table1[[#This Row],[Date]],"MMM")</f>
        <v>Feb</v>
      </c>
      <c r="C1532" t="s">
        <v>27</v>
      </c>
      <c r="D1532" t="s">
        <v>45</v>
      </c>
      <c r="E1532" t="s">
        <v>29</v>
      </c>
      <c r="F1532" t="s">
        <v>37</v>
      </c>
      <c r="G1532" t="s">
        <v>73</v>
      </c>
      <c r="H1532" t="s">
        <v>39</v>
      </c>
      <c r="I1532" s="9">
        <v>220000</v>
      </c>
      <c r="J1532">
        <v>2</v>
      </c>
      <c r="K1532" t="s">
        <v>65</v>
      </c>
      <c r="L1532" s="9">
        <f t="shared" si="23"/>
        <v>176000</v>
      </c>
      <c r="M1532" s="9">
        <f>Table1[[#This Row],[Unit Price]]*Table1[[#This Row],[Quantity]]</f>
        <v>440000</v>
      </c>
      <c r="N1532" s="9">
        <f>Table1[[#This Row],[Cost Price]]*Table1[[#This Row],[Quantity]]</f>
        <v>352000</v>
      </c>
      <c r="O1532" s="9">
        <f>Table1[[#This Row],[Revenue]]-Table1[[#This Row],[COGS]]</f>
        <v>88000</v>
      </c>
      <c r="P1532" s="6">
        <v>1531</v>
      </c>
    </row>
    <row r="1533" spans="1:16">
      <c r="A1533" s="7" t="s">
        <v>135</v>
      </c>
      <c r="B1533" s="7" t="str">
        <f>TEXT(Table1[[#This Row],[Date]],"MMM")</f>
        <v>Mar</v>
      </c>
      <c r="C1533" t="s">
        <v>49</v>
      </c>
      <c r="D1533" t="s">
        <v>53</v>
      </c>
      <c r="E1533" t="s">
        <v>29</v>
      </c>
      <c r="F1533" t="s">
        <v>37</v>
      </c>
      <c r="G1533" t="s">
        <v>50</v>
      </c>
      <c r="H1533" t="s">
        <v>51</v>
      </c>
      <c r="I1533" s="9">
        <v>300000</v>
      </c>
      <c r="J1533">
        <v>2</v>
      </c>
      <c r="K1533" t="s">
        <v>47</v>
      </c>
      <c r="L1533" s="9">
        <f t="shared" si="23"/>
        <v>240000</v>
      </c>
      <c r="M1533" s="9">
        <f>Table1[[#This Row],[Unit Price]]*Table1[[#This Row],[Quantity]]</f>
        <v>600000</v>
      </c>
      <c r="N1533" s="9">
        <f>Table1[[#This Row],[Cost Price]]*Table1[[#This Row],[Quantity]]</f>
        <v>480000</v>
      </c>
      <c r="O1533" s="9">
        <f>Table1[[#This Row],[Revenue]]-Table1[[#This Row],[COGS]]</f>
        <v>120000</v>
      </c>
      <c r="P1533" s="6">
        <v>1532</v>
      </c>
    </row>
    <row r="1534" spans="1:16">
      <c r="A1534" s="7" t="s">
        <v>156</v>
      </c>
      <c r="B1534" s="7" t="str">
        <f>TEXT(Table1[[#This Row],[Date]],"MMM")</f>
        <v>Feb</v>
      </c>
      <c r="C1534" t="s">
        <v>44</v>
      </c>
      <c r="D1534" t="s">
        <v>36</v>
      </c>
      <c r="E1534" t="s">
        <v>41</v>
      </c>
      <c r="F1534" t="s">
        <v>30</v>
      </c>
      <c r="G1534" t="s">
        <v>31</v>
      </c>
      <c r="H1534" t="s">
        <v>32</v>
      </c>
      <c r="I1534" s="9">
        <v>85000</v>
      </c>
      <c r="J1534">
        <v>3</v>
      </c>
      <c r="K1534" t="s">
        <v>42</v>
      </c>
      <c r="L1534" s="9">
        <f t="shared" si="23"/>
        <v>68000</v>
      </c>
      <c r="M1534" s="9">
        <f>Table1[[#This Row],[Unit Price]]*Table1[[#This Row],[Quantity]]</f>
        <v>255000</v>
      </c>
      <c r="N1534" s="9">
        <f>Table1[[#This Row],[Cost Price]]*Table1[[#This Row],[Quantity]]</f>
        <v>204000</v>
      </c>
      <c r="O1534" s="9">
        <f>Table1[[#This Row],[Revenue]]-Table1[[#This Row],[COGS]]</f>
        <v>51000</v>
      </c>
      <c r="P1534" s="6">
        <v>1533</v>
      </c>
    </row>
    <row r="1535" spans="1:16">
      <c r="A1535" s="7" t="s">
        <v>26</v>
      </c>
      <c r="B1535" s="7" t="str">
        <f>TEXT(Table1[[#This Row],[Date]],"MMM")</f>
        <v>Jan</v>
      </c>
      <c r="C1535" t="s">
        <v>49</v>
      </c>
      <c r="D1535" t="s">
        <v>53</v>
      </c>
      <c r="E1535" t="s">
        <v>29</v>
      </c>
      <c r="F1535" t="s">
        <v>37</v>
      </c>
      <c r="G1535" t="s">
        <v>73</v>
      </c>
      <c r="H1535" t="s">
        <v>39</v>
      </c>
      <c r="I1535" s="9">
        <v>220000</v>
      </c>
      <c r="J1535">
        <v>7</v>
      </c>
      <c r="K1535" t="s">
        <v>65</v>
      </c>
      <c r="L1535" s="9">
        <f t="shared" si="23"/>
        <v>176000</v>
      </c>
      <c r="M1535" s="9">
        <f>Table1[[#This Row],[Unit Price]]*Table1[[#This Row],[Quantity]]</f>
        <v>1540000</v>
      </c>
      <c r="N1535" s="9">
        <f>Table1[[#This Row],[Cost Price]]*Table1[[#This Row],[Quantity]]</f>
        <v>1232000</v>
      </c>
      <c r="O1535" s="9">
        <f>Table1[[#This Row],[Revenue]]-Table1[[#This Row],[COGS]]</f>
        <v>308000</v>
      </c>
      <c r="P1535" s="6">
        <v>1534</v>
      </c>
    </row>
    <row r="1536" spans="1:16">
      <c r="A1536" s="7" t="s">
        <v>161</v>
      </c>
      <c r="B1536" s="7" t="str">
        <f>TEXT(Table1[[#This Row],[Date]],"MMM")</f>
        <v>Mar</v>
      </c>
      <c r="C1536" t="s">
        <v>35</v>
      </c>
      <c r="D1536" t="s">
        <v>45</v>
      </c>
      <c r="E1536" t="s">
        <v>41</v>
      </c>
      <c r="F1536" t="s">
        <v>30</v>
      </c>
      <c r="G1536" t="s">
        <v>62</v>
      </c>
      <c r="H1536" t="s">
        <v>51</v>
      </c>
      <c r="I1536" s="9">
        <v>150000</v>
      </c>
      <c r="J1536">
        <v>3</v>
      </c>
      <c r="K1536" t="s">
        <v>47</v>
      </c>
      <c r="L1536" s="9">
        <f t="shared" si="23"/>
        <v>120000</v>
      </c>
      <c r="M1536" s="9">
        <f>Table1[[#This Row],[Unit Price]]*Table1[[#This Row],[Quantity]]</f>
        <v>450000</v>
      </c>
      <c r="N1536" s="9">
        <f>Table1[[#This Row],[Cost Price]]*Table1[[#This Row],[Quantity]]</f>
        <v>360000</v>
      </c>
      <c r="O1536" s="9">
        <f>Table1[[#This Row],[Revenue]]-Table1[[#This Row],[COGS]]</f>
        <v>90000</v>
      </c>
      <c r="P1536" s="6">
        <v>1535</v>
      </c>
    </row>
    <row r="1537" spans="1:16">
      <c r="A1537" s="7" t="s">
        <v>176</v>
      </c>
      <c r="B1537" s="7" t="str">
        <f>TEXT(Table1[[#This Row],[Date]],"MMM")</f>
        <v>Jan</v>
      </c>
      <c r="C1537" t="s">
        <v>35</v>
      </c>
      <c r="D1537" t="s">
        <v>36</v>
      </c>
      <c r="E1537" t="s">
        <v>29</v>
      </c>
      <c r="F1537" t="s">
        <v>37</v>
      </c>
      <c r="G1537" t="s">
        <v>67</v>
      </c>
      <c r="H1537" t="s">
        <v>51</v>
      </c>
      <c r="I1537" s="9">
        <v>420000</v>
      </c>
      <c r="J1537">
        <v>10</v>
      </c>
      <c r="K1537" t="s">
        <v>65</v>
      </c>
      <c r="L1537" s="9">
        <f t="shared" si="23"/>
        <v>336000</v>
      </c>
      <c r="M1537" s="9">
        <f>Table1[[#This Row],[Unit Price]]*Table1[[#This Row],[Quantity]]</f>
        <v>4200000</v>
      </c>
      <c r="N1537" s="9">
        <f>Table1[[#This Row],[Cost Price]]*Table1[[#This Row],[Quantity]]</f>
        <v>3360000</v>
      </c>
      <c r="O1537" s="9">
        <f>Table1[[#This Row],[Revenue]]-Table1[[#This Row],[COGS]]</f>
        <v>840000</v>
      </c>
      <c r="P1537" s="6">
        <v>1536</v>
      </c>
    </row>
    <row r="1538" spans="1:16">
      <c r="A1538" s="7" t="s">
        <v>144</v>
      </c>
      <c r="B1538" s="7" t="str">
        <f>TEXT(Table1[[#This Row],[Date]],"MMM")</f>
        <v>Feb</v>
      </c>
      <c r="C1538" t="s">
        <v>49</v>
      </c>
      <c r="D1538" t="s">
        <v>36</v>
      </c>
      <c r="E1538" t="s">
        <v>29</v>
      </c>
      <c r="F1538" t="s">
        <v>37</v>
      </c>
      <c r="G1538" t="s">
        <v>46</v>
      </c>
      <c r="H1538" t="s">
        <v>39</v>
      </c>
      <c r="I1538" s="9">
        <v>60000</v>
      </c>
      <c r="J1538">
        <v>3</v>
      </c>
      <c r="K1538" t="s">
        <v>58</v>
      </c>
      <c r="L1538" s="9">
        <f t="shared" ref="L1538:L1601" si="24">I1538-I1538*0.2</f>
        <v>48000</v>
      </c>
      <c r="M1538" s="9">
        <f>Table1[[#This Row],[Unit Price]]*Table1[[#This Row],[Quantity]]</f>
        <v>180000</v>
      </c>
      <c r="N1538" s="9">
        <f>Table1[[#This Row],[Cost Price]]*Table1[[#This Row],[Quantity]]</f>
        <v>144000</v>
      </c>
      <c r="O1538" s="9">
        <f>Table1[[#This Row],[Revenue]]-Table1[[#This Row],[COGS]]</f>
        <v>36000</v>
      </c>
      <c r="P1538" s="6">
        <v>1537</v>
      </c>
    </row>
    <row r="1539" spans="1:16">
      <c r="A1539" s="7" t="s">
        <v>127</v>
      </c>
      <c r="B1539" s="7" t="str">
        <f>TEXT(Table1[[#This Row],[Date]],"MMM")</f>
        <v>Jan</v>
      </c>
      <c r="C1539" t="s">
        <v>35</v>
      </c>
      <c r="D1539" t="s">
        <v>36</v>
      </c>
      <c r="E1539" t="s">
        <v>41</v>
      </c>
      <c r="F1539" t="s">
        <v>30</v>
      </c>
      <c r="G1539" t="s">
        <v>50</v>
      </c>
      <c r="H1539" t="s">
        <v>51</v>
      </c>
      <c r="I1539" s="9">
        <v>300000</v>
      </c>
      <c r="J1539">
        <v>9</v>
      </c>
      <c r="K1539" t="s">
        <v>42</v>
      </c>
      <c r="L1539" s="9">
        <f t="shared" si="24"/>
        <v>240000</v>
      </c>
      <c r="M1539" s="9">
        <f>Table1[[#This Row],[Unit Price]]*Table1[[#This Row],[Quantity]]</f>
        <v>2700000</v>
      </c>
      <c r="N1539" s="9">
        <f>Table1[[#This Row],[Cost Price]]*Table1[[#This Row],[Quantity]]</f>
        <v>2160000</v>
      </c>
      <c r="O1539" s="9">
        <f>Table1[[#This Row],[Revenue]]-Table1[[#This Row],[COGS]]</f>
        <v>540000</v>
      </c>
      <c r="P1539" s="6">
        <v>1538</v>
      </c>
    </row>
    <row r="1540" spans="1:16">
      <c r="A1540" s="7" t="s">
        <v>74</v>
      </c>
      <c r="B1540" s="7" t="str">
        <f>TEXT(Table1[[#This Row],[Date]],"MMM")</f>
        <v>Feb</v>
      </c>
      <c r="C1540" t="s">
        <v>44</v>
      </c>
      <c r="D1540" t="s">
        <v>36</v>
      </c>
      <c r="E1540" t="s">
        <v>41</v>
      </c>
      <c r="F1540" t="s">
        <v>30</v>
      </c>
      <c r="G1540" t="s">
        <v>46</v>
      </c>
      <c r="H1540" t="s">
        <v>39</v>
      </c>
      <c r="I1540" s="9">
        <v>60000</v>
      </c>
      <c r="J1540">
        <v>7</v>
      </c>
      <c r="K1540" t="s">
        <v>33</v>
      </c>
      <c r="L1540" s="9">
        <f t="shared" si="24"/>
        <v>48000</v>
      </c>
      <c r="M1540" s="9">
        <f>Table1[[#This Row],[Unit Price]]*Table1[[#This Row],[Quantity]]</f>
        <v>420000</v>
      </c>
      <c r="N1540" s="9">
        <f>Table1[[#This Row],[Cost Price]]*Table1[[#This Row],[Quantity]]</f>
        <v>336000</v>
      </c>
      <c r="O1540" s="9">
        <f>Table1[[#This Row],[Revenue]]-Table1[[#This Row],[COGS]]</f>
        <v>84000</v>
      </c>
      <c r="P1540" s="6">
        <v>1539</v>
      </c>
    </row>
    <row r="1541" spans="1:16">
      <c r="A1541" s="7" t="s">
        <v>102</v>
      </c>
      <c r="B1541" s="7" t="str">
        <f>TEXT(Table1[[#This Row],[Date]],"MMM")</f>
        <v>Mar</v>
      </c>
      <c r="C1541" t="s">
        <v>27</v>
      </c>
      <c r="D1541" t="s">
        <v>28</v>
      </c>
      <c r="E1541" t="s">
        <v>29</v>
      </c>
      <c r="F1541" t="s">
        <v>30</v>
      </c>
      <c r="G1541" t="s">
        <v>56</v>
      </c>
      <c r="H1541" t="s">
        <v>32</v>
      </c>
      <c r="I1541" s="9">
        <v>320000</v>
      </c>
      <c r="J1541">
        <v>3</v>
      </c>
      <c r="K1541" t="s">
        <v>47</v>
      </c>
      <c r="L1541" s="9">
        <f t="shared" si="24"/>
        <v>256000</v>
      </c>
      <c r="M1541" s="9">
        <f>Table1[[#This Row],[Unit Price]]*Table1[[#This Row],[Quantity]]</f>
        <v>960000</v>
      </c>
      <c r="N1541" s="9">
        <f>Table1[[#This Row],[Cost Price]]*Table1[[#This Row],[Quantity]]</f>
        <v>768000</v>
      </c>
      <c r="O1541" s="9">
        <f>Table1[[#This Row],[Revenue]]-Table1[[#This Row],[COGS]]</f>
        <v>192000</v>
      </c>
      <c r="P1541" s="6">
        <v>1540</v>
      </c>
    </row>
    <row r="1542" spans="1:16">
      <c r="A1542" s="7" t="s">
        <v>125</v>
      </c>
      <c r="B1542" s="7" t="str">
        <f>TEXT(Table1[[#This Row],[Date]],"MMM")</f>
        <v>Feb</v>
      </c>
      <c r="C1542" t="s">
        <v>49</v>
      </c>
      <c r="D1542" t="s">
        <v>36</v>
      </c>
      <c r="E1542" t="s">
        <v>41</v>
      </c>
      <c r="F1542" t="s">
        <v>30</v>
      </c>
      <c r="G1542" t="s">
        <v>73</v>
      </c>
      <c r="H1542" t="s">
        <v>39</v>
      </c>
      <c r="I1542" s="9">
        <v>220000</v>
      </c>
      <c r="J1542">
        <v>5</v>
      </c>
      <c r="K1542" t="s">
        <v>33</v>
      </c>
      <c r="L1542" s="9">
        <f t="shared" si="24"/>
        <v>176000</v>
      </c>
      <c r="M1542" s="9">
        <f>Table1[[#This Row],[Unit Price]]*Table1[[#This Row],[Quantity]]</f>
        <v>1100000</v>
      </c>
      <c r="N1542" s="9">
        <f>Table1[[#This Row],[Cost Price]]*Table1[[#This Row],[Quantity]]</f>
        <v>880000</v>
      </c>
      <c r="O1542" s="9">
        <f>Table1[[#This Row],[Revenue]]-Table1[[#This Row],[COGS]]</f>
        <v>220000</v>
      </c>
      <c r="P1542" s="6">
        <v>1541</v>
      </c>
    </row>
    <row r="1543" spans="1:16">
      <c r="A1543" s="7" t="s">
        <v>154</v>
      </c>
      <c r="B1543" s="7" t="str">
        <f>TEXT(Table1[[#This Row],[Date]],"MMM")</f>
        <v>Feb</v>
      </c>
      <c r="C1543" t="s">
        <v>35</v>
      </c>
      <c r="D1543" t="s">
        <v>36</v>
      </c>
      <c r="E1543" t="s">
        <v>41</v>
      </c>
      <c r="F1543" t="s">
        <v>30</v>
      </c>
      <c r="G1543" t="s">
        <v>73</v>
      </c>
      <c r="H1543" t="s">
        <v>39</v>
      </c>
      <c r="I1543" s="9">
        <v>220000</v>
      </c>
      <c r="J1543">
        <v>2</v>
      </c>
      <c r="K1543" t="s">
        <v>33</v>
      </c>
      <c r="L1543" s="9">
        <f t="shared" si="24"/>
        <v>176000</v>
      </c>
      <c r="M1543" s="9">
        <f>Table1[[#This Row],[Unit Price]]*Table1[[#This Row],[Quantity]]</f>
        <v>440000</v>
      </c>
      <c r="N1543" s="9">
        <f>Table1[[#This Row],[Cost Price]]*Table1[[#This Row],[Quantity]]</f>
        <v>352000</v>
      </c>
      <c r="O1543" s="9">
        <f>Table1[[#This Row],[Revenue]]-Table1[[#This Row],[COGS]]</f>
        <v>88000</v>
      </c>
      <c r="P1543" s="6">
        <v>1542</v>
      </c>
    </row>
    <row r="1544" spans="1:16">
      <c r="A1544" s="7" t="s">
        <v>126</v>
      </c>
      <c r="B1544" s="7" t="str">
        <f>TEXT(Table1[[#This Row],[Date]],"MMM")</f>
        <v>Jan</v>
      </c>
      <c r="C1544" t="s">
        <v>27</v>
      </c>
      <c r="D1544" t="s">
        <v>28</v>
      </c>
      <c r="E1544" t="s">
        <v>29</v>
      </c>
      <c r="F1544" t="s">
        <v>37</v>
      </c>
      <c r="G1544" t="s">
        <v>62</v>
      </c>
      <c r="H1544" t="s">
        <v>51</v>
      </c>
      <c r="I1544" s="9">
        <v>150000</v>
      </c>
      <c r="J1544">
        <v>10</v>
      </c>
      <c r="K1544" t="s">
        <v>42</v>
      </c>
      <c r="L1544" s="9">
        <f t="shared" si="24"/>
        <v>120000</v>
      </c>
      <c r="M1544" s="9">
        <f>Table1[[#This Row],[Unit Price]]*Table1[[#This Row],[Quantity]]</f>
        <v>1500000</v>
      </c>
      <c r="N1544" s="9">
        <f>Table1[[#This Row],[Cost Price]]*Table1[[#This Row],[Quantity]]</f>
        <v>1200000</v>
      </c>
      <c r="O1544" s="9">
        <f>Table1[[#This Row],[Revenue]]-Table1[[#This Row],[COGS]]</f>
        <v>300000</v>
      </c>
      <c r="P1544" s="6">
        <v>1543</v>
      </c>
    </row>
    <row r="1545" spans="1:16">
      <c r="A1545" s="7" t="s">
        <v>138</v>
      </c>
      <c r="B1545" s="7" t="str">
        <f>TEXT(Table1[[#This Row],[Date]],"MMM")</f>
        <v>Apr</v>
      </c>
      <c r="C1545" t="s">
        <v>49</v>
      </c>
      <c r="D1545" t="s">
        <v>45</v>
      </c>
      <c r="E1545" t="s">
        <v>29</v>
      </c>
      <c r="F1545" t="s">
        <v>37</v>
      </c>
      <c r="G1545" t="s">
        <v>38</v>
      </c>
      <c r="H1545" t="s">
        <v>39</v>
      </c>
      <c r="I1545" s="9">
        <v>30000</v>
      </c>
      <c r="J1545">
        <v>8</v>
      </c>
      <c r="K1545" t="s">
        <v>69</v>
      </c>
      <c r="L1545" s="9">
        <f t="shared" si="24"/>
        <v>24000</v>
      </c>
      <c r="M1545" s="9">
        <f>Table1[[#This Row],[Unit Price]]*Table1[[#This Row],[Quantity]]</f>
        <v>240000</v>
      </c>
      <c r="N1545" s="9">
        <f>Table1[[#This Row],[Cost Price]]*Table1[[#This Row],[Quantity]]</f>
        <v>192000</v>
      </c>
      <c r="O1545" s="9">
        <f>Table1[[#This Row],[Revenue]]-Table1[[#This Row],[COGS]]</f>
        <v>48000</v>
      </c>
      <c r="P1545" s="6">
        <v>1544</v>
      </c>
    </row>
    <row r="1546" spans="1:16">
      <c r="A1546" s="7" t="s">
        <v>138</v>
      </c>
      <c r="B1546" s="7" t="str">
        <f>TEXT(Table1[[#This Row],[Date]],"MMM")</f>
        <v>Apr</v>
      </c>
      <c r="C1546" t="s">
        <v>35</v>
      </c>
      <c r="D1546" t="s">
        <v>36</v>
      </c>
      <c r="E1546" t="s">
        <v>29</v>
      </c>
      <c r="F1546" t="s">
        <v>37</v>
      </c>
      <c r="G1546" t="s">
        <v>38</v>
      </c>
      <c r="H1546" t="s">
        <v>39</v>
      </c>
      <c r="I1546" s="9">
        <v>30000</v>
      </c>
      <c r="J1546">
        <v>9</v>
      </c>
      <c r="K1546" t="s">
        <v>58</v>
      </c>
      <c r="L1546" s="9">
        <f t="shared" si="24"/>
        <v>24000</v>
      </c>
      <c r="M1546" s="9">
        <f>Table1[[#This Row],[Unit Price]]*Table1[[#This Row],[Quantity]]</f>
        <v>270000</v>
      </c>
      <c r="N1546" s="9">
        <f>Table1[[#This Row],[Cost Price]]*Table1[[#This Row],[Quantity]]</f>
        <v>216000</v>
      </c>
      <c r="O1546" s="9">
        <f>Table1[[#This Row],[Revenue]]-Table1[[#This Row],[COGS]]</f>
        <v>54000</v>
      </c>
      <c r="P1546" s="6">
        <v>1545</v>
      </c>
    </row>
    <row r="1547" spans="1:16">
      <c r="A1547" s="7" t="s">
        <v>99</v>
      </c>
      <c r="B1547" s="7" t="str">
        <f>TEXT(Table1[[#This Row],[Date]],"MMM")</f>
        <v>Apr</v>
      </c>
      <c r="C1547" t="s">
        <v>35</v>
      </c>
      <c r="D1547" t="s">
        <v>28</v>
      </c>
      <c r="E1547" t="s">
        <v>29</v>
      </c>
      <c r="F1547" t="s">
        <v>37</v>
      </c>
      <c r="G1547" t="s">
        <v>62</v>
      </c>
      <c r="H1547" t="s">
        <v>51</v>
      </c>
      <c r="I1547" s="9">
        <v>150000</v>
      </c>
      <c r="J1547">
        <v>3</v>
      </c>
      <c r="K1547" t="s">
        <v>42</v>
      </c>
      <c r="L1547" s="9">
        <f t="shared" si="24"/>
        <v>120000</v>
      </c>
      <c r="M1547" s="9">
        <f>Table1[[#This Row],[Unit Price]]*Table1[[#This Row],[Quantity]]</f>
        <v>450000</v>
      </c>
      <c r="N1547" s="9">
        <f>Table1[[#This Row],[Cost Price]]*Table1[[#This Row],[Quantity]]</f>
        <v>360000</v>
      </c>
      <c r="O1547" s="9">
        <f>Table1[[#This Row],[Revenue]]-Table1[[#This Row],[COGS]]</f>
        <v>90000</v>
      </c>
      <c r="P1547" s="6">
        <v>1546</v>
      </c>
    </row>
    <row r="1548" spans="1:16">
      <c r="A1548" s="7" t="s">
        <v>125</v>
      </c>
      <c r="B1548" s="7" t="str">
        <f>TEXT(Table1[[#This Row],[Date]],"MMM")</f>
        <v>Feb</v>
      </c>
      <c r="C1548" t="s">
        <v>35</v>
      </c>
      <c r="D1548" t="s">
        <v>28</v>
      </c>
      <c r="E1548" t="s">
        <v>41</v>
      </c>
      <c r="F1548" t="s">
        <v>30</v>
      </c>
      <c r="G1548" t="s">
        <v>46</v>
      </c>
      <c r="H1548" t="s">
        <v>39</v>
      </c>
      <c r="I1548" s="9">
        <v>60000</v>
      </c>
      <c r="J1548">
        <v>6</v>
      </c>
      <c r="K1548" t="s">
        <v>47</v>
      </c>
      <c r="L1548" s="9">
        <f t="shared" si="24"/>
        <v>48000</v>
      </c>
      <c r="M1548" s="9">
        <f>Table1[[#This Row],[Unit Price]]*Table1[[#This Row],[Quantity]]</f>
        <v>360000</v>
      </c>
      <c r="N1548" s="9">
        <f>Table1[[#This Row],[Cost Price]]*Table1[[#This Row],[Quantity]]</f>
        <v>288000</v>
      </c>
      <c r="O1548" s="9">
        <f>Table1[[#This Row],[Revenue]]-Table1[[#This Row],[COGS]]</f>
        <v>72000</v>
      </c>
      <c r="P1548" s="6">
        <v>1547</v>
      </c>
    </row>
    <row r="1549" spans="1:16">
      <c r="A1549" s="7" t="s">
        <v>156</v>
      </c>
      <c r="B1549" s="7" t="str">
        <f>TEXT(Table1[[#This Row],[Date]],"MMM")</f>
        <v>Feb</v>
      </c>
      <c r="C1549" t="s">
        <v>35</v>
      </c>
      <c r="D1549" t="s">
        <v>28</v>
      </c>
      <c r="E1549" t="s">
        <v>41</v>
      </c>
      <c r="F1549" t="s">
        <v>37</v>
      </c>
      <c r="G1549" t="s">
        <v>71</v>
      </c>
      <c r="H1549" t="s">
        <v>51</v>
      </c>
      <c r="I1549" s="9">
        <v>250000</v>
      </c>
      <c r="J1549">
        <v>1</v>
      </c>
      <c r="K1549" t="s">
        <v>47</v>
      </c>
      <c r="L1549" s="9">
        <f t="shared" si="24"/>
        <v>200000</v>
      </c>
      <c r="M1549" s="9">
        <f>Table1[[#This Row],[Unit Price]]*Table1[[#This Row],[Quantity]]</f>
        <v>250000</v>
      </c>
      <c r="N1549" s="9">
        <f>Table1[[#This Row],[Cost Price]]*Table1[[#This Row],[Quantity]]</f>
        <v>200000</v>
      </c>
      <c r="O1549" s="9">
        <f>Table1[[#This Row],[Revenue]]-Table1[[#This Row],[COGS]]</f>
        <v>50000</v>
      </c>
      <c r="P1549" s="6">
        <v>1548</v>
      </c>
    </row>
    <row r="1550" spans="1:16">
      <c r="A1550" s="7" t="s">
        <v>43</v>
      </c>
      <c r="B1550" s="7" t="str">
        <f>TEXT(Table1[[#This Row],[Date]],"MMM")</f>
        <v>Apr</v>
      </c>
      <c r="C1550" t="s">
        <v>27</v>
      </c>
      <c r="D1550" t="s">
        <v>45</v>
      </c>
      <c r="E1550" t="s">
        <v>29</v>
      </c>
      <c r="F1550" t="s">
        <v>37</v>
      </c>
      <c r="G1550" t="s">
        <v>31</v>
      </c>
      <c r="H1550" t="s">
        <v>32</v>
      </c>
      <c r="I1550" s="9">
        <v>85000</v>
      </c>
      <c r="J1550">
        <v>8</v>
      </c>
      <c r="K1550" t="s">
        <v>47</v>
      </c>
      <c r="L1550" s="9">
        <f t="shared" si="24"/>
        <v>68000</v>
      </c>
      <c r="M1550" s="9">
        <f>Table1[[#This Row],[Unit Price]]*Table1[[#This Row],[Quantity]]</f>
        <v>680000</v>
      </c>
      <c r="N1550" s="9">
        <f>Table1[[#This Row],[Cost Price]]*Table1[[#This Row],[Quantity]]</f>
        <v>544000</v>
      </c>
      <c r="O1550" s="9">
        <f>Table1[[#This Row],[Revenue]]-Table1[[#This Row],[COGS]]</f>
        <v>136000</v>
      </c>
      <c r="P1550" s="6">
        <v>1549</v>
      </c>
    </row>
    <row r="1551" spans="1:16">
      <c r="A1551" s="7" t="s">
        <v>80</v>
      </c>
      <c r="B1551" s="7" t="str">
        <f>TEXT(Table1[[#This Row],[Date]],"MMM")</f>
        <v>Feb</v>
      </c>
      <c r="C1551" t="s">
        <v>49</v>
      </c>
      <c r="D1551" t="s">
        <v>28</v>
      </c>
      <c r="E1551" t="s">
        <v>29</v>
      </c>
      <c r="F1551" t="s">
        <v>37</v>
      </c>
      <c r="G1551" t="s">
        <v>54</v>
      </c>
      <c r="H1551" t="s">
        <v>39</v>
      </c>
      <c r="I1551" s="9">
        <v>180000</v>
      </c>
      <c r="J1551">
        <v>8</v>
      </c>
      <c r="K1551" t="s">
        <v>47</v>
      </c>
      <c r="L1551" s="9">
        <f t="shared" si="24"/>
        <v>144000</v>
      </c>
      <c r="M1551" s="9">
        <f>Table1[[#This Row],[Unit Price]]*Table1[[#This Row],[Quantity]]</f>
        <v>1440000</v>
      </c>
      <c r="N1551" s="9">
        <f>Table1[[#This Row],[Cost Price]]*Table1[[#This Row],[Quantity]]</f>
        <v>1152000</v>
      </c>
      <c r="O1551" s="9">
        <f>Table1[[#This Row],[Revenue]]-Table1[[#This Row],[COGS]]</f>
        <v>288000</v>
      </c>
      <c r="P1551" s="6">
        <v>1550</v>
      </c>
    </row>
    <row r="1552" spans="1:16">
      <c r="A1552" s="7" t="s">
        <v>87</v>
      </c>
      <c r="B1552" s="7" t="str">
        <f>TEXT(Table1[[#This Row],[Date]],"MMM")</f>
        <v>Mar</v>
      </c>
      <c r="C1552" t="s">
        <v>35</v>
      </c>
      <c r="D1552" t="s">
        <v>53</v>
      </c>
      <c r="E1552" t="s">
        <v>41</v>
      </c>
      <c r="F1552" t="s">
        <v>37</v>
      </c>
      <c r="G1552" t="s">
        <v>73</v>
      </c>
      <c r="H1552" t="s">
        <v>39</v>
      </c>
      <c r="I1552" s="9">
        <v>220000</v>
      </c>
      <c r="J1552">
        <v>9</v>
      </c>
      <c r="K1552" t="s">
        <v>65</v>
      </c>
      <c r="L1552" s="9">
        <f t="shared" si="24"/>
        <v>176000</v>
      </c>
      <c r="M1552" s="9">
        <f>Table1[[#This Row],[Unit Price]]*Table1[[#This Row],[Quantity]]</f>
        <v>1980000</v>
      </c>
      <c r="N1552" s="9">
        <f>Table1[[#This Row],[Cost Price]]*Table1[[#This Row],[Quantity]]</f>
        <v>1584000</v>
      </c>
      <c r="O1552" s="9">
        <f>Table1[[#This Row],[Revenue]]-Table1[[#This Row],[COGS]]</f>
        <v>396000</v>
      </c>
      <c r="P1552" s="6">
        <v>1551</v>
      </c>
    </row>
    <row r="1553" spans="1:16">
      <c r="A1553" s="7" t="s">
        <v>160</v>
      </c>
      <c r="B1553" s="7" t="str">
        <f>TEXT(Table1[[#This Row],[Date]],"MMM")</f>
        <v>Jan</v>
      </c>
      <c r="C1553" t="s">
        <v>27</v>
      </c>
      <c r="D1553" t="s">
        <v>28</v>
      </c>
      <c r="E1553" t="s">
        <v>29</v>
      </c>
      <c r="F1553" t="s">
        <v>37</v>
      </c>
      <c r="G1553" t="s">
        <v>71</v>
      </c>
      <c r="H1553" t="s">
        <v>51</v>
      </c>
      <c r="I1553" s="9">
        <v>250000</v>
      </c>
      <c r="J1553">
        <v>3</v>
      </c>
      <c r="K1553" t="s">
        <v>47</v>
      </c>
      <c r="L1553" s="9">
        <f t="shared" si="24"/>
        <v>200000</v>
      </c>
      <c r="M1553" s="9">
        <f>Table1[[#This Row],[Unit Price]]*Table1[[#This Row],[Quantity]]</f>
        <v>750000</v>
      </c>
      <c r="N1553" s="9">
        <f>Table1[[#This Row],[Cost Price]]*Table1[[#This Row],[Quantity]]</f>
        <v>600000</v>
      </c>
      <c r="O1553" s="9">
        <f>Table1[[#This Row],[Revenue]]-Table1[[#This Row],[COGS]]</f>
        <v>150000</v>
      </c>
      <c r="P1553" s="6">
        <v>1552</v>
      </c>
    </row>
    <row r="1554" spans="1:16">
      <c r="A1554" s="7" t="s">
        <v>40</v>
      </c>
      <c r="B1554" s="7" t="str">
        <f>TEXT(Table1[[#This Row],[Date]],"MMM")</f>
        <v>Feb</v>
      </c>
      <c r="C1554" t="s">
        <v>49</v>
      </c>
      <c r="D1554" t="s">
        <v>53</v>
      </c>
      <c r="E1554" t="s">
        <v>29</v>
      </c>
      <c r="F1554" t="s">
        <v>30</v>
      </c>
      <c r="G1554" t="s">
        <v>67</v>
      </c>
      <c r="H1554" t="s">
        <v>51</v>
      </c>
      <c r="I1554" s="9">
        <v>420000</v>
      </c>
      <c r="J1554">
        <v>6</v>
      </c>
      <c r="K1554" t="s">
        <v>69</v>
      </c>
      <c r="L1554" s="9">
        <f t="shared" si="24"/>
        <v>336000</v>
      </c>
      <c r="M1554" s="9">
        <f>Table1[[#This Row],[Unit Price]]*Table1[[#This Row],[Quantity]]</f>
        <v>2520000</v>
      </c>
      <c r="N1554" s="9">
        <f>Table1[[#This Row],[Cost Price]]*Table1[[#This Row],[Quantity]]</f>
        <v>2016000</v>
      </c>
      <c r="O1554" s="9">
        <f>Table1[[#This Row],[Revenue]]-Table1[[#This Row],[COGS]]</f>
        <v>504000</v>
      </c>
      <c r="P1554" s="6">
        <v>1553</v>
      </c>
    </row>
    <row r="1555" spans="1:16">
      <c r="A1555" s="7" t="s">
        <v>107</v>
      </c>
      <c r="B1555" s="7" t="str">
        <f>TEXT(Table1[[#This Row],[Date]],"MMM")</f>
        <v>Feb</v>
      </c>
      <c r="C1555" t="s">
        <v>35</v>
      </c>
      <c r="D1555" t="s">
        <v>36</v>
      </c>
      <c r="E1555" t="s">
        <v>41</v>
      </c>
      <c r="F1555" t="s">
        <v>37</v>
      </c>
      <c r="G1555" t="s">
        <v>54</v>
      </c>
      <c r="H1555" t="s">
        <v>39</v>
      </c>
      <c r="I1555" s="9">
        <v>180000</v>
      </c>
      <c r="J1555">
        <v>3</v>
      </c>
      <c r="K1555" t="s">
        <v>33</v>
      </c>
      <c r="L1555" s="9">
        <f t="shared" si="24"/>
        <v>144000</v>
      </c>
      <c r="M1555" s="9">
        <f>Table1[[#This Row],[Unit Price]]*Table1[[#This Row],[Quantity]]</f>
        <v>540000</v>
      </c>
      <c r="N1555" s="9">
        <f>Table1[[#This Row],[Cost Price]]*Table1[[#This Row],[Quantity]]</f>
        <v>432000</v>
      </c>
      <c r="O1555" s="9">
        <f>Table1[[#This Row],[Revenue]]-Table1[[#This Row],[COGS]]</f>
        <v>108000</v>
      </c>
      <c r="P1555" s="6">
        <v>1554</v>
      </c>
    </row>
    <row r="1556" spans="1:16">
      <c r="A1556" s="7" t="s">
        <v>174</v>
      </c>
      <c r="B1556" s="7" t="str">
        <f>TEXT(Table1[[#This Row],[Date]],"MMM")</f>
        <v>Feb</v>
      </c>
      <c r="C1556" t="s">
        <v>44</v>
      </c>
      <c r="D1556" t="s">
        <v>45</v>
      </c>
      <c r="E1556" t="s">
        <v>41</v>
      </c>
      <c r="F1556" t="s">
        <v>37</v>
      </c>
      <c r="G1556" t="s">
        <v>54</v>
      </c>
      <c r="H1556" t="s">
        <v>39</v>
      </c>
      <c r="I1556" s="9">
        <v>180000</v>
      </c>
      <c r="J1556">
        <v>9</v>
      </c>
      <c r="K1556" t="s">
        <v>33</v>
      </c>
      <c r="L1556" s="9">
        <f t="shared" si="24"/>
        <v>144000</v>
      </c>
      <c r="M1556" s="9">
        <f>Table1[[#This Row],[Unit Price]]*Table1[[#This Row],[Quantity]]</f>
        <v>1620000</v>
      </c>
      <c r="N1556" s="9">
        <f>Table1[[#This Row],[Cost Price]]*Table1[[#This Row],[Quantity]]</f>
        <v>1296000</v>
      </c>
      <c r="O1556" s="9">
        <f>Table1[[#This Row],[Revenue]]-Table1[[#This Row],[COGS]]</f>
        <v>324000</v>
      </c>
      <c r="P1556" s="6">
        <v>1555</v>
      </c>
    </row>
    <row r="1557" spans="1:16">
      <c r="A1557" s="7" t="s">
        <v>26</v>
      </c>
      <c r="B1557" s="7" t="str">
        <f>TEXT(Table1[[#This Row],[Date]],"MMM")</f>
        <v>Jan</v>
      </c>
      <c r="C1557" t="s">
        <v>35</v>
      </c>
      <c r="D1557" t="s">
        <v>45</v>
      </c>
      <c r="E1557" t="s">
        <v>29</v>
      </c>
      <c r="F1557" t="s">
        <v>30</v>
      </c>
      <c r="G1557" t="s">
        <v>67</v>
      </c>
      <c r="H1557" t="s">
        <v>51</v>
      </c>
      <c r="I1557" s="9">
        <v>420000</v>
      </c>
      <c r="J1557">
        <v>5</v>
      </c>
      <c r="K1557" t="s">
        <v>33</v>
      </c>
      <c r="L1557" s="9">
        <f t="shared" si="24"/>
        <v>336000</v>
      </c>
      <c r="M1557" s="9">
        <f>Table1[[#This Row],[Unit Price]]*Table1[[#This Row],[Quantity]]</f>
        <v>2100000</v>
      </c>
      <c r="N1557" s="9">
        <f>Table1[[#This Row],[Cost Price]]*Table1[[#This Row],[Quantity]]</f>
        <v>1680000</v>
      </c>
      <c r="O1557" s="9">
        <f>Table1[[#This Row],[Revenue]]-Table1[[#This Row],[COGS]]</f>
        <v>420000</v>
      </c>
      <c r="P1557" s="6">
        <v>1556</v>
      </c>
    </row>
    <row r="1558" spans="1:16">
      <c r="A1558" s="7" t="s">
        <v>125</v>
      </c>
      <c r="B1558" s="7" t="str">
        <f>TEXT(Table1[[#This Row],[Date]],"MMM")</f>
        <v>Feb</v>
      </c>
      <c r="C1558" t="s">
        <v>49</v>
      </c>
      <c r="D1558" t="s">
        <v>45</v>
      </c>
      <c r="E1558" t="s">
        <v>29</v>
      </c>
      <c r="F1558" t="s">
        <v>37</v>
      </c>
      <c r="G1558" t="s">
        <v>54</v>
      </c>
      <c r="H1558" t="s">
        <v>39</v>
      </c>
      <c r="I1558" s="9">
        <v>180000</v>
      </c>
      <c r="J1558">
        <v>6</v>
      </c>
      <c r="K1558" t="s">
        <v>69</v>
      </c>
      <c r="L1558" s="9">
        <f t="shared" si="24"/>
        <v>144000</v>
      </c>
      <c r="M1558" s="9">
        <f>Table1[[#This Row],[Unit Price]]*Table1[[#This Row],[Quantity]]</f>
        <v>1080000</v>
      </c>
      <c r="N1558" s="9">
        <f>Table1[[#This Row],[Cost Price]]*Table1[[#This Row],[Quantity]]</f>
        <v>864000</v>
      </c>
      <c r="O1558" s="9">
        <f>Table1[[#This Row],[Revenue]]-Table1[[#This Row],[COGS]]</f>
        <v>216000</v>
      </c>
      <c r="P1558" s="6">
        <v>1557</v>
      </c>
    </row>
    <row r="1559" spans="1:16">
      <c r="A1559" s="7" t="s">
        <v>111</v>
      </c>
      <c r="B1559" s="7" t="str">
        <f>TEXT(Table1[[#This Row],[Date]],"MMM")</f>
        <v>Feb</v>
      </c>
      <c r="C1559" t="s">
        <v>35</v>
      </c>
      <c r="D1559" t="s">
        <v>45</v>
      </c>
      <c r="E1559" t="s">
        <v>41</v>
      </c>
      <c r="F1559" t="s">
        <v>30</v>
      </c>
      <c r="G1559" t="s">
        <v>50</v>
      </c>
      <c r="H1559" t="s">
        <v>51</v>
      </c>
      <c r="I1559" s="9">
        <v>300000</v>
      </c>
      <c r="J1559">
        <v>3</v>
      </c>
      <c r="K1559" t="s">
        <v>47</v>
      </c>
      <c r="L1559" s="9">
        <f t="shared" si="24"/>
        <v>240000</v>
      </c>
      <c r="M1559" s="9">
        <f>Table1[[#This Row],[Unit Price]]*Table1[[#This Row],[Quantity]]</f>
        <v>900000</v>
      </c>
      <c r="N1559" s="9">
        <f>Table1[[#This Row],[Cost Price]]*Table1[[#This Row],[Quantity]]</f>
        <v>720000</v>
      </c>
      <c r="O1559" s="9">
        <f>Table1[[#This Row],[Revenue]]-Table1[[#This Row],[COGS]]</f>
        <v>180000</v>
      </c>
      <c r="P1559" s="6">
        <v>1558</v>
      </c>
    </row>
    <row r="1560" spans="1:16">
      <c r="A1560" s="7" t="s">
        <v>153</v>
      </c>
      <c r="B1560" s="7" t="str">
        <f>TEXT(Table1[[#This Row],[Date]],"MMM")</f>
        <v>Mar</v>
      </c>
      <c r="C1560" t="s">
        <v>27</v>
      </c>
      <c r="D1560" t="s">
        <v>45</v>
      </c>
      <c r="E1560" t="s">
        <v>29</v>
      </c>
      <c r="F1560" t="s">
        <v>30</v>
      </c>
      <c r="G1560" t="s">
        <v>73</v>
      </c>
      <c r="H1560" t="s">
        <v>39</v>
      </c>
      <c r="I1560" s="9">
        <v>220000</v>
      </c>
      <c r="J1560">
        <v>7</v>
      </c>
      <c r="K1560" t="s">
        <v>33</v>
      </c>
      <c r="L1560" s="9">
        <f t="shared" si="24"/>
        <v>176000</v>
      </c>
      <c r="M1560" s="9">
        <f>Table1[[#This Row],[Unit Price]]*Table1[[#This Row],[Quantity]]</f>
        <v>1540000</v>
      </c>
      <c r="N1560" s="9">
        <f>Table1[[#This Row],[Cost Price]]*Table1[[#This Row],[Quantity]]</f>
        <v>1232000</v>
      </c>
      <c r="O1560" s="9">
        <f>Table1[[#This Row],[Revenue]]-Table1[[#This Row],[COGS]]</f>
        <v>308000</v>
      </c>
      <c r="P1560" s="6">
        <v>1559</v>
      </c>
    </row>
    <row r="1561" spans="1:16">
      <c r="A1561" s="7" t="s">
        <v>121</v>
      </c>
      <c r="B1561" s="7" t="str">
        <f>TEXT(Table1[[#This Row],[Date]],"MMM")</f>
        <v>Apr</v>
      </c>
      <c r="C1561" t="s">
        <v>44</v>
      </c>
      <c r="D1561" t="s">
        <v>36</v>
      </c>
      <c r="E1561" t="s">
        <v>29</v>
      </c>
      <c r="F1561" t="s">
        <v>30</v>
      </c>
      <c r="G1561" t="s">
        <v>46</v>
      </c>
      <c r="H1561" t="s">
        <v>39</v>
      </c>
      <c r="I1561" s="9">
        <v>60000</v>
      </c>
      <c r="J1561">
        <v>2</v>
      </c>
      <c r="K1561" t="s">
        <v>33</v>
      </c>
      <c r="L1561" s="9">
        <f t="shared" si="24"/>
        <v>48000</v>
      </c>
      <c r="M1561" s="9">
        <f>Table1[[#This Row],[Unit Price]]*Table1[[#This Row],[Quantity]]</f>
        <v>120000</v>
      </c>
      <c r="N1561" s="9">
        <f>Table1[[#This Row],[Cost Price]]*Table1[[#This Row],[Quantity]]</f>
        <v>96000</v>
      </c>
      <c r="O1561" s="9">
        <f>Table1[[#This Row],[Revenue]]-Table1[[#This Row],[COGS]]</f>
        <v>24000</v>
      </c>
      <c r="P1561" s="6">
        <v>1560</v>
      </c>
    </row>
    <row r="1562" spans="1:16">
      <c r="A1562" s="7" t="s">
        <v>125</v>
      </c>
      <c r="B1562" s="7" t="str">
        <f>TEXT(Table1[[#This Row],[Date]],"MMM")</f>
        <v>Feb</v>
      </c>
      <c r="C1562" t="s">
        <v>44</v>
      </c>
      <c r="D1562" t="s">
        <v>36</v>
      </c>
      <c r="E1562" t="s">
        <v>41</v>
      </c>
      <c r="F1562" t="s">
        <v>30</v>
      </c>
      <c r="G1562" t="s">
        <v>38</v>
      </c>
      <c r="H1562" t="s">
        <v>39</v>
      </c>
      <c r="I1562" s="9">
        <v>30000</v>
      </c>
      <c r="J1562">
        <v>4</v>
      </c>
      <c r="K1562" t="s">
        <v>58</v>
      </c>
      <c r="L1562" s="9">
        <f t="shared" si="24"/>
        <v>24000</v>
      </c>
      <c r="M1562" s="9">
        <f>Table1[[#This Row],[Unit Price]]*Table1[[#This Row],[Quantity]]</f>
        <v>120000</v>
      </c>
      <c r="N1562" s="9">
        <f>Table1[[#This Row],[Cost Price]]*Table1[[#This Row],[Quantity]]</f>
        <v>96000</v>
      </c>
      <c r="O1562" s="9">
        <f>Table1[[#This Row],[Revenue]]-Table1[[#This Row],[COGS]]</f>
        <v>24000</v>
      </c>
      <c r="P1562" s="6">
        <v>1561</v>
      </c>
    </row>
    <row r="1563" spans="1:16">
      <c r="A1563" s="7" t="s">
        <v>139</v>
      </c>
      <c r="B1563" s="7" t="str">
        <f>TEXT(Table1[[#This Row],[Date]],"MMM")</f>
        <v>Jan</v>
      </c>
      <c r="C1563" t="s">
        <v>27</v>
      </c>
      <c r="D1563" t="s">
        <v>36</v>
      </c>
      <c r="E1563" t="s">
        <v>41</v>
      </c>
      <c r="F1563" t="s">
        <v>37</v>
      </c>
      <c r="G1563" t="s">
        <v>56</v>
      </c>
      <c r="H1563" t="s">
        <v>32</v>
      </c>
      <c r="I1563" s="9">
        <v>320000</v>
      </c>
      <c r="J1563">
        <v>8</v>
      </c>
      <c r="K1563" t="s">
        <v>58</v>
      </c>
      <c r="L1563" s="9">
        <f t="shared" si="24"/>
        <v>256000</v>
      </c>
      <c r="M1563" s="9">
        <f>Table1[[#This Row],[Unit Price]]*Table1[[#This Row],[Quantity]]</f>
        <v>2560000</v>
      </c>
      <c r="N1563" s="9">
        <f>Table1[[#This Row],[Cost Price]]*Table1[[#This Row],[Quantity]]</f>
        <v>2048000</v>
      </c>
      <c r="O1563" s="9">
        <f>Table1[[#This Row],[Revenue]]-Table1[[#This Row],[COGS]]</f>
        <v>512000</v>
      </c>
      <c r="P1563" s="6">
        <v>1562</v>
      </c>
    </row>
    <row r="1564" spans="1:16">
      <c r="A1564" s="7" t="s">
        <v>64</v>
      </c>
      <c r="B1564" s="7" t="str">
        <f>TEXT(Table1[[#This Row],[Date]],"MMM")</f>
        <v>Apr</v>
      </c>
      <c r="C1564" t="s">
        <v>27</v>
      </c>
      <c r="D1564" t="s">
        <v>53</v>
      </c>
      <c r="E1564" t="s">
        <v>41</v>
      </c>
      <c r="F1564" t="s">
        <v>37</v>
      </c>
      <c r="G1564" t="s">
        <v>54</v>
      </c>
      <c r="H1564" t="s">
        <v>39</v>
      </c>
      <c r="I1564" s="9">
        <v>180000</v>
      </c>
      <c r="J1564">
        <v>5</v>
      </c>
      <c r="K1564" t="s">
        <v>47</v>
      </c>
      <c r="L1564" s="9">
        <f t="shared" si="24"/>
        <v>144000</v>
      </c>
      <c r="M1564" s="9">
        <f>Table1[[#This Row],[Unit Price]]*Table1[[#This Row],[Quantity]]</f>
        <v>900000</v>
      </c>
      <c r="N1564" s="9">
        <f>Table1[[#This Row],[Cost Price]]*Table1[[#This Row],[Quantity]]</f>
        <v>720000</v>
      </c>
      <c r="O1564" s="9">
        <f>Table1[[#This Row],[Revenue]]-Table1[[#This Row],[COGS]]</f>
        <v>180000</v>
      </c>
      <c r="P1564" s="6">
        <v>1563</v>
      </c>
    </row>
    <row r="1565" spans="1:16">
      <c r="A1565" s="7" t="s">
        <v>82</v>
      </c>
      <c r="B1565" s="7" t="str">
        <f>TEXT(Table1[[#This Row],[Date]],"MMM")</f>
        <v>Mar</v>
      </c>
      <c r="C1565" t="s">
        <v>35</v>
      </c>
      <c r="D1565" t="s">
        <v>28</v>
      </c>
      <c r="E1565" t="s">
        <v>29</v>
      </c>
      <c r="F1565" t="s">
        <v>37</v>
      </c>
      <c r="G1565" t="s">
        <v>56</v>
      </c>
      <c r="H1565" t="s">
        <v>32</v>
      </c>
      <c r="I1565" s="9">
        <v>320000</v>
      </c>
      <c r="J1565">
        <v>6</v>
      </c>
      <c r="K1565" t="s">
        <v>47</v>
      </c>
      <c r="L1565" s="9">
        <f t="shared" si="24"/>
        <v>256000</v>
      </c>
      <c r="M1565" s="9">
        <f>Table1[[#This Row],[Unit Price]]*Table1[[#This Row],[Quantity]]</f>
        <v>1920000</v>
      </c>
      <c r="N1565" s="9">
        <f>Table1[[#This Row],[Cost Price]]*Table1[[#This Row],[Quantity]]</f>
        <v>1536000</v>
      </c>
      <c r="O1565" s="9">
        <f>Table1[[#This Row],[Revenue]]-Table1[[#This Row],[COGS]]</f>
        <v>384000</v>
      </c>
      <c r="P1565" s="6">
        <v>1564</v>
      </c>
    </row>
    <row r="1566" spans="1:16">
      <c r="A1566" s="7" t="s">
        <v>63</v>
      </c>
      <c r="B1566" s="7" t="str">
        <f>TEXT(Table1[[#This Row],[Date]],"MMM")</f>
        <v>Jan</v>
      </c>
      <c r="C1566" t="s">
        <v>44</v>
      </c>
      <c r="D1566" t="s">
        <v>36</v>
      </c>
      <c r="E1566" t="s">
        <v>29</v>
      </c>
      <c r="F1566" t="s">
        <v>30</v>
      </c>
      <c r="G1566" t="s">
        <v>67</v>
      </c>
      <c r="H1566" t="s">
        <v>51</v>
      </c>
      <c r="I1566" s="9">
        <v>420000</v>
      </c>
      <c r="J1566">
        <v>3</v>
      </c>
      <c r="K1566" t="s">
        <v>47</v>
      </c>
      <c r="L1566" s="9">
        <f t="shared" si="24"/>
        <v>336000</v>
      </c>
      <c r="M1566" s="9">
        <f>Table1[[#This Row],[Unit Price]]*Table1[[#This Row],[Quantity]]</f>
        <v>1260000</v>
      </c>
      <c r="N1566" s="9">
        <f>Table1[[#This Row],[Cost Price]]*Table1[[#This Row],[Quantity]]</f>
        <v>1008000</v>
      </c>
      <c r="O1566" s="9">
        <f>Table1[[#This Row],[Revenue]]-Table1[[#This Row],[COGS]]</f>
        <v>252000</v>
      </c>
      <c r="P1566" s="6">
        <v>1565</v>
      </c>
    </row>
    <row r="1567" spans="1:16">
      <c r="A1567" s="7" t="s">
        <v>110</v>
      </c>
      <c r="B1567" s="7" t="str">
        <f>TEXT(Table1[[#This Row],[Date]],"MMM")</f>
        <v>Jan</v>
      </c>
      <c r="C1567" t="s">
        <v>49</v>
      </c>
      <c r="D1567" t="s">
        <v>53</v>
      </c>
      <c r="E1567" t="s">
        <v>41</v>
      </c>
      <c r="F1567" t="s">
        <v>30</v>
      </c>
      <c r="G1567" t="s">
        <v>62</v>
      </c>
      <c r="H1567" t="s">
        <v>51</v>
      </c>
      <c r="I1567" s="9">
        <v>150000</v>
      </c>
      <c r="J1567">
        <v>2</v>
      </c>
      <c r="K1567" t="s">
        <v>69</v>
      </c>
      <c r="L1567" s="9">
        <f t="shared" si="24"/>
        <v>120000</v>
      </c>
      <c r="M1567" s="9">
        <f>Table1[[#This Row],[Unit Price]]*Table1[[#This Row],[Quantity]]</f>
        <v>300000</v>
      </c>
      <c r="N1567" s="9">
        <f>Table1[[#This Row],[Cost Price]]*Table1[[#This Row],[Quantity]]</f>
        <v>240000</v>
      </c>
      <c r="O1567" s="9">
        <f>Table1[[#This Row],[Revenue]]-Table1[[#This Row],[COGS]]</f>
        <v>60000</v>
      </c>
      <c r="P1567" s="6">
        <v>1566</v>
      </c>
    </row>
    <row r="1568" spans="1:16">
      <c r="A1568" s="7" t="s">
        <v>116</v>
      </c>
      <c r="B1568" s="7" t="str">
        <f>TEXT(Table1[[#This Row],[Date]],"MMM")</f>
        <v>Apr</v>
      </c>
      <c r="C1568" t="s">
        <v>27</v>
      </c>
      <c r="D1568" t="s">
        <v>53</v>
      </c>
      <c r="E1568" t="s">
        <v>29</v>
      </c>
      <c r="F1568" t="s">
        <v>30</v>
      </c>
      <c r="G1568" t="s">
        <v>54</v>
      </c>
      <c r="H1568" t="s">
        <v>39</v>
      </c>
      <c r="I1568" s="9">
        <v>180000</v>
      </c>
      <c r="J1568">
        <v>8</v>
      </c>
      <c r="K1568" t="s">
        <v>58</v>
      </c>
      <c r="L1568" s="9">
        <f t="shared" si="24"/>
        <v>144000</v>
      </c>
      <c r="M1568" s="9">
        <f>Table1[[#This Row],[Unit Price]]*Table1[[#This Row],[Quantity]]</f>
        <v>1440000</v>
      </c>
      <c r="N1568" s="9">
        <f>Table1[[#This Row],[Cost Price]]*Table1[[#This Row],[Quantity]]</f>
        <v>1152000</v>
      </c>
      <c r="O1568" s="9">
        <f>Table1[[#This Row],[Revenue]]-Table1[[#This Row],[COGS]]</f>
        <v>288000</v>
      </c>
      <c r="P1568" s="6">
        <v>1567</v>
      </c>
    </row>
    <row r="1569" spans="1:16">
      <c r="A1569" s="7" t="s">
        <v>128</v>
      </c>
      <c r="B1569" s="7" t="str">
        <f>TEXT(Table1[[#This Row],[Date]],"MMM")</f>
        <v>Mar</v>
      </c>
      <c r="C1569" t="s">
        <v>49</v>
      </c>
      <c r="D1569" t="s">
        <v>36</v>
      </c>
      <c r="E1569" t="s">
        <v>29</v>
      </c>
      <c r="F1569" t="s">
        <v>30</v>
      </c>
      <c r="G1569" t="s">
        <v>62</v>
      </c>
      <c r="H1569" t="s">
        <v>51</v>
      </c>
      <c r="I1569" s="9">
        <v>150000</v>
      </c>
      <c r="J1569">
        <v>4</v>
      </c>
      <c r="K1569" t="s">
        <v>58</v>
      </c>
      <c r="L1569" s="9">
        <f t="shared" si="24"/>
        <v>120000</v>
      </c>
      <c r="M1569" s="9">
        <f>Table1[[#This Row],[Unit Price]]*Table1[[#This Row],[Quantity]]</f>
        <v>600000</v>
      </c>
      <c r="N1569" s="9">
        <f>Table1[[#This Row],[Cost Price]]*Table1[[#This Row],[Quantity]]</f>
        <v>480000</v>
      </c>
      <c r="O1569" s="9">
        <f>Table1[[#This Row],[Revenue]]-Table1[[#This Row],[COGS]]</f>
        <v>120000</v>
      </c>
      <c r="P1569" s="6">
        <v>1568</v>
      </c>
    </row>
    <row r="1570" spans="1:16">
      <c r="A1570" s="7" t="s">
        <v>79</v>
      </c>
      <c r="B1570" s="7" t="str">
        <f>TEXT(Table1[[#This Row],[Date]],"MMM")</f>
        <v>Feb</v>
      </c>
      <c r="C1570" t="s">
        <v>49</v>
      </c>
      <c r="D1570" t="s">
        <v>45</v>
      </c>
      <c r="E1570" t="s">
        <v>41</v>
      </c>
      <c r="F1570" t="s">
        <v>37</v>
      </c>
      <c r="G1570" t="s">
        <v>46</v>
      </c>
      <c r="H1570" t="s">
        <v>39</v>
      </c>
      <c r="I1570" s="9">
        <v>60000</v>
      </c>
      <c r="J1570">
        <v>8</v>
      </c>
      <c r="K1570" t="s">
        <v>47</v>
      </c>
      <c r="L1570" s="9">
        <f t="shared" si="24"/>
        <v>48000</v>
      </c>
      <c r="M1570" s="9">
        <f>Table1[[#This Row],[Unit Price]]*Table1[[#This Row],[Quantity]]</f>
        <v>480000</v>
      </c>
      <c r="N1570" s="9">
        <f>Table1[[#This Row],[Cost Price]]*Table1[[#This Row],[Quantity]]</f>
        <v>384000</v>
      </c>
      <c r="O1570" s="9">
        <f>Table1[[#This Row],[Revenue]]-Table1[[#This Row],[COGS]]</f>
        <v>96000</v>
      </c>
      <c r="P1570" s="6">
        <v>1569</v>
      </c>
    </row>
    <row r="1571" spans="1:16">
      <c r="A1571" s="7" t="s">
        <v>155</v>
      </c>
      <c r="B1571" s="7" t="str">
        <f>TEXT(Table1[[#This Row],[Date]],"MMM")</f>
        <v>Apr</v>
      </c>
      <c r="C1571" t="s">
        <v>49</v>
      </c>
      <c r="D1571" t="s">
        <v>28</v>
      </c>
      <c r="E1571" t="s">
        <v>41</v>
      </c>
      <c r="F1571" t="s">
        <v>37</v>
      </c>
      <c r="G1571" t="s">
        <v>67</v>
      </c>
      <c r="H1571" t="s">
        <v>51</v>
      </c>
      <c r="I1571" s="9">
        <v>420000</v>
      </c>
      <c r="J1571">
        <v>5</v>
      </c>
      <c r="K1571" t="s">
        <v>65</v>
      </c>
      <c r="L1571" s="9">
        <f t="shared" si="24"/>
        <v>336000</v>
      </c>
      <c r="M1571" s="9">
        <f>Table1[[#This Row],[Unit Price]]*Table1[[#This Row],[Quantity]]</f>
        <v>2100000</v>
      </c>
      <c r="N1571" s="9">
        <f>Table1[[#This Row],[Cost Price]]*Table1[[#This Row],[Quantity]]</f>
        <v>1680000</v>
      </c>
      <c r="O1571" s="9">
        <f>Table1[[#This Row],[Revenue]]-Table1[[#This Row],[COGS]]</f>
        <v>420000</v>
      </c>
      <c r="P1571" s="6">
        <v>1570</v>
      </c>
    </row>
    <row r="1572" spans="1:16">
      <c r="A1572" s="7" t="s">
        <v>105</v>
      </c>
      <c r="B1572" s="7" t="str">
        <f>TEXT(Table1[[#This Row],[Date]],"MMM")</f>
        <v>Mar</v>
      </c>
      <c r="C1572" t="s">
        <v>49</v>
      </c>
      <c r="D1572" t="s">
        <v>28</v>
      </c>
      <c r="E1572" t="s">
        <v>29</v>
      </c>
      <c r="F1572" t="s">
        <v>37</v>
      </c>
      <c r="G1572" t="s">
        <v>67</v>
      </c>
      <c r="H1572" t="s">
        <v>51</v>
      </c>
      <c r="I1572" s="9">
        <v>420000</v>
      </c>
      <c r="J1572">
        <v>6</v>
      </c>
      <c r="K1572" t="s">
        <v>69</v>
      </c>
      <c r="L1572" s="9">
        <f t="shared" si="24"/>
        <v>336000</v>
      </c>
      <c r="M1572" s="9">
        <f>Table1[[#This Row],[Unit Price]]*Table1[[#This Row],[Quantity]]</f>
        <v>2520000</v>
      </c>
      <c r="N1572" s="9">
        <f>Table1[[#This Row],[Cost Price]]*Table1[[#This Row],[Quantity]]</f>
        <v>2016000</v>
      </c>
      <c r="O1572" s="9">
        <f>Table1[[#This Row],[Revenue]]-Table1[[#This Row],[COGS]]</f>
        <v>504000</v>
      </c>
      <c r="P1572" s="6">
        <v>1571</v>
      </c>
    </row>
    <row r="1573" spans="1:16">
      <c r="A1573" s="7" t="s">
        <v>134</v>
      </c>
      <c r="B1573" s="7" t="str">
        <f>TEXT(Table1[[#This Row],[Date]],"MMM")</f>
        <v>Jan</v>
      </c>
      <c r="C1573" t="s">
        <v>44</v>
      </c>
      <c r="D1573" t="s">
        <v>28</v>
      </c>
      <c r="E1573" t="s">
        <v>29</v>
      </c>
      <c r="F1573" t="s">
        <v>37</v>
      </c>
      <c r="G1573" t="s">
        <v>50</v>
      </c>
      <c r="H1573" t="s">
        <v>51</v>
      </c>
      <c r="I1573" s="9">
        <v>300000</v>
      </c>
      <c r="J1573">
        <v>4</v>
      </c>
      <c r="K1573" t="s">
        <v>42</v>
      </c>
      <c r="L1573" s="9">
        <f t="shared" si="24"/>
        <v>240000</v>
      </c>
      <c r="M1573" s="9">
        <f>Table1[[#This Row],[Unit Price]]*Table1[[#This Row],[Quantity]]</f>
        <v>1200000</v>
      </c>
      <c r="N1573" s="9">
        <f>Table1[[#This Row],[Cost Price]]*Table1[[#This Row],[Quantity]]</f>
        <v>960000</v>
      </c>
      <c r="O1573" s="9">
        <f>Table1[[#This Row],[Revenue]]-Table1[[#This Row],[COGS]]</f>
        <v>240000</v>
      </c>
      <c r="P1573" s="6">
        <v>1572</v>
      </c>
    </row>
    <row r="1574" spans="1:16">
      <c r="A1574" s="7" t="s">
        <v>88</v>
      </c>
      <c r="B1574" s="7" t="str">
        <f>TEXT(Table1[[#This Row],[Date]],"MMM")</f>
        <v>Feb</v>
      </c>
      <c r="C1574" t="s">
        <v>35</v>
      </c>
      <c r="D1574" t="s">
        <v>53</v>
      </c>
      <c r="E1574" t="s">
        <v>29</v>
      </c>
      <c r="F1574" t="s">
        <v>30</v>
      </c>
      <c r="G1574" t="s">
        <v>54</v>
      </c>
      <c r="H1574" t="s">
        <v>39</v>
      </c>
      <c r="I1574" s="9">
        <v>180000</v>
      </c>
      <c r="J1574">
        <v>1</v>
      </c>
      <c r="K1574" t="s">
        <v>69</v>
      </c>
      <c r="L1574" s="9">
        <f t="shared" si="24"/>
        <v>144000</v>
      </c>
      <c r="M1574" s="9">
        <f>Table1[[#This Row],[Unit Price]]*Table1[[#This Row],[Quantity]]</f>
        <v>180000</v>
      </c>
      <c r="N1574" s="9">
        <f>Table1[[#This Row],[Cost Price]]*Table1[[#This Row],[Quantity]]</f>
        <v>144000</v>
      </c>
      <c r="O1574" s="9">
        <f>Table1[[#This Row],[Revenue]]-Table1[[#This Row],[COGS]]</f>
        <v>36000</v>
      </c>
      <c r="P1574" s="6">
        <v>1573</v>
      </c>
    </row>
    <row r="1575" spans="1:16">
      <c r="A1575" s="7" t="s">
        <v>60</v>
      </c>
      <c r="B1575" s="7" t="str">
        <f>TEXT(Table1[[#This Row],[Date]],"MMM")</f>
        <v>Mar</v>
      </c>
      <c r="C1575" t="s">
        <v>49</v>
      </c>
      <c r="D1575" t="s">
        <v>53</v>
      </c>
      <c r="E1575" t="s">
        <v>41</v>
      </c>
      <c r="F1575" t="s">
        <v>30</v>
      </c>
      <c r="G1575" t="s">
        <v>67</v>
      </c>
      <c r="H1575" t="s">
        <v>51</v>
      </c>
      <c r="I1575" s="9">
        <v>420000</v>
      </c>
      <c r="J1575">
        <v>5</v>
      </c>
      <c r="K1575" t="s">
        <v>65</v>
      </c>
      <c r="L1575" s="9">
        <f t="shared" si="24"/>
        <v>336000</v>
      </c>
      <c r="M1575" s="9">
        <f>Table1[[#This Row],[Unit Price]]*Table1[[#This Row],[Quantity]]</f>
        <v>2100000</v>
      </c>
      <c r="N1575" s="9">
        <f>Table1[[#This Row],[Cost Price]]*Table1[[#This Row],[Quantity]]</f>
        <v>1680000</v>
      </c>
      <c r="O1575" s="9">
        <f>Table1[[#This Row],[Revenue]]-Table1[[#This Row],[COGS]]</f>
        <v>420000</v>
      </c>
      <c r="P1575" s="6">
        <v>1574</v>
      </c>
    </row>
    <row r="1576" spans="1:16">
      <c r="A1576" s="7" t="s">
        <v>60</v>
      </c>
      <c r="B1576" s="7" t="str">
        <f>TEXT(Table1[[#This Row],[Date]],"MMM")</f>
        <v>Mar</v>
      </c>
      <c r="C1576" t="s">
        <v>27</v>
      </c>
      <c r="D1576" t="s">
        <v>36</v>
      </c>
      <c r="E1576" t="s">
        <v>41</v>
      </c>
      <c r="F1576" t="s">
        <v>37</v>
      </c>
      <c r="G1576" t="s">
        <v>71</v>
      </c>
      <c r="H1576" t="s">
        <v>51</v>
      </c>
      <c r="I1576" s="9">
        <v>250000</v>
      </c>
      <c r="J1576">
        <v>7</v>
      </c>
      <c r="K1576" t="s">
        <v>69</v>
      </c>
      <c r="L1576" s="9">
        <f t="shared" si="24"/>
        <v>200000</v>
      </c>
      <c r="M1576" s="9">
        <f>Table1[[#This Row],[Unit Price]]*Table1[[#This Row],[Quantity]]</f>
        <v>1750000</v>
      </c>
      <c r="N1576" s="9">
        <f>Table1[[#This Row],[Cost Price]]*Table1[[#This Row],[Quantity]]</f>
        <v>1400000</v>
      </c>
      <c r="O1576" s="9">
        <f>Table1[[#This Row],[Revenue]]-Table1[[#This Row],[COGS]]</f>
        <v>350000</v>
      </c>
      <c r="P1576" s="6">
        <v>1575</v>
      </c>
    </row>
    <row r="1577" spans="1:16">
      <c r="A1577" s="7" t="s">
        <v>106</v>
      </c>
      <c r="B1577" s="7" t="str">
        <f>TEXT(Table1[[#This Row],[Date]],"MMM")</f>
        <v>Apr</v>
      </c>
      <c r="C1577" t="s">
        <v>44</v>
      </c>
      <c r="D1577" t="s">
        <v>53</v>
      </c>
      <c r="E1577" t="s">
        <v>41</v>
      </c>
      <c r="F1577" t="s">
        <v>30</v>
      </c>
      <c r="G1577" t="s">
        <v>38</v>
      </c>
      <c r="H1577" t="s">
        <v>39</v>
      </c>
      <c r="I1577" s="9">
        <v>30000</v>
      </c>
      <c r="J1577">
        <v>1</v>
      </c>
      <c r="K1577" t="s">
        <v>69</v>
      </c>
      <c r="L1577" s="9">
        <f t="shared" si="24"/>
        <v>24000</v>
      </c>
      <c r="M1577" s="9">
        <f>Table1[[#This Row],[Unit Price]]*Table1[[#This Row],[Quantity]]</f>
        <v>30000</v>
      </c>
      <c r="N1577" s="9">
        <f>Table1[[#This Row],[Cost Price]]*Table1[[#This Row],[Quantity]]</f>
        <v>24000</v>
      </c>
      <c r="O1577" s="9">
        <f>Table1[[#This Row],[Revenue]]-Table1[[#This Row],[COGS]]</f>
        <v>6000</v>
      </c>
      <c r="P1577" s="6">
        <v>1576</v>
      </c>
    </row>
    <row r="1578" spans="1:16">
      <c r="A1578" s="7" t="s">
        <v>128</v>
      </c>
      <c r="B1578" s="7" t="str">
        <f>TEXT(Table1[[#This Row],[Date]],"MMM")</f>
        <v>Mar</v>
      </c>
      <c r="C1578" t="s">
        <v>44</v>
      </c>
      <c r="D1578" t="s">
        <v>36</v>
      </c>
      <c r="E1578" t="s">
        <v>41</v>
      </c>
      <c r="F1578" t="s">
        <v>30</v>
      </c>
      <c r="G1578" t="s">
        <v>54</v>
      </c>
      <c r="H1578" t="s">
        <v>39</v>
      </c>
      <c r="I1578" s="9">
        <v>180000</v>
      </c>
      <c r="J1578">
        <v>9</v>
      </c>
      <c r="K1578" t="s">
        <v>58</v>
      </c>
      <c r="L1578" s="9">
        <f t="shared" si="24"/>
        <v>144000</v>
      </c>
      <c r="M1578" s="9">
        <f>Table1[[#This Row],[Unit Price]]*Table1[[#This Row],[Quantity]]</f>
        <v>1620000</v>
      </c>
      <c r="N1578" s="9">
        <f>Table1[[#This Row],[Cost Price]]*Table1[[#This Row],[Quantity]]</f>
        <v>1296000</v>
      </c>
      <c r="O1578" s="9">
        <f>Table1[[#This Row],[Revenue]]-Table1[[#This Row],[COGS]]</f>
        <v>324000</v>
      </c>
      <c r="P1578" s="6">
        <v>1577</v>
      </c>
    </row>
    <row r="1579" spans="1:16">
      <c r="A1579" s="7" t="s">
        <v>149</v>
      </c>
      <c r="B1579" s="7" t="str">
        <f>TEXT(Table1[[#This Row],[Date]],"MMM")</f>
        <v>Apr</v>
      </c>
      <c r="C1579" t="s">
        <v>49</v>
      </c>
      <c r="D1579" t="s">
        <v>36</v>
      </c>
      <c r="E1579" t="s">
        <v>41</v>
      </c>
      <c r="F1579" t="s">
        <v>30</v>
      </c>
      <c r="G1579" t="s">
        <v>50</v>
      </c>
      <c r="H1579" t="s">
        <v>51</v>
      </c>
      <c r="I1579" s="9">
        <v>300000</v>
      </c>
      <c r="J1579">
        <v>7</v>
      </c>
      <c r="K1579" t="s">
        <v>69</v>
      </c>
      <c r="L1579" s="9">
        <f t="shared" si="24"/>
        <v>240000</v>
      </c>
      <c r="M1579" s="9">
        <f>Table1[[#This Row],[Unit Price]]*Table1[[#This Row],[Quantity]]</f>
        <v>2100000</v>
      </c>
      <c r="N1579" s="9">
        <f>Table1[[#This Row],[Cost Price]]*Table1[[#This Row],[Quantity]]</f>
        <v>1680000</v>
      </c>
      <c r="O1579" s="9">
        <f>Table1[[#This Row],[Revenue]]-Table1[[#This Row],[COGS]]</f>
        <v>420000</v>
      </c>
      <c r="P1579" s="6">
        <v>1578</v>
      </c>
    </row>
    <row r="1580" spans="1:16">
      <c r="A1580" s="7" t="s">
        <v>64</v>
      </c>
      <c r="B1580" s="7" t="str">
        <f>TEXT(Table1[[#This Row],[Date]],"MMM")</f>
        <v>Apr</v>
      </c>
      <c r="C1580" t="s">
        <v>35</v>
      </c>
      <c r="D1580" t="s">
        <v>36</v>
      </c>
      <c r="E1580" t="s">
        <v>29</v>
      </c>
      <c r="F1580" t="s">
        <v>30</v>
      </c>
      <c r="G1580" t="s">
        <v>46</v>
      </c>
      <c r="H1580" t="s">
        <v>39</v>
      </c>
      <c r="I1580" s="9">
        <v>60000</v>
      </c>
      <c r="J1580">
        <v>2</v>
      </c>
      <c r="K1580" t="s">
        <v>69</v>
      </c>
      <c r="L1580" s="9">
        <f t="shared" si="24"/>
        <v>48000</v>
      </c>
      <c r="M1580" s="9">
        <f>Table1[[#This Row],[Unit Price]]*Table1[[#This Row],[Quantity]]</f>
        <v>120000</v>
      </c>
      <c r="N1580" s="9">
        <f>Table1[[#This Row],[Cost Price]]*Table1[[#This Row],[Quantity]]</f>
        <v>96000</v>
      </c>
      <c r="O1580" s="9">
        <f>Table1[[#This Row],[Revenue]]-Table1[[#This Row],[COGS]]</f>
        <v>24000</v>
      </c>
      <c r="P1580" s="6">
        <v>1579</v>
      </c>
    </row>
    <row r="1581" spans="1:16">
      <c r="A1581" s="7" t="s">
        <v>122</v>
      </c>
      <c r="B1581" s="7" t="str">
        <f>TEXT(Table1[[#This Row],[Date]],"MMM")</f>
        <v>Mar</v>
      </c>
      <c r="C1581" t="s">
        <v>27</v>
      </c>
      <c r="D1581" t="s">
        <v>53</v>
      </c>
      <c r="E1581" t="s">
        <v>41</v>
      </c>
      <c r="F1581" t="s">
        <v>30</v>
      </c>
      <c r="G1581" t="s">
        <v>71</v>
      </c>
      <c r="H1581" t="s">
        <v>51</v>
      </c>
      <c r="I1581" s="9">
        <v>250000</v>
      </c>
      <c r="J1581">
        <v>5</v>
      </c>
      <c r="K1581" t="s">
        <v>47</v>
      </c>
      <c r="L1581" s="9">
        <f t="shared" si="24"/>
        <v>200000</v>
      </c>
      <c r="M1581" s="9">
        <f>Table1[[#This Row],[Unit Price]]*Table1[[#This Row],[Quantity]]</f>
        <v>1250000</v>
      </c>
      <c r="N1581" s="9">
        <f>Table1[[#This Row],[Cost Price]]*Table1[[#This Row],[Quantity]]</f>
        <v>1000000</v>
      </c>
      <c r="O1581" s="9">
        <f>Table1[[#This Row],[Revenue]]-Table1[[#This Row],[COGS]]</f>
        <v>250000</v>
      </c>
      <c r="P1581" s="6">
        <v>1580</v>
      </c>
    </row>
    <row r="1582" spans="1:16">
      <c r="A1582" s="7" t="s">
        <v>128</v>
      </c>
      <c r="B1582" s="7" t="str">
        <f>TEXT(Table1[[#This Row],[Date]],"MMM")</f>
        <v>Mar</v>
      </c>
      <c r="C1582" t="s">
        <v>49</v>
      </c>
      <c r="D1582" t="s">
        <v>53</v>
      </c>
      <c r="E1582" t="s">
        <v>41</v>
      </c>
      <c r="F1582" t="s">
        <v>37</v>
      </c>
      <c r="G1582" t="s">
        <v>31</v>
      </c>
      <c r="H1582" t="s">
        <v>32</v>
      </c>
      <c r="I1582" s="9">
        <v>85000</v>
      </c>
      <c r="J1582">
        <v>9</v>
      </c>
      <c r="K1582" t="s">
        <v>58</v>
      </c>
      <c r="L1582" s="9">
        <f t="shared" si="24"/>
        <v>68000</v>
      </c>
      <c r="M1582" s="9">
        <f>Table1[[#This Row],[Unit Price]]*Table1[[#This Row],[Quantity]]</f>
        <v>765000</v>
      </c>
      <c r="N1582" s="9">
        <f>Table1[[#This Row],[Cost Price]]*Table1[[#This Row],[Quantity]]</f>
        <v>612000</v>
      </c>
      <c r="O1582" s="9">
        <f>Table1[[#This Row],[Revenue]]-Table1[[#This Row],[COGS]]</f>
        <v>153000</v>
      </c>
      <c r="P1582" s="6">
        <v>1581</v>
      </c>
    </row>
    <row r="1583" spans="1:16">
      <c r="A1583" s="7" t="s">
        <v>142</v>
      </c>
      <c r="B1583" s="7" t="str">
        <f>TEXT(Table1[[#This Row],[Date]],"MMM")</f>
        <v>Apr</v>
      </c>
      <c r="C1583" t="s">
        <v>49</v>
      </c>
      <c r="D1583" t="s">
        <v>45</v>
      </c>
      <c r="E1583" t="s">
        <v>29</v>
      </c>
      <c r="F1583" t="s">
        <v>30</v>
      </c>
      <c r="G1583" t="s">
        <v>67</v>
      </c>
      <c r="H1583" t="s">
        <v>51</v>
      </c>
      <c r="I1583" s="9">
        <v>420000</v>
      </c>
      <c r="J1583">
        <v>5</v>
      </c>
      <c r="K1583" t="s">
        <v>47</v>
      </c>
      <c r="L1583" s="9">
        <f t="shared" si="24"/>
        <v>336000</v>
      </c>
      <c r="M1583" s="9">
        <f>Table1[[#This Row],[Unit Price]]*Table1[[#This Row],[Quantity]]</f>
        <v>2100000</v>
      </c>
      <c r="N1583" s="9">
        <f>Table1[[#This Row],[Cost Price]]*Table1[[#This Row],[Quantity]]</f>
        <v>1680000</v>
      </c>
      <c r="O1583" s="9">
        <f>Table1[[#This Row],[Revenue]]-Table1[[#This Row],[COGS]]</f>
        <v>420000</v>
      </c>
      <c r="P1583" s="6">
        <v>1582</v>
      </c>
    </row>
    <row r="1584" spans="1:16">
      <c r="A1584" s="7" t="s">
        <v>113</v>
      </c>
      <c r="B1584" s="7" t="str">
        <f>TEXT(Table1[[#This Row],[Date]],"MMM")</f>
        <v>Apr</v>
      </c>
      <c r="C1584" t="s">
        <v>35</v>
      </c>
      <c r="D1584" t="s">
        <v>53</v>
      </c>
      <c r="E1584" t="s">
        <v>29</v>
      </c>
      <c r="F1584" t="s">
        <v>30</v>
      </c>
      <c r="G1584" t="s">
        <v>67</v>
      </c>
      <c r="H1584" t="s">
        <v>51</v>
      </c>
      <c r="I1584" s="9">
        <v>420000</v>
      </c>
      <c r="J1584">
        <v>7</v>
      </c>
      <c r="K1584" t="s">
        <v>47</v>
      </c>
      <c r="L1584" s="9">
        <f t="shared" si="24"/>
        <v>336000</v>
      </c>
      <c r="M1584" s="9">
        <f>Table1[[#This Row],[Unit Price]]*Table1[[#This Row],[Quantity]]</f>
        <v>2940000</v>
      </c>
      <c r="N1584" s="9">
        <f>Table1[[#This Row],[Cost Price]]*Table1[[#This Row],[Quantity]]</f>
        <v>2352000</v>
      </c>
      <c r="O1584" s="9">
        <f>Table1[[#This Row],[Revenue]]-Table1[[#This Row],[COGS]]</f>
        <v>588000</v>
      </c>
      <c r="P1584" s="6">
        <v>1583</v>
      </c>
    </row>
    <row r="1585" spans="1:16">
      <c r="A1585" s="7" t="s">
        <v>85</v>
      </c>
      <c r="B1585" s="7" t="str">
        <f>TEXT(Table1[[#This Row],[Date]],"MMM")</f>
        <v>Feb</v>
      </c>
      <c r="C1585" t="s">
        <v>49</v>
      </c>
      <c r="D1585" t="s">
        <v>28</v>
      </c>
      <c r="E1585" t="s">
        <v>29</v>
      </c>
      <c r="F1585" t="s">
        <v>37</v>
      </c>
      <c r="G1585" t="s">
        <v>56</v>
      </c>
      <c r="H1585" t="s">
        <v>32</v>
      </c>
      <c r="I1585" s="9">
        <v>320000</v>
      </c>
      <c r="J1585">
        <v>3</v>
      </c>
      <c r="K1585" t="s">
        <v>47</v>
      </c>
      <c r="L1585" s="9">
        <f t="shared" si="24"/>
        <v>256000</v>
      </c>
      <c r="M1585" s="9">
        <f>Table1[[#This Row],[Unit Price]]*Table1[[#This Row],[Quantity]]</f>
        <v>960000</v>
      </c>
      <c r="N1585" s="9">
        <f>Table1[[#This Row],[Cost Price]]*Table1[[#This Row],[Quantity]]</f>
        <v>768000</v>
      </c>
      <c r="O1585" s="9">
        <f>Table1[[#This Row],[Revenue]]-Table1[[#This Row],[COGS]]</f>
        <v>192000</v>
      </c>
      <c r="P1585" s="6">
        <v>1584</v>
      </c>
    </row>
    <row r="1586" spans="1:16">
      <c r="A1586" s="7" t="s">
        <v>136</v>
      </c>
      <c r="B1586" s="7" t="str">
        <f>TEXT(Table1[[#This Row],[Date]],"MMM")</f>
        <v>Feb</v>
      </c>
      <c r="C1586" t="s">
        <v>44</v>
      </c>
      <c r="D1586" t="s">
        <v>28</v>
      </c>
      <c r="E1586" t="s">
        <v>41</v>
      </c>
      <c r="F1586" t="s">
        <v>37</v>
      </c>
      <c r="G1586" t="s">
        <v>71</v>
      </c>
      <c r="H1586" t="s">
        <v>51</v>
      </c>
      <c r="I1586" s="9">
        <v>250000</v>
      </c>
      <c r="J1586">
        <v>10</v>
      </c>
      <c r="K1586" t="s">
        <v>47</v>
      </c>
      <c r="L1586" s="9">
        <f t="shared" si="24"/>
        <v>200000</v>
      </c>
      <c r="M1586" s="9">
        <f>Table1[[#This Row],[Unit Price]]*Table1[[#This Row],[Quantity]]</f>
        <v>2500000</v>
      </c>
      <c r="N1586" s="9">
        <f>Table1[[#This Row],[Cost Price]]*Table1[[#This Row],[Quantity]]</f>
        <v>2000000</v>
      </c>
      <c r="O1586" s="9">
        <f>Table1[[#This Row],[Revenue]]-Table1[[#This Row],[COGS]]</f>
        <v>500000</v>
      </c>
      <c r="P1586" s="6">
        <v>1585</v>
      </c>
    </row>
    <row r="1587" spans="1:16">
      <c r="A1587" s="7" t="s">
        <v>43</v>
      </c>
      <c r="B1587" s="7" t="str">
        <f>TEXT(Table1[[#This Row],[Date]],"MMM")</f>
        <v>Apr</v>
      </c>
      <c r="C1587" t="s">
        <v>35</v>
      </c>
      <c r="D1587" t="s">
        <v>45</v>
      </c>
      <c r="E1587" t="s">
        <v>29</v>
      </c>
      <c r="F1587" t="s">
        <v>30</v>
      </c>
      <c r="G1587" t="s">
        <v>62</v>
      </c>
      <c r="H1587" t="s">
        <v>51</v>
      </c>
      <c r="I1587" s="9">
        <v>150000</v>
      </c>
      <c r="J1587">
        <v>9</v>
      </c>
      <c r="K1587" t="s">
        <v>69</v>
      </c>
      <c r="L1587" s="9">
        <f t="shared" si="24"/>
        <v>120000</v>
      </c>
      <c r="M1587" s="9">
        <f>Table1[[#This Row],[Unit Price]]*Table1[[#This Row],[Quantity]]</f>
        <v>1350000</v>
      </c>
      <c r="N1587" s="9">
        <f>Table1[[#This Row],[Cost Price]]*Table1[[#This Row],[Quantity]]</f>
        <v>1080000</v>
      </c>
      <c r="O1587" s="9">
        <f>Table1[[#This Row],[Revenue]]-Table1[[#This Row],[COGS]]</f>
        <v>270000</v>
      </c>
      <c r="P1587" s="6">
        <v>1586</v>
      </c>
    </row>
    <row r="1588" spans="1:16">
      <c r="A1588" s="7" t="s">
        <v>89</v>
      </c>
      <c r="B1588" s="7" t="str">
        <f>TEXT(Table1[[#This Row],[Date]],"MMM")</f>
        <v>Feb</v>
      </c>
      <c r="C1588" t="s">
        <v>27</v>
      </c>
      <c r="D1588" t="s">
        <v>28</v>
      </c>
      <c r="E1588" t="s">
        <v>41</v>
      </c>
      <c r="F1588" t="s">
        <v>30</v>
      </c>
      <c r="G1588" t="s">
        <v>50</v>
      </c>
      <c r="H1588" t="s">
        <v>51</v>
      </c>
      <c r="I1588" s="9">
        <v>300000</v>
      </c>
      <c r="J1588">
        <v>10</v>
      </c>
      <c r="K1588" t="s">
        <v>33</v>
      </c>
      <c r="L1588" s="9">
        <f t="shared" si="24"/>
        <v>240000</v>
      </c>
      <c r="M1588" s="9">
        <f>Table1[[#This Row],[Unit Price]]*Table1[[#This Row],[Quantity]]</f>
        <v>3000000</v>
      </c>
      <c r="N1588" s="9">
        <f>Table1[[#This Row],[Cost Price]]*Table1[[#This Row],[Quantity]]</f>
        <v>2400000</v>
      </c>
      <c r="O1588" s="9">
        <f>Table1[[#This Row],[Revenue]]-Table1[[#This Row],[COGS]]</f>
        <v>600000</v>
      </c>
      <c r="P1588" s="6">
        <v>1587</v>
      </c>
    </row>
    <row r="1589" spans="1:16">
      <c r="A1589" s="7" t="s">
        <v>89</v>
      </c>
      <c r="B1589" s="7" t="str">
        <f>TEXT(Table1[[#This Row],[Date]],"MMM")</f>
        <v>Feb</v>
      </c>
      <c r="C1589" t="s">
        <v>35</v>
      </c>
      <c r="D1589" t="s">
        <v>28</v>
      </c>
      <c r="E1589" t="s">
        <v>41</v>
      </c>
      <c r="F1589" t="s">
        <v>37</v>
      </c>
      <c r="G1589" t="s">
        <v>50</v>
      </c>
      <c r="H1589" t="s">
        <v>51</v>
      </c>
      <c r="I1589" s="9">
        <v>300000</v>
      </c>
      <c r="J1589">
        <v>2</v>
      </c>
      <c r="K1589" t="s">
        <v>58</v>
      </c>
      <c r="L1589" s="9">
        <f t="shared" si="24"/>
        <v>240000</v>
      </c>
      <c r="M1589" s="9">
        <f>Table1[[#This Row],[Unit Price]]*Table1[[#This Row],[Quantity]]</f>
        <v>600000</v>
      </c>
      <c r="N1589" s="9">
        <f>Table1[[#This Row],[Cost Price]]*Table1[[#This Row],[Quantity]]</f>
        <v>480000</v>
      </c>
      <c r="O1589" s="9">
        <f>Table1[[#This Row],[Revenue]]-Table1[[#This Row],[COGS]]</f>
        <v>120000</v>
      </c>
      <c r="P1589" s="6">
        <v>1588</v>
      </c>
    </row>
    <row r="1590" spans="1:16">
      <c r="A1590" s="7" t="s">
        <v>126</v>
      </c>
      <c r="B1590" s="7" t="str">
        <f>TEXT(Table1[[#This Row],[Date]],"MMM")</f>
        <v>Jan</v>
      </c>
      <c r="C1590" t="s">
        <v>35</v>
      </c>
      <c r="D1590" t="s">
        <v>53</v>
      </c>
      <c r="E1590" t="s">
        <v>29</v>
      </c>
      <c r="F1590" t="s">
        <v>37</v>
      </c>
      <c r="G1590" t="s">
        <v>54</v>
      </c>
      <c r="H1590" t="s">
        <v>39</v>
      </c>
      <c r="I1590" s="9">
        <v>180000</v>
      </c>
      <c r="J1590">
        <v>2</v>
      </c>
      <c r="K1590" t="s">
        <v>58</v>
      </c>
      <c r="L1590" s="9">
        <f t="shared" si="24"/>
        <v>144000</v>
      </c>
      <c r="M1590" s="9">
        <f>Table1[[#This Row],[Unit Price]]*Table1[[#This Row],[Quantity]]</f>
        <v>360000</v>
      </c>
      <c r="N1590" s="9">
        <f>Table1[[#This Row],[Cost Price]]*Table1[[#This Row],[Quantity]]</f>
        <v>288000</v>
      </c>
      <c r="O1590" s="9">
        <f>Table1[[#This Row],[Revenue]]-Table1[[#This Row],[COGS]]</f>
        <v>72000</v>
      </c>
      <c r="P1590" s="6">
        <v>1589</v>
      </c>
    </row>
    <row r="1591" spans="1:16">
      <c r="A1591" s="7" t="s">
        <v>131</v>
      </c>
      <c r="B1591" s="7" t="str">
        <f>TEXT(Table1[[#This Row],[Date]],"MMM")</f>
        <v>Mar</v>
      </c>
      <c r="C1591" t="s">
        <v>27</v>
      </c>
      <c r="D1591" t="s">
        <v>53</v>
      </c>
      <c r="E1591" t="s">
        <v>41</v>
      </c>
      <c r="F1591" t="s">
        <v>37</v>
      </c>
      <c r="G1591" t="s">
        <v>56</v>
      </c>
      <c r="H1591" t="s">
        <v>32</v>
      </c>
      <c r="I1591" s="9">
        <v>320000</v>
      </c>
      <c r="J1591">
        <v>10</v>
      </c>
      <c r="K1591" t="s">
        <v>69</v>
      </c>
      <c r="L1591" s="9">
        <f t="shared" si="24"/>
        <v>256000</v>
      </c>
      <c r="M1591" s="9">
        <f>Table1[[#This Row],[Unit Price]]*Table1[[#This Row],[Quantity]]</f>
        <v>3200000</v>
      </c>
      <c r="N1591" s="9">
        <f>Table1[[#This Row],[Cost Price]]*Table1[[#This Row],[Quantity]]</f>
        <v>2560000</v>
      </c>
      <c r="O1591" s="9">
        <f>Table1[[#This Row],[Revenue]]-Table1[[#This Row],[COGS]]</f>
        <v>640000</v>
      </c>
      <c r="P1591" s="6">
        <v>1590</v>
      </c>
    </row>
    <row r="1592" spans="1:16">
      <c r="A1592" s="7" t="s">
        <v>163</v>
      </c>
      <c r="B1592" s="7" t="str">
        <f>TEXT(Table1[[#This Row],[Date]],"MMM")</f>
        <v>Apr</v>
      </c>
      <c r="C1592" t="s">
        <v>49</v>
      </c>
      <c r="D1592" t="s">
        <v>28</v>
      </c>
      <c r="E1592" t="s">
        <v>41</v>
      </c>
      <c r="F1592" t="s">
        <v>37</v>
      </c>
      <c r="G1592" t="s">
        <v>56</v>
      </c>
      <c r="H1592" t="s">
        <v>32</v>
      </c>
      <c r="I1592" s="9">
        <v>320000</v>
      </c>
      <c r="J1592">
        <v>1</v>
      </c>
      <c r="K1592" t="s">
        <v>65</v>
      </c>
      <c r="L1592" s="9">
        <f t="shared" si="24"/>
        <v>256000</v>
      </c>
      <c r="M1592" s="9">
        <f>Table1[[#This Row],[Unit Price]]*Table1[[#This Row],[Quantity]]</f>
        <v>320000</v>
      </c>
      <c r="N1592" s="9">
        <f>Table1[[#This Row],[Cost Price]]*Table1[[#This Row],[Quantity]]</f>
        <v>256000</v>
      </c>
      <c r="O1592" s="9">
        <f>Table1[[#This Row],[Revenue]]-Table1[[#This Row],[COGS]]</f>
        <v>64000</v>
      </c>
      <c r="P1592" s="6">
        <v>1591</v>
      </c>
    </row>
    <row r="1593" spans="1:16">
      <c r="A1593" s="7" t="s">
        <v>81</v>
      </c>
      <c r="B1593" s="7" t="str">
        <f>TEXT(Table1[[#This Row],[Date]],"MMM")</f>
        <v>Mar</v>
      </c>
      <c r="C1593" t="s">
        <v>49</v>
      </c>
      <c r="D1593" t="s">
        <v>53</v>
      </c>
      <c r="E1593" t="s">
        <v>29</v>
      </c>
      <c r="F1593" t="s">
        <v>37</v>
      </c>
      <c r="G1593" t="s">
        <v>62</v>
      </c>
      <c r="H1593" t="s">
        <v>51</v>
      </c>
      <c r="I1593" s="9">
        <v>150000</v>
      </c>
      <c r="J1593">
        <v>6</v>
      </c>
      <c r="K1593" t="s">
        <v>58</v>
      </c>
      <c r="L1593" s="9">
        <f t="shared" si="24"/>
        <v>120000</v>
      </c>
      <c r="M1593" s="9">
        <f>Table1[[#This Row],[Unit Price]]*Table1[[#This Row],[Quantity]]</f>
        <v>900000</v>
      </c>
      <c r="N1593" s="9">
        <f>Table1[[#This Row],[Cost Price]]*Table1[[#This Row],[Quantity]]</f>
        <v>720000</v>
      </c>
      <c r="O1593" s="9">
        <f>Table1[[#This Row],[Revenue]]-Table1[[#This Row],[COGS]]</f>
        <v>180000</v>
      </c>
      <c r="P1593" s="6">
        <v>1592</v>
      </c>
    </row>
    <row r="1594" spans="1:16">
      <c r="A1594" s="7" t="s">
        <v>108</v>
      </c>
      <c r="B1594" s="7" t="str">
        <f>TEXT(Table1[[#This Row],[Date]],"MMM")</f>
        <v>Apr</v>
      </c>
      <c r="C1594" t="s">
        <v>49</v>
      </c>
      <c r="D1594" t="s">
        <v>36</v>
      </c>
      <c r="E1594" t="s">
        <v>41</v>
      </c>
      <c r="F1594" t="s">
        <v>37</v>
      </c>
      <c r="G1594" t="s">
        <v>31</v>
      </c>
      <c r="H1594" t="s">
        <v>32</v>
      </c>
      <c r="I1594" s="9">
        <v>85000</v>
      </c>
      <c r="J1594">
        <v>9</v>
      </c>
      <c r="K1594" t="s">
        <v>58</v>
      </c>
      <c r="L1594" s="9">
        <f t="shared" si="24"/>
        <v>68000</v>
      </c>
      <c r="M1594" s="9">
        <f>Table1[[#This Row],[Unit Price]]*Table1[[#This Row],[Quantity]]</f>
        <v>765000</v>
      </c>
      <c r="N1594" s="9">
        <f>Table1[[#This Row],[Cost Price]]*Table1[[#This Row],[Quantity]]</f>
        <v>612000</v>
      </c>
      <c r="O1594" s="9">
        <f>Table1[[#This Row],[Revenue]]-Table1[[#This Row],[COGS]]</f>
        <v>153000</v>
      </c>
      <c r="P1594" s="6">
        <v>1593</v>
      </c>
    </row>
    <row r="1595" spans="1:16">
      <c r="A1595" s="7" t="s">
        <v>90</v>
      </c>
      <c r="B1595" s="7" t="str">
        <f>TEXT(Table1[[#This Row],[Date]],"MMM")</f>
        <v>Feb</v>
      </c>
      <c r="C1595" t="s">
        <v>27</v>
      </c>
      <c r="D1595" t="s">
        <v>28</v>
      </c>
      <c r="E1595" t="s">
        <v>29</v>
      </c>
      <c r="F1595" t="s">
        <v>30</v>
      </c>
      <c r="G1595" t="s">
        <v>67</v>
      </c>
      <c r="H1595" t="s">
        <v>51</v>
      </c>
      <c r="I1595" s="9">
        <v>420000</v>
      </c>
      <c r="J1595">
        <v>7</v>
      </c>
      <c r="K1595" t="s">
        <v>33</v>
      </c>
      <c r="L1595" s="9">
        <f t="shared" si="24"/>
        <v>336000</v>
      </c>
      <c r="M1595" s="9">
        <f>Table1[[#This Row],[Unit Price]]*Table1[[#This Row],[Quantity]]</f>
        <v>2940000</v>
      </c>
      <c r="N1595" s="9">
        <f>Table1[[#This Row],[Cost Price]]*Table1[[#This Row],[Quantity]]</f>
        <v>2352000</v>
      </c>
      <c r="O1595" s="9">
        <f>Table1[[#This Row],[Revenue]]-Table1[[#This Row],[COGS]]</f>
        <v>588000</v>
      </c>
      <c r="P1595" s="6">
        <v>1594</v>
      </c>
    </row>
    <row r="1596" spans="1:16">
      <c r="A1596" s="7" t="s">
        <v>97</v>
      </c>
      <c r="B1596" s="7" t="str">
        <f>TEXT(Table1[[#This Row],[Date]],"MMM")</f>
        <v>Jan</v>
      </c>
      <c r="C1596" t="s">
        <v>35</v>
      </c>
      <c r="D1596" t="s">
        <v>28</v>
      </c>
      <c r="E1596" t="s">
        <v>29</v>
      </c>
      <c r="F1596" t="s">
        <v>30</v>
      </c>
      <c r="G1596" t="s">
        <v>38</v>
      </c>
      <c r="H1596" t="s">
        <v>39</v>
      </c>
      <c r="I1596" s="9">
        <v>30000</v>
      </c>
      <c r="J1596">
        <v>3</v>
      </c>
      <c r="K1596" t="s">
        <v>58</v>
      </c>
      <c r="L1596" s="9">
        <f t="shared" si="24"/>
        <v>24000</v>
      </c>
      <c r="M1596" s="9">
        <f>Table1[[#This Row],[Unit Price]]*Table1[[#This Row],[Quantity]]</f>
        <v>90000</v>
      </c>
      <c r="N1596" s="9">
        <f>Table1[[#This Row],[Cost Price]]*Table1[[#This Row],[Quantity]]</f>
        <v>72000</v>
      </c>
      <c r="O1596" s="9">
        <f>Table1[[#This Row],[Revenue]]-Table1[[#This Row],[COGS]]</f>
        <v>18000</v>
      </c>
      <c r="P1596" s="6">
        <v>1595</v>
      </c>
    </row>
    <row r="1597" spans="1:16">
      <c r="A1597" s="7" t="s">
        <v>121</v>
      </c>
      <c r="B1597" s="7" t="str">
        <f>TEXT(Table1[[#This Row],[Date]],"MMM")</f>
        <v>Apr</v>
      </c>
      <c r="C1597" t="s">
        <v>35</v>
      </c>
      <c r="D1597" t="s">
        <v>36</v>
      </c>
      <c r="E1597" t="s">
        <v>41</v>
      </c>
      <c r="F1597" t="s">
        <v>37</v>
      </c>
      <c r="G1597" t="s">
        <v>38</v>
      </c>
      <c r="H1597" t="s">
        <v>39</v>
      </c>
      <c r="I1597" s="9">
        <v>30000</v>
      </c>
      <c r="J1597">
        <v>9</v>
      </c>
      <c r="K1597" t="s">
        <v>33</v>
      </c>
      <c r="L1597" s="9">
        <f t="shared" si="24"/>
        <v>24000</v>
      </c>
      <c r="M1597" s="9">
        <f>Table1[[#This Row],[Unit Price]]*Table1[[#This Row],[Quantity]]</f>
        <v>270000</v>
      </c>
      <c r="N1597" s="9">
        <f>Table1[[#This Row],[Cost Price]]*Table1[[#This Row],[Quantity]]</f>
        <v>216000</v>
      </c>
      <c r="O1597" s="9">
        <f>Table1[[#This Row],[Revenue]]-Table1[[#This Row],[COGS]]</f>
        <v>54000</v>
      </c>
      <c r="P1597" s="6">
        <v>1596</v>
      </c>
    </row>
    <row r="1598" spans="1:16">
      <c r="A1598" s="7" t="s">
        <v>26</v>
      </c>
      <c r="B1598" s="7" t="str">
        <f>TEXT(Table1[[#This Row],[Date]],"MMM")</f>
        <v>Jan</v>
      </c>
      <c r="C1598" t="s">
        <v>44</v>
      </c>
      <c r="D1598" t="s">
        <v>28</v>
      </c>
      <c r="E1598" t="s">
        <v>41</v>
      </c>
      <c r="F1598" t="s">
        <v>37</v>
      </c>
      <c r="G1598" t="s">
        <v>46</v>
      </c>
      <c r="H1598" t="s">
        <v>39</v>
      </c>
      <c r="I1598" s="9">
        <v>60000</v>
      </c>
      <c r="J1598">
        <v>1</v>
      </c>
      <c r="K1598" t="s">
        <v>65</v>
      </c>
      <c r="L1598" s="9">
        <f t="shared" si="24"/>
        <v>48000</v>
      </c>
      <c r="M1598" s="9">
        <f>Table1[[#This Row],[Unit Price]]*Table1[[#This Row],[Quantity]]</f>
        <v>60000</v>
      </c>
      <c r="N1598" s="9">
        <f>Table1[[#This Row],[Cost Price]]*Table1[[#This Row],[Quantity]]</f>
        <v>48000</v>
      </c>
      <c r="O1598" s="9">
        <f>Table1[[#This Row],[Revenue]]-Table1[[#This Row],[COGS]]</f>
        <v>12000</v>
      </c>
      <c r="P1598" s="6">
        <v>1597</v>
      </c>
    </row>
    <row r="1599" spans="1:16">
      <c r="A1599" s="7" t="s">
        <v>159</v>
      </c>
      <c r="B1599" s="7" t="str">
        <f>TEXT(Table1[[#This Row],[Date]],"MMM")</f>
        <v>Feb</v>
      </c>
      <c r="C1599" t="s">
        <v>49</v>
      </c>
      <c r="D1599" t="s">
        <v>28</v>
      </c>
      <c r="E1599" t="s">
        <v>41</v>
      </c>
      <c r="F1599" t="s">
        <v>30</v>
      </c>
      <c r="G1599" t="s">
        <v>71</v>
      </c>
      <c r="H1599" t="s">
        <v>51</v>
      </c>
      <c r="I1599" s="9">
        <v>250000</v>
      </c>
      <c r="J1599">
        <v>1</v>
      </c>
      <c r="K1599" t="s">
        <v>69</v>
      </c>
      <c r="L1599" s="9">
        <f t="shared" si="24"/>
        <v>200000</v>
      </c>
      <c r="M1599" s="9">
        <f>Table1[[#This Row],[Unit Price]]*Table1[[#This Row],[Quantity]]</f>
        <v>250000</v>
      </c>
      <c r="N1599" s="9">
        <f>Table1[[#This Row],[Cost Price]]*Table1[[#This Row],[Quantity]]</f>
        <v>200000</v>
      </c>
      <c r="O1599" s="9">
        <f>Table1[[#This Row],[Revenue]]-Table1[[#This Row],[COGS]]</f>
        <v>50000</v>
      </c>
      <c r="P1599" s="6">
        <v>1598</v>
      </c>
    </row>
    <row r="1600" spans="1:16">
      <c r="A1600" s="7" t="s">
        <v>156</v>
      </c>
      <c r="B1600" s="7" t="str">
        <f>TEXT(Table1[[#This Row],[Date]],"MMM")</f>
        <v>Feb</v>
      </c>
      <c r="C1600" t="s">
        <v>49</v>
      </c>
      <c r="D1600" t="s">
        <v>36</v>
      </c>
      <c r="E1600" t="s">
        <v>41</v>
      </c>
      <c r="F1600" t="s">
        <v>30</v>
      </c>
      <c r="G1600" t="s">
        <v>62</v>
      </c>
      <c r="H1600" t="s">
        <v>51</v>
      </c>
      <c r="I1600" s="9">
        <v>150000</v>
      </c>
      <c r="J1600">
        <v>9</v>
      </c>
      <c r="K1600" t="s">
        <v>33</v>
      </c>
      <c r="L1600" s="9">
        <f t="shared" si="24"/>
        <v>120000</v>
      </c>
      <c r="M1600" s="9">
        <f>Table1[[#This Row],[Unit Price]]*Table1[[#This Row],[Quantity]]</f>
        <v>1350000</v>
      </c>
      <c r="N1600" s="9">
        <f>Table1[[#This Row],[Cost Price]]*Table1[[#This Row],[Quantity]]</f>
        <v>1080000</v>
      </c>
      <c r="O1600" s="9">
        <f>Table1[[#This Row],[Revenue]]-Table1[[#This Row],[COGS]]</f>
        <v>270000</v>
      </c>
      <c r="P1600" s="6">
        <v>1599</v>
      </c>
    </row>
    <row r="1601" spans="1:16">
      <c r="A1601" s="7" t="s">
        <v>168</v>
      </c>
      <c r="B1601" s="7" t="str">
        <f>TEXT(Table1[[#This Row],[Date]],"MMM")</f>
        <v>Apr</v>
      </c>
      <c r="C1601" t="s">
        <v>27</v>
      </c>
      <c r="D1601" t="s">
        <v>45</v>
      </c>
      <c r="E1601" t="s">
        <v>41</v>
      </c>
      <c r="F1601" t="s">
        <v>30</v>
      </c>
      <c r="G1601" t="s">
        <v>62</v>
      </c>
      <c r="H1601" t="s">
        <v>51</v>
      </c>
      <c r="I1601" s="9">
        <v>150000</v>
      </c>
      <c r="J1601">
        <v>8</v>
      </c>
      <c r="K1601" t="s">
        <v>42</v>
      </c>
      <c r="L1601" s="9">
        <f t="shared" si="24"/>
        <v>120000</v>
      </c>
      <c r="M1601" s="9">
        <f>Table1[[#This Row],[Unit Price]]*Table1[[#This Row],[Quantity]]</f>
        <v>1200000</v>
      </c>
      <c r="N1601" s="9">
        <f>Table1[[#This Row],[Cost Price]]*Table1[[#This Row],[Quantity]]</f>
        <v>960000</v>
      </c>
      <c r="O1601" s="9">
        <f>Table1[[#This Row],[Revenue]]-Table1[[#This Row],[COGS]]</f>
        <v>240000</v>
      </c>
      <c r="P1601" s="6">
        <v>1600</v>
      </c>
    </row>
    <row r="1602" spans="1:16">
      <c r="A1602" s="7" t="s">
        <v>111</v>
      </c>
      <c r="B1602" s="7" t="str">
        <f>TEXT(Table1[[#This Row],[Date]],"MMM")</f>
        <v>Feb</v>
      </c>
      <c r="C1602" t="s">
        <v>44</v>
      </c>
      <c r="D1602" t="s">
        <v>28</v>
      </c>
      <c r="E1602" t="s">
        <v>29</v>
      </c>
      <c r="F1602" t="s">
        <v>37</v>
      </c>
      <c r="G1602" t="s">
        <v>46</v>
      </c>
      <c r="H1602" t="s">
        <v>39</v>
      </c>
      <c r="I1602" s="9">
        <v>60000</v>
      </c>
      <c r="J1602">
        <v>4</v>
      </c>
      <c r="K1602" t="s">
        <v>42</v>
      </c>
      <c r="L1602" s="9">
        <f t="shared" ref="L1602:L1665" si="25">I1602-I1602*0.2</f>
        <v>48000</v>
      </c>
      <c r="M1602" s="9">
        <f>Table1[[#This Row],[Unit Price]]*Table1[[#This Row],[Quantity]]</f>
        <v>240000</v>
      </c>
      <c r="N1602" s="9">
        <f>Table1[[#This Row],[Cost Price]]*Table1[[#This Row],[Quantity]]</f>
        <v>192000</v>
      </c>
      <c r="O1602" s="9">
        <f>Table1[[#This Row],[Revenue]]-Table1[[#This Row],[COGS]]</f>
        <v>48000</v>
      </c>
      <c r="P1602" s="6">
        <v>1601</v>
      </c>
    </row>
    <row r="1603" spans="1:16">
      <c r="A1603" s="7" t="s">
        <v>75</v>
      </c>
      <c r="B1603" s="7" t="str">
        <f>TEXT(Table1[[#This Row],[Date]],"MMM")</f>
        <v>Mar</v>
      </c>
      <c r="C1603" t="s">
        <v>27</v>
      </c>
      <c r="D1603" t="s">
        <v>53</v>
      </c>
      <c r="E1603" t="s">
        <v>29</v>
      </c>
      <c r="F1603" t="s">
        <v>37</v>
      </c>
      <c r="G1603" t="s">
        <v>38</v>
      </c>
      <c r="H1603" t="s">
        <v>39</v>
      </c>
      <c r="I1603" s="9">
        <v>30000</v>
      </c>
      <c r="J1603">
        <v>3</v>
      </c>
      <c r="K1603" t="s">
        <v>58</v>
      </c>
      <c r="L1603" s="9">
        <f t="shared" si="25"/>
        <v>24000</v>
      </c>
      <c r="M1603" s="9">
        <f>Table1[[#This Row],[Unit Price]]*Table1[[#This Row],[Quantity]]</f>
        <v>90000</v>
      </c>
      <c r="N1603" s="9">
        <f>Table1[[#This Row],[Cost Price]]*Table1[[#This Row],[Quantity]]</f>
        <v>72000</v>
      </c>
      <c r="O1603" s="9">
        <f>Table1[[#This Row],[Revenue]]-Table1[[#This Row],[COGS]]</f>
        <v>18000</v>
      </c>
      <c r="P1603" s="6">
        <v>1602</v>
      </c>
    </row>
    <row r="1604" spans="1:16">
      <c r="A1604" s="7" t="s">
        <v>99</v>
      </c>
      <c r="B1604" s="7" t="str">
        <f>TEXT(Table1[[#This Row],[Date]],"MMM")</f>
        <v>Apr</v>
      </c>
      <c r="C1604" t="s">
        <v>27</v>
      </c>
      <c r="D1604" t="s">
        <v>28</v>
      </c>
      <c r="E1604" t="s">
        <v>29</v>
      </c>
      <c r="F1604" t="s">
        <v>37</v>
      </c>
      <c r="G1604" t="s">
        <v>56</v>
      </c>
      <c r="H1604" t="s">
        <v>32</v>
      </c>
      <c r="I1604" s="9">
        <v>320000</v>
      </c>
      <c r="J1604">
        <v>4</v>
      </c>
      <c r="K1604" t="s">
        <v>58</v>
      </c>
      <c r="L1604" s="9">
        <f t="shared" si="25"/>
        <v>256000</v>
      </c>
      <c r="M1604" s="9">
        <f>Table1[[#This Row],[Unit Price]]*Table1[[#This Row],[Quantity]]</f>
        <v>1280000</v>
      </c>
      <c r="N1604" s="9">
        <f>Table1[[#This Row],[Cost Price]]*Table1[[#This Row],[Quantity]]</f>
        <v>1024000</v>
      </c>
      <c r="O1604" s="9">
        <f>Table1[[#This Row],[Revenue]]-Table1[[#This Row],[COGS]]</f>
        <v>256000</v>
      </c>
      <c r="P1604" s="6">
        <v>1603</v>
      </c>
    </row>
    <row r="1605" spans="1:16">
      <c r="A1605" s="7" t="s">
        <v>75</v>
      </c>
      <c r="B1605" s="7" t="str">
        <f>TEXT(Table1[[#This Row],[Date]],"MMM")</f>
        <v>Mar</v>
      </c>
      <c r="C1605" t="s">
        <v>49</v>
      </c>
      <c r="D1605" t="s">
        <v>45</v>
      </c>
      <c r="E1605" t="s">
        <v>41</v>
      </c>
      <c r="F1605" t="s">
        <v>30</v>
      </c>
      <c r="G1605" t="s">
        <v>54</v>
      </c>
      <c r="H1605" t="s">
        <v>39</v>
      </c>
      <c r="I1605" s="9">
        <v>180000</v>
      </c>
      <c r="J1605">
        <v>8</v>
      </c>
      <c r="K1605" t="s">
        <v>47</v>
      </c>
      <c r="L1605" s="9">
        <f t="shared" si="25"/>
        <v>144000</v>
      </c>
      <c r="M1605" s="9">
        <f>Table1[[#This Row],[Unit Price]]*Table1[[#This Row],[Quantity]]</f>
        <v>1440000</v>
      </c>
      <c r="N1605" s="9">
        <f>Table1[[#This Row],[Cost Price]]*Table1[[#This Row],[Quantity]]</f>
        <v>1152000</v>
      </c>
      <c r="O1605" s="9">
        <f>Table1[[#This Row],[Revenue]]-Table1[[#This Row],[COGS]]</f>
        <v>288000</v>
      </c>
      <c r="P1605" s="6">
        <v>1604</v>
      </c>
    </row>
    <row r="1606" spans="1:16">
      <c r="A1606" s="7" t="s">
        <v>121</v>
      </c>
      <c r="B1606" s="7" t="str">
        <f>TEXT(Table1[[#This Row],[Date]],"MMM")</f>
        <v>Apr</v>
      </c>
      <c r="C1606" t="s">
        <v>35</v>
      </c>
      <c r="D1606" t="s">
        <v>53</v>
      </c>
      <c r="E1606" t="s">
        <v>29</v>
      </c>
      <c r="F1606" t="s">
        <v>37</v>
      </c>
      <c r="G1606" t="s">
        <v>31</v>
      </c>
      <c r="H1606" t="s">
        <v>32</v>
      </c>
      <c r="I1606" s="9">
        <v>85000</v>
      </c>
      <c r="J1606">
        <v>4</v>
      </c>
      <c r="K1606" t="s">
        <v>42</v>
      </c>
      <c r="L1606" s="9">
        <f t="shared" si="25"/>
        <v>68000</v>
      </c>
      <c r="M1606" s="9">
        <f>Table1[[#This Row],[Unit Price]]*Table1[[#This Row],[Quantity]]</f>
        <v>340000</v>
      </c>
      <c r="N1606" s="9">
        <f>Table1[[#This Row],[Cost Price]]*Table1[[#This Row],[Quantity]]</f>
        <v>272000</v>
      </c>
      <c r="O1606" s="9">
        <f>Table1[[#This Row],[Revenue]]-Table1[[#This Row],[COGS]]</f>
        <v>68000</v>
      </c>
      <c r="P1606" s="6">
        <v>1605</v>
      </c>
    </row>
    <row r="1607" spans="1:16">
      <c r="A1607" s="7" t="s">
        <v>169</v>
      </c>
      <c r="B1607" s="7" t="str">
        <f>TEXT(Table1[[#This Row],[Date]],"MMM")</f>
        <v>Feb</v>
      </c>
      <c r="C1607" t="s">
        <v>49</v>
      </c>
      <c r="D1607" t="s">
        <v>36</v>
      </c>
      <c r="E1607" t="s">
        <v>41</v>
      </c>
      <c r="F1607" t="s">
        <v>37</v>
      </c>
      <c r="G1607" t="s">
        <v>73</v>
      </c>
      <c r="H1607" t="s">
        <v>39</v>
      </c>
      <c r="I1607" s="9">
        <v>220000</v>
      </c>
      <c r="J1607">
        <v>10</v>
      </c>
      <c r="K1607" t="s">
        <v>33</v>
      </c>
      <c r="L1607" s="9">
        <f t="shared" si="25"/>
        <v>176000</v>
      </c>
      <c r="M1607" s="9">
        <f>Table1[[#This Row],[Unit Price]]*Table1[[#This Row],[Quantity]]</f>
        <v>2200000</v>
      </c>
      <c r="N1607" s="9">
        <f>Table1[[#This Row],[Cost Price]]*Table1[[#This Row],[Quantity]]</f>
        <v>1760000</v>
      </c>
      <c r="O1607" s="9">
        <f>Table1[[#This Row],[Revenue]]-Table1[[#This Row],[COGS]]</f>
        <v>440000</v>
      </c>
      <c r="P1607" s="6">
        <v>1606</v>
      </c>
    </row>
    <row r="1608" spans="1:16">
      <c r="A1608" s="7" t="s">
        <v>97</v>
      </c>
      <c r="B1608" s="7" t="str">
        <f>TEXT(Table1[[#This Row],[Date]],"MMM")</f>
        <v>Jan</v>
      </c>
      <c r="C1608" t="s">
        <v>44</v>
      </c>
      <c r="D1608" t="s">
        <v>28</v>
      </c>
      <c r="E1608" t="s">
        <v>41</v>
      </c>
      <c r="F1608" t="s">
        <v>37</v>
      </c>
      <c r="G1608" t="s">
        <v>31</v>
      </c>
      <c r="H1608" t="s">
        <v>32</v>
      </c>
      <c r="I1608" s="9">
        <v>85000</v>
      </c>
      <c r="J1608">
        <v>5</v>
      </c>
      <c r="K1608" t="s">
        <v>58</v>
      </c>
      <c r="L1608" s="9">
        <f t="shared" si="25"/>
        <v>68000</v>
      </c>
      <c r="M1608" s="9">
        <f>Table1[[#This Row],[Unit Price]]*Table1[[#This Row],[Quantity]]</f>
        <v>425000</v>
      </c>
      <c r="N1608" s="9">
        <f>Table1[[#This Row],[Cost Price]]*Table1[[#This Row],[Quantity]]</f>
        <v>340000</v>
      </c>
      <c r="O1608" s="9">
        <f>Table1[[#This Row],[Revenue]]-Table1[[#This Row],[COGS]]</f>
        <v>85000</v>
      </c>
      <c r="P1608" s="6">
        <v>1607</v>
      </c>
    </row>
    <row r="1609" spans="1:16">
      <c r="A1609" s="7" t="s">
        <v>98</v>
      </c>
      <c r="B1609" s="7" t="str">
        <f>TEXT(Table1[[#This Row],[Date]],"MMM")</f>
        <v>Jan</v>
      </c>
      <c r="C1609" t="s">
        <v>27</v>
      </c>
      <c r="D1609" t="s">
        <v>36</v>
      </c>
      <c r="E1609" t="s">
        <v>29</v>
      </c>
      <c r="F1609" t="s">
        <v>37</v>
      </c>
      <c r="G1609" t="s">
        <v>50</v>
      </c>
      <c r="H1609" t="s">
        <v>51</v>
      </c>
      <c r="I1609" s="9">
        <v>300000</v>
      </c>
      <c r="J1609">
        <v>2</v>
      </c>
      <c r="K1609" t="s">
        <v>65</v>
      </c>
      <c r="L1609" s="9">
        <f t="shared" si="25"/>
        <v>240000</v>
      </c>
      <c r="M1609" s="9">
        <f>Table1[[#This Row],[Unit Price]]*Table1[[#This Row],[Quantity]]</f>
        <v>600000</v>
      </c>
      <c r="N1609" s="9">
        <f>Table1[[#This Row],[Cost Price]]*Table1[[#This Row],[Quantity]]</f>
        <v>480000</v>
      </c>
      <c r="O1609" s="9">
        <f>Table1[[#This Row],[Revenue]]-Table1[[#This Row],[COGS]]</f>
        <v>120000</v>
      </c>
      <c r="P1609" s="6">
        <v>1608</v>
      </c>
    </row>
    <row r="1610" spans="1:16">
      <c r="A1610" s="7" t="s">
        <v>120</v>
      </c>
      <c r="B1610" s="7" t="str">
        <f>TEXT(Table1[[#This Row],[Date]],"MMM")</f>
        <v>Mar</v>
      </c>
      <c r="C1610" t="s">
        <v>35</v>
      </c>
      <c r="D1610" t="s">
        <v>53</v>
      </c>
      <c r="E1610" t="s">
        <v>41</v>
      </c>
      <c r="F1610" t="s">
        <v>30</v>
      </c>
      <c r="G1610" t="s">
        <v>54</v>
      </c>
      <c r="H1610" t="s">
        <v>39</v>
      </c>
      <c r="I1610" s="9">
        <v>180000</v>
      </c>
      <c r="J1610">
        <v>1</v>
      </c>
      <c r="K1610" t="s">
        <v>58</v>
      </c>
      <c r="L1610" s="9">
        <f t="shared" si="25"/>
        <v>144000</v>
      </c>
      <c r="M1610" s="9">
        <f>Table1[[#This Row],[Unit Price]]*Table1[[#This Row],[Quantity]]</f>
        <v>180000</v>
      </c>
      <c r="N1610" s="9">
        <f>Table1[[#This Row],[Cost Price]]*Table1[[#This Row],[Quantity]]</f>
        <v>144000</v>
      </c>
      <c r="O1610" s="9">
        <f>Table1[[#This Row],[Revenue]]-Table1[[#This Row],[COGS]]</f>
        <v>36000</v>
      </c>
      <c r="P1610" s="6">
        <v>1609</v>
      </c>
    </row>
    <row r="1611" spans="1:16">
      <c r="A1611" s="7" t="s">
        <v>61</v>
      </c>
      <c r="B1611" s="7" t="str">
        <f>TEXT(Table1[[#This Row],[Date]],"MMM")</f>
        <v>Jan</v>
      </c>
      <c r="C1611" t="s">
        <v>44</v>
      </c>
      <c r="D1611" t="s">
        <v>53</v>
      </c>
      <c r="E1611" t="s">
        <v>29</v>
      </c>
      <c r="F1611" t="s">
        <v>30</v>
      </c>
      <c r="G1611" t="s">
        <v>62</v>
      </c>
      <c r="H1611" t="s">
        <v>51</v>
      </c>
      <c r="I1611" s="9">
        <v>150000</v>
      </c>
      <c r="J1611">
        <v>3</v>
      </c>
      <c r="K1611" t="s">
        <v>58</v>
      </c>
      <c r="L1611" s="9">
        <f t="shared" si="25"/>
        <v>120000</v>
      </c>
      <c r="M1611" s="9">
        <f>Table1[[#This Row],[Unit Price]]*Table1[[#This Row],[Quantity]]</f>
        <v>450000</v>
      </c>
      <c r="N1611" s="9">
        <f>Table1[[#This Row],[Cost Price]]*Table1[[#This Row],[Quantity]]</f>
        <v>360000</v>
      </c>
      <c r="O1611" s="9">
        <f>Table1[[#This Row],[Revenue]]-Table1[[#This Row],[COGS]]</f>
        <v>90000</v>
      </c>
      <c r="P1611" s="6">
        <v>1610</v>
      </c>
    </row>
    <row r="1612" spans="1:16">
      <c r="A1612" s="7" t="s">
        <v>167</v>
      </c>
      <c r="B1612" s="7" t="str">
        <f>TEXT(Table1[[#This Row],[Date]],"MMM")</f>
        <v>Apr</v>
      </c>
      <c r="C1612" t="s">
        <v>44</v>
      </c>
      <c r="D1612" t="s">
        <v>45</v>
      </c>
      <c r="E1612" t="s">
        <v>41</v>
      </c>
      <c r="F1612" t="s">
        <v>37</v>
      </c>
      <c r="G1612" t="s">
        <v>54</v>
      </c>
      <c r="H1612" t="s">
        <v>39</v>
      </c>
      <c r="I1612" s="9">
        <v>180000</v>
      </c>
      <c r="J1612">
        <v>3</v>
      </c>
      <c r="K1612" t="s">
        <v>47</v>
      </c>
      <c r="L1612" s="9">
        <f t="shared" si="25"/>
        <v>144000</v>
      </c>
      <c r="M1612" s="9">
        <f>Table1[[#This Row],[Unit Price]]*Table1[[#This Row],[Quantity]]</f>
        <v>540000</v>
      </c>
      <c r="N1612" s="9">
        <f>Table1[[#This Row],[Cost Price]]*Table1[[#This Row],[Quantity]]</f>
        <v>432000</v>
      </c>
      <c r="O1612" s="9">
        <f>Table1[[#This Row],[Revenue]]-Table1[[#This Row],[COGS]]</f>
        <v>108000</v>
      </c>
      <c r="P1612" s="6">
        <v>1611</v>
      </c>
    </row>
    <row r="1613" spans="1:16">
      <c r="A1613" s="7" t="s">
        <v>80</v>
      </c>
      <c r="B1613" s="7" t="str">
        <f>TEXT(Table1[[#This Row],[Date]],"MMM")</f>
        <v>Feb</v>
      </c>
      <c r="C1613" t="s">
        <v>49</v>
      </c>
      <c r="D1613" t="s">
        <v>45</v>
      </c>
      <c r="E1613" t="s">
        <v>29</v>
      </c>
      <c r="F1613" t="s">
        <v>30</v>
      </c>
      <c r="G1613" t="s">
        <v>62</v>
      </c>
      <c r="H1613" t="s">
        <v>51</v>
      </c>
      <c r="I1613" s="9">
        <v>150000</v>
      </c>
      <c r="J1613">
        <v>5</v>
      </c>
      <c r="K1613" t="s">
        <v>42</v>
      </c>
      <c r="L1613" s="9">
        <f t="shared" si="25"/>
        <v>120000</v>
      </c>
      <c r="M1613" s="9">
        <f>Table1[[#This Row],[Unit Price]]*Table1[[#This Row],[Quantity]]</f>
        <v>750000</v>
      </c>
      <c r="N1613" s="9">
        <f>Table1[[#This Row],[Cost Price]]*Table1[[#This Row],[Quantity]]</f>
        <v>600000</v>
      </c>
      <c r="O1613" s="9">
        <f>Table1[[#This Row],[Revenue]]-Table1[[#This Row],[COGS]]</f>
        <v>150000</v>
      </c>
      <c r="P1613" s="6">
        <v>1612</v>
      </c>
    </row>
    <row r="1614" spans="1:16">
      <c r="A1614" s="7" t="s">
        <v>91</v>
      </c>
      <c r="B1614" s="7" t="str">
        <f>TEXT(Table1[[#This Row],[Date]],"MMM")</f>
        <v>Feb</v>
      </c>
      <c r="C1614" t="s">
        <v>35</v>
      </c>
      <c r="D1614" t="s">
        <v>53</v>
      </c>
      <c r="E1614" t="s">
        <v>41</v>
      </c>
      <c r="F1614" t="s">
        <v>30</v>
      </c>
      <c r="G1614" t="s">
        <v>46</v>
      </c>
      <c r="H1614" t="s">
        <v>39</v>
      </c>
      <c r="I1614" s="9">
        <v>60000</v>
      </c>
      <c r="J1614">
        <v>8</v>
      </c>
      <c r="K1614" t="s">
        <v>42</v>
      </c>
      <c r="L1614" s="9">
        <f t="shared" si="25"/>
        <v>48000</v>
      </c>
      <c r="M1614" s="9">
        <f>Table1[[#This Row],[Unit Price]]*Table1[[#This Row],[Quantity]]</f>
        <v>480000</v>
      </c>
      <c r="N1614" s="9">
        <f>Table1[[#This Row],[Cost Price]]*Table1[[#This Row],[Quantity]]</f>
        <v>384000</v>
      </c>
      <c r="O1614" s="9">
        <f>Table1[[#This Row],[Revenue]]-Table1[[#This Row],[COGS]]</f>
        <v>96000</v>
      </c>
      <c r="P1614" s="6">
        <v>1613</v>
      </c>
    </row>
    <row r="1615" spans="1:16">
      <c r="A1615" s="7" t="s">
        <v>177</v>
      </c>
      <c r="B1615" s="7" t="str">
        <f>TEXT(Table1[[#This Row],[Date]],"MMM")</f>
        <v>Mar</v>
      </c>
      <c r="C1615" t="s">
        <v>35</v>
      </c>
      <c r="D1615" t="s">
        <v>28</v>
      </c>
      <c r="E1615" t="s">
        <v>29</v>
      </c>
      <c r="F1615" t="s">
        <v>37</v>
      </c>
      <c r="G1615" t="s">
        <v>71</v>
      </c>
      <c r="H1615" t="s">
        <v>51</v>
      </c>
      <c r="I1615" s="9">
        <v>250000</v>
      </c>
      <c r="J1615">
        <v>5</v>
      </c>
      <c r="K1615" t="s">
        <v>42</v>
      </c>
      <c r="L1615" s="9">
        <f t="shared" si="25"/>
        <v>200000</v>
      </c>
      <c r="M1615" s="9">
        <f>Table1[[#This Row],[Unit Price]]*Table1[[#This Row],[Quantity]]</f>
        <v>1250000</v>
      </c>
      <c r="N1615" s="9">
        <f>Table1[[#This Row],[Cost Price]]*Table1[[#This Row],[Quantity]]</f>
        <v>1000000</v>
      </c>
      <c r="O1615" s="9">
        <f>Table1[[#This Row],[Revenue]]-Table1[[#This Row],[COGS]]</f>
        <v>250000</v>
      </c>
      <c r="P1615" s="6">
        <v>1614</v>
      </c>
    </row>
    <row r="1616" spans="1:16">
      <c r="A1616" s="7" t="s">
        <v>43</v>
      </c>
      <c r="B1616" s="7" t="str">
        <f>TEXT(Table1[[#This Row],[Date]],"MMM")</f>
        <v>Apr</v>
      </c>
      <c r="C1616" t="s">
        <v>35</v>
      </c>
      <c r="D1616" t="s">
        <v>45</v>
      </c>
      <c r="E1616" t="s">
        <v>29</v>
      </c>
      <c r="F1616" t="s">
        <v>30</v>
      </c>
      <c r="G1616" t="s">
        <v>54</v>
      </c>
      <c r="H1616" t="s">
        <v>39</v>
      </c>
      <c r="I1616" s="9">
        <v>180000</v>
      </c>
      <c r="J1616">
        <v>3</v>
      </c>
      <c r="K1616" t="s">
        <v>33</v>
      </c>
      <c r="L1616" s="9">
        <f t="shared" si="25"/>
        <v>144000</v>
      </c>
      <c r="M1616" s="9">
        <f>Table1[[#This Row],[Unit Price]]*Table1[[#This Row],[Quantity]]</f>
        <v>540000</v>
      </c>
      <c r="N1616" s="9">
        <f>Table1[[#This Row],[Cost Price]]*Table1[[#This Row],[Quantity]]</f>
        <v>432000</v>
      </c>
      <c r="O1616" s="9">
        <f>Table1[[#This Row],[Revenue]]-Table1[[#This Row],[COGS]]</f>
        <v>108000</v>
      </c>
      <c r="P1616" s="6">
        <v>1615</v>
      </c>
    </row>
    <row r="1617" spans="1:16">
      <c r="A1617" s="7" t="s">
        <v>66</v>
      </c>
      <c r="B1617" s="7" t="str">
        <f>TEXT(Table1[[#This Row],[Date]],"MMM")</f>
        <v>Mar</v>
      </c>
      <c r="C1617" t="s">
        <v>49</v>
      </c>
      <c r="D1617" t="s">
        <v>28</v>
      </c>
      <c r="E1617" t="s">
        <v>41</v>
      </c>
      <c r="F1617" t="s">
        <v>30</v>
      </c>
      <c r="G1617" t="s">
        <v>56</v>
      </c>
      <c r="H1617" t="s">
        <v>32</v>
      </c>
      <c r="I1617" s="9">
        <v>320000</v>
      </c>
      <c r="J1617">
        <v>9</v>
      </c>
      <c r="K1617" t="s">
        <v>33</v>
      </c>
      <c r="L1617" s="9">
        <f t="shared" si="25"/>
        <v>256000</v>
      </c>
      <c r="M1617" s="9">
        <f>Table1[[#This Row],[Unit Price]]*Table1[[#This Row],[Quantity]]</f>
        <v>2880000</v>
      </c>
      <c r="N1617" s="9">
        <f>Table1[[#This Row],[Cost Price]]*Table1[[#This Row],[Quantity]]</f>
        <v>2304000</v>
      </c>
      <c r="O1617" s="9">
        <f>Table1[[#This Row],[Revenue]]-Table1[[#This Row],[COGS]]</f>
        <v>576000</v>
      </c>
      <c r="P1617" s="6">
        <v>1616</v>
      </c>
    </row>
    <row r="1618" spans="1:16">
      <c r="A1618" s="7" t="s">
        <v>111</v>
      </c>
      <c r="B1618" s="7" t="str">
        <f>TEXT(Table1[[#This Row],[Date]],"MMM")</f>
        <v>Feb</v>
      </c>
      <c r="C1618" t="s">
        <v>27</v>
      </c>
      <c r="D1618" t="s">
        <v>28</v>
      </c>
      <c r="E1618" t="s">
        <v>41</v>
      </c>
      <c r="F1618" t="s">
        <v>37</v>
      </c>
      <c r="G1618" t="s">
        <v>31</v>
      </c>
      <c r="H1618" t="s">
        <v>32</v>
      </c>
      <c r="I1618" s="9">
        <v>85000</v>
      </c>
      <c r="J1618">
        <v>5</v>
      </c>
      <c r="K1618" t="s">
        <v>47</v>
      </c>
      <c r="L1618" s="9">
        <f t="shared" si="25"/>
        <v>68000</v>
      </c>
      <c r="M1618" s="9">
        <f>Table1[[#This Row],[Unit Price]]*Table1[[#This Row],[Quantity]]</f>
        <v>425000</v>
      </c>
      <c r="N1618" s="9">
        <f>Table1[[#This Row],[Cost Price]]*Table1[[#This Row],[Quantity]]</f>
        <v>340000</v>
      </c>
      <c r="O1618" s="9">
        <f>Table1[[#This Row],[Revenue]]-Table1[[#This Row],[COGS]]</f>
        <v>85000</v>
      </c>
      <c r="P1618" s="6">
        <v>1617</v>
      </c>
    </row>
    <row r="1619" spans="1:16">
      <c r="A1619" s="7" t="s">
        <v>160</v>
      </c>
      <c r="B1619" s="7" t="str">
        <f>TEXT(Table1[[#This Row],[Date]],"MMM")</f>
        <v>Jan</v>
      </c>
      <c r="C1619" t="s">
        <v>44</v>
      </c>
      <c r="D1619" t="s">
        <v>36</v>
      </c>
      <c r="E1619" t="s">
        <v>29</v>
      </c>
      <c r="F1619" t="s">
        <v>30</v>
      </c>
      <c r="G1619" t="s">
        <v>73</v>
      </c>
      <c r="H1619" t="s">
        <v>39</v>
      </c>
      <c r="I1619" s="9">
        <v>220000</v>
      </c>
      <c r="J1619">
        <v>1</v>
      </c>
      <c r="K1619" t="s">
        <v>65</v>
      </c>
      <c r="L1619" s="9">
        <f t="shared" si="25"/>
        <v>176000</v>
      </c>
      <c r="M1619" s="9">
        <f>Table1[[#This Row],[Unit Price]]*Table1[[#This Row],[Quantity]]</f>
        <v>220000</v>
      </c>
      <c r="N1619" s="9">
        <f>Table1[[#This Row],[Cost Price]]*Table1[[#This Row],[Quantity]]</f>
        <v>176000</v>
      </c>
      <c r="O1619" s="9">
        <f>Table1[[#This Row],[Revenue]]-Table1[[#This Row],[COGS]]</f>
        <v>44000</v>
      </c>
      <c r="P1619" s="6">
        <v>1618</v>
      </c>
    </row>
    <row r="1620" spans="1:16">
      <c r="A1620" s="7" t="s">
        <v>151</v>
      </c>
      <c r="B1620" s="7" t="str">
        <f>TEXT(Table1[[#This Row],[Date]],"MMM")</f>
        <v>Feb</v>
      </c>
      <c r="C1620" t="s">
        <v>35</v>
      </c>
      <c r="D1620" t="s">
        <v>36</v>
      </c>
      <c r="E1620" t="s">
        <v>29</v>
      </c>
      <c r="F1620" t="s">
        <v>37</v>
      </c>
      <c r="G1620" t="s">
        <v>54</v>
      </c>
      <c r="H1620" t="s">
        <v>39</v>
      </c>
      <c r="I1620" s="9">
        <v>180000</v>
      </c>
      <c r="J1620">
        <v>2</v>
      </c>
      <c r="K1620" t="s">
        <v>47</v>
      </c>
      <c r="L1620" s="9">
        <f t="shared" si="25"/>
        <v>144000</v>
      </c>
      <c r="M1620" s="9">
        <f>Table1[[#This Row],[Unit Price]]*Table1[[#This Row],[Quantity]]</f>
        <v>360000</v>
      </c>
      <c r="N1620" s="9">
        <f>Table1[[#This Row],[Cost Price]]*Table1[[#This Row],[Quantity]]</f>
        <v>288000</v>
      </c>
      <c r="O1620" s="9">
        <f>Table1[[#This Row],[Revenue]]-Table1[[#This Row],[COGS]]</f>
        <v>72000</v>
      </c>
      <c r="P1620" s="6">
        <v>1619</v>
      </c>
    </row>
    <row r="1621" spans="1:16">
      <c r="A1621" s="7" t="s">
        <v>87</v>
      </c>
      <c r="B1621" s="7" t="str">
        <f>TEXT(Table1[[#This Row],[Date]],"MMM")</f>
        <v>Mar</v>
      </c>
      <c r="C1621" t="s">
        <v>35</v>
      </c>
      <c r="D1621" t="s">
        <v>36</v>
      </c>
      <c r="E1621" t="s">
        <v>41</v>
      </c>
      <c r="F1621" t="s">
        <v>37</v>
      </c>
      <c r="G1621" t="s">
        <v>62</v>
      </c>
      <c r="H1621" t="s">
        <v>51</v>
      </c>
      <c r="I1621" s="9">
        <v>150000</v>
      </c>
      <c r="J1621">
        <v>1</v>
      </c>
      <c r="K1621" t="s">
        <v>58</v>
      </c>
      <c r="L1621" s="9">
        <f t="shared" si="25"/>
        <v>120000</v>
      </c>
      <c r="M1621" s="9">
        <f>Table1[[#This Row],[Unit Price]]*Table1[[#This Row],[Quantity]]</f>
        <v>150000</v>
      </c>
      <c r="N1621" s="9">
        <f>Table1[[#This Row],[Cost Price]]*Table1[[#This Row],[Quantity]]</f>
        <v>120000</v>
      </c>
      <c r="O1621" s="9">
        <f>Table1[[#This Row],[Revenue]]-Table1[[#This Row],[COGS]]</f>
        <v>30000</v>
      </c>
      <c r="P1621" s="6">
        <v>1620</v>
      </c>
    </row>
    <row r="1622" spans="1:16">
      <c r="A1622" s="7" t="s">
        <v>105</v>
      </c>
      <c r="B1622" s="7" t="str">
        <f>TEXT(Table1[[#This Row],[Date]],"MMM")</f>
        <v>Mar</v>
      </c>
      <c r="C1622" t="s">
        <v>27</v>
      </c>
      <c r="D1622" t="s">
        <v>45</v>
      </c>
      <c r="E1622" t="s">
        <v>29</v>
      </c>
      <c r="F1622" t="s">
        <v>37</v>
      </c>
      <c r="G1622" t="s">
        <v>54</v>
      </c>
      <c r="H1622" t="s">
        <v>39</v>
      </c>
      <c r="I1622" s="9">
        <v>180000</v>
      </c>
      <c r="J1622">
        <v>2</v>
      </c>
      <c r="K1622" t="s">
        <v>42</v>
      </c>
      <c r="L1622" s="9">
        <f t="shared" si="25"/>
        <v>144000</v>
      </c>
      <c r="M1622" s="9">
        <f>Table1[[#This Row],[Unit Price]]*Table1[[#This Row],[Quantity]]</f>
        <v>360000</v>
      </c>
      <c r="N1622" s="9">
        <f>Table1[[#This Row],[Cost Price]]*Table1[[#This Row],[Quantity]]</f>
        <v>288000</v>
      </c>
      <c r="O1622" s="9">
        <f>Table1[[#This Row],[Revenue]]-Table1[[#This Row],[COGS]]</f>
        <v>72000</v>
      </c>
      <c r="P1622" s="6">
        <v>1621</v>
      </c>
    </row>
    <row r="1623" spans="1:16">
      <c r="A1623" s="7" t="s">
        <v>76</v>
      </c>
      <c r="B1623" s="7" t="str">
        <f>TEXT(Table1[[#This Row],[Date]],"MMM")</f>
        <v>May</v>
      </c>
      <c r="C1623" t="s">
        <v>49</v>
      </c>
      <c r="D1623" t="s">
        <v>53</v>
      </c>
      <c r="E1623" t="s">
        <v>41</v>
      </c>
      <c r="F1623" t="s">
        <v>30</v>
      </c>
      <c r="G1623" t="s">
        <v>56</v>
      </c>
      <c r="H1623" t="s">
        <v>32</v>
      </c>
      <c r="I1623" s="9">
        <v>320000</v>
      </c>
      <c r="J1623">
        <v>4</v>
      </c>
      <c r="K1623" t="s">
        <v>69</v>
      </c>
      <c r="L1623" s="9">
        <f t="shared" si="25"/>
        <v>256000</v>
      </c>
      <c r="M1623" s="9">
        <f>Table1[[#This Row],[Unit Price]]*Table1[[#This Row],[Quantity]]</f>
        <v>1280000</v>
      </c>
      <c r="N1623" s="9">
        <f>Table1[[#This Row],[Cost Price]]*Table1[[#This Row],[Quantity]]</f>
        <v>1024000</v>
      </c>
      <c r="O1623" s="9">
        <f>Table1[[#This Row],[Revenue]]-Table1[[#This Row],[COGS]]</f>
        <v>256000</v>
      </c>
      <c r="P1623" s="6">
        <v>1622</v>
      </c>
    </row>
    <row r="1624" spans="1:16">
      <c r="A1624" s="7" t="s">
        <v>126</v>
      </c>
      <c r="B1624" s="7" t="str">
        <f>TEXT(Table1[[#This Row],[Date]],"MMM")</f>
        <v>Jan</v>
      </c>
      <c r="C1624" t="s">
        <v>49</v>
      </c>
      <c r="D1624" t="s">
        <v>53</v>
      </c>
      <c r="E1624" t="s">
        <v>29</v>
      </c>
      <c r="F1624" t="s">
        <v>37</v>
      </c>
      <c r="G1624" t="s">
        <v>62</v>
      </c>
      <c r="H1624" t="s">
        <v>51</v>
      </c>
      <c r="I1624" s="9">
        <v>150000</v>
      </c>
      <c r="J1624">
        <v>10</v>
      </c>
      <c r="K1624" t="s">
        <v>33</v>
      </c>
      <c r="L1624" s="9">
        <f t="shared" si="25"/>
        <v>120000</v>
      </c>
      <c r="M1624" s="9">
        <f>Table1[[#This Row],[Unit Price]]*Table1[[#This Row],[Quantity]]</f>
        <v>1500000</v>
      </c>
      <c r="N1624" s="9">
        <f>Table1[[#This Row],[Cost Price]]*Table1[[#This Row],[Quantity]]</f>
        <v>1200000</v>
      </c>
      <c r="O1624" s="9">
        <f>Table1[[#This Row],[Revenue]]-Table1[[#This Row],[COGS]]</f>
        <v>300000</v>
      </c>
      <c r="P1624" s="6">
        <v>1623</v>
      </c>
    </row>
    <row r="1625" spans="1:16">
      <c r="A1625" s="7" t="s">
        <v>154</v>
      </c>
      <c r="B1625" s="7" t="str">
        <f>TEXT(Table1[[#This Row],[Date]],"MMM")</f>
        <v>Feb</v>
      </c>
      <c r="C1625" t="s">
        <v>44</v>
      </c>
      <c r="D1625" t="s">
        <v>45</v>
      </c>
      <c r="E1625" t="s">
        <v>41</v>
      </c>
      <c r="F1625" t="s">
        <v>37</v>
      </c>
      <c r="G1625" t="s">
        <v>38</v>
      </c>
      <c r="H1625" t="s">
        <v>39</v>
      </c>
      <c r="I1625" s="9">
        <v>30000</v>
      </c>
      <c r="J1625">
        <v>3</v>
      </c>
      <c r="K1625" t="s">
        <v>58</v>
      </c>
      <c r="L1625" s="9">
        <f t="shared" si="25"/>
        <v>24000</v>
      </c>
      <c r="M1625" s="9">
        <f>Table1[[#This Row],[Unit Price]]*Table1[[#This Row],[Quantity]]</f>
        <v>90000</v>
      </c>
      <c r="N1625" s="9">
        <f>Table1[[#This Row],[Cost Price]]*Table1[[#This Row],[Quantity]]</f>
        <v>72000</v>
      </c>
      <c r="O1625" s="9">
        <f>Table1[[#This Row],[Revenue]]-Table1[[#This Row],[COGS]]</f>
        <v>18000</v>
      </c>
      <c r="P1625" s="6">
        <v>1624</v>
      </c>
    </row>
    <row r="1626" spans="1:16">
      <c r="A1626" s="7" t="s">
        <v>59</v>
      </c>
      <c r="B1626" s="7" t="str">
        <f>TEXT(Table1[[#This Row],[Date]],"MMM")</f>
        <v>Mar</v>
      </c>
      <c r="C1626" t="s">
        <v>44</v>
      </c>
      <c r="D1626" t="s">
        <v>45</v>
      </c>
      <c r="E1626" t="s">
        <v>29</v>
      </c>
      <c r="F1626" t="s">
        <v>37</v>
      </c>
      <c r="G1626" t="s">
        <v>31</v>
      </c>
      <c r="H1626" t="s">
        <v>32</v>
      </c>
      <c r="I1626" s="9">
        <v>85000</v>
      </c>
      <c r="J1626">
        <v>4</v>
      </c>
      <c r="K1626" t="s">
        <v>58</v>
      </c>
      <c r="L1626" s="9">
        <f t="shared" si="25"/>
        <v>68000</v>
      </c>
      <c r="M1626" s="9">
        <f>Table1[[#This Row],[Unit Price]]*Table1[[#This Row],[Quantity]]</f>
        <v>340000</v>
      </c>
      <c r="N1626" s="9">
        <f>Table1[[#This Row],[Cost Price]]*Table1[[#This Row],[Quantity]]</f>
        <v>272000</v>
      </c>
      <c r="O1626" s="9">
        <f>Table1[[#This Row],[Revenue]]-Table1[[#This Row],[COGS]]</f>
        <v>68000</v>
      </c>
      <c r="P1626" s="6">
        <v>1625</v>
      </c>
    </row>
    <row r="1627" spans="1:16">
      <c r="A1627" s="7" t="s">
        <v>64</v>
      </c>
      <c r="B1627" s="7" t="str">
        <f>TEXT(Table1[[#This Row],[Date]],"MMM")</f>
        <v>Apr</v>
      </c>
      <c r="C1627" t="s">
        <v>27</v>
      </c>
      <c r="D1627" t="s">
        <v>53</v>
      </c>
      <c r="E1627" t="s">
        <v>29</v>
      </c>
      <c r="F1627" t="s">
        <v>37</v>
      </c>
      <c r="G1627" t="s">
        <v>54</v>
      </c>
      <c r="H1627" t="s">
        <v>39</v>
      </c>
      <c r="I1627" s="9">
        <v>180000</v>
      </c>
      <c r="J1627">
        <v>10</v>
      </c>
      <c r="K1627" t="s">
        <v>58</v>
      </c>
      <c r="L1627" s="9">
        <f t="shared" si="25"/>
        <v>144000</v>
      </c>
      <c r="M1627" s="9">
        <f>Table1[[#This Row],[Unit Price]]*Table1[[#This Row],[Quantity]]</f>
        <v>1800000</v>
      </c>
      <c r="N1627" s="9">
        <f>Table1[[#This Row],[Cost Price]]*Table1[[#This Row],[Quantity]]</f>
        <v>1440000</v>
      </c>
      <c r="O1627" s="9">
        <f>Table1[[#This Row],[Revenue]]-Table1[[#This Row],[COGS]]</f>
        <v>360000</v>
      </c>
      <c r="P1627" s="6">
        <v>1626</v>
      </c>
    </row>
    <row r="1628" spans="1:16">
      <c r="A1628" s="7" t="s">
        <v>164</v>
      </c>
      <c r="B1628" s="7" t="str">
        <f>TEXT(Table1[[#This Row],[Date]],"MMM")</f>
        <v>Mar</v>
      </c>
      <c r="C1628" t="s">
        <v>27</v>
      </c>
      <c r="D1628" t="s">
        <v>36</v>
      </c>
      <c r="E1628" t="s">
        <v>41</v>
      </c>
      <c r="F1628" t="s">
        <v>37</v>
      </c>
      <c r="G1628" t="s">
        <v>56</v>
      </c>
      <c r="H1628" t="s">
        <v>32</v>
      </c>
      <c r="I1628" s="9">
        <v>320000</v>
      </c>
      <c r="J1628">
        <v>9</v>
      </c>
      <c r="K1628" t="s">
        <v>65</v>
      </c>
      <c r="L1628" s="9">
        <f t="shared" si="25"/>
        <v>256000</v>
      </c>
      <c r="M1628" s="9">
        <f>Table1[[#This Row],[Unit Price]]*Table1[[#This Row],[Quantity]]</f>
        <v>2880000</v>
      </c>
      <c r="N1628" s="9">
        <f>Table1[[#This Row],[Cost Price]]*Table1[[#This Row],[Quantity]]</f>
        <v>2304000</v>
      </c>
      <c r="O1628" s="9">
        <f>Table1[[#This Row],[Revenue]]-Table1[[#This Row],[COGS]]</f>
        <v>576000</v>
      </c>
      <c r="P1628" s="6">
        <v>1627</v>
      </c>
    </row>
    <row r="1629" spans="1:16">
      <c r="A1629" s="7" t="s">
        <v>78</v>
      </c>
      <c r="B1629" s="7" t="str">
        <f>TEXT(Table1[[#This Row],[Date]],"MMM")</f>
        <v>Apr</v>
      </c>
      <c r="C1629" t="s">
        <v>44</v>
      </c>
      <c r="D1629" t="s">
        <v>36</v>
      </c>
      <c r="E1629" t="s">
        <v>41</v>
      </c>
      <c r="F1629" t="s">
        <v>30</v>
      </c>
      <c r="G1629" t="s">
        <v>62</v>
      </c>
      <c r="H1629" t="s">
        <v>51</v>
      </c>
      <c r="I1629" s="9">
        <v>150000</v>
      </c>
      <c r="J1629">
        <v>3</v>
      </c>
      <c r="K1629" t="s">
        <v>69</v>
      </c>
      <c r="L1629" s="9">
        <f t="shared" si="25"/>
        <v>120000</v>
      </c>
      <c r="M1629" s="9">
        <f>Table1[[#This Row],[Unit Price]]*Table1[[#This Row],[Quantity]]</f>
        <v>450000</v>
      </c>
      <c r="N1629" s="9">
        <f>Table1[[#This Row],[Cost Price]]*Table1[[#This Row],[Quantity]]</f>
        <v>360000</v>
      </c>
      <c r="O1629" s="9">
        <f>Table1[[#This Row],[Revenue]]-Table1[[#This Row],[COGS]]</f>
        <v>90000</v>
      </c>
      <c r="P1629" s="6">
        <v>1628</v>
      </c>
    </row>
    <row r="1630" spans="1:16">
      <c r="A1630" s="7" t="s">
        <v>163</v>
      </c>
      <c r="B1630" s="7" t="str">
        <f>TEXT(Table1[[#This Row],[Date]],"MMM")</f>
        <v>Apr</v>
      </c>
      <c r="C1630" t="s">
        <v>49</v>
      </c>
      <c r="D1630" t="s">
        <v>36</v>
      </c>
      <c r="E1630" t="s">
        <v>29</v>
      </c>
      <c r="F1630" t="s">
        <v>30</v>
      </c>
      <c r="G1630" t="s">
        <v>73</v>
      </c>
      <c r="H1630" t="s">
        <v>39</v>
      </c>
      <c r="I1630" s="9">
        <v>220000</v>
      </c>
      <c r="J1630">
        <v>5</v>
      </c>
      <c r="K1630" t="s">
        <v>69</v>
      </c>
      <c r="L1630" s="9">
        <f t="shared" si="25"/>
        <v>176000</v>
      </c>
      <c r="M1630" s="9">
        <f>Table1[[#This Row],[Unit Price]]*Table1[[#This Row],[Quantity]]</f>
        <v>1100000</v>
      </c>
      <c r="N1630" s="9">
        <f>Table1[[#This Row],[Cost Price]]*Table1[[#This Row],[Quantity]]</f>
        <v>880000</v>
      </c>
      <c r="O1630" s="9">
        <f>Table1[[#This Row],[Revenue]]-Table1[[#This Row],[COGS]]</f>
        <v>220000</v>
      </c>
      <c r="P1630" s="6">
        <v>1629</v>
      </c>
    </row>
    <row r="1631" spans="1:16">
      <c r="A1631" s="7" t="s">
        <v>176</v>
      </c>
      <c r="B1631" s="7" t="str">
        <f>TEXT(Table1[[#This Row],[Date]],"MMM")</f>
        <v>Jan</v>
      </c>
      <c r="C1631" t="s">
        <v>49</v>
      </c>
      <c r="D1631" t="s">
        <v>53</v>
      </c>
      <c r="E1631" t="s">
        <v>41</v>
      </c>
      <c r="F1631" t="s">
        <v>37</v>
      </c>
      <c r="G1631" t="s">
        <v>50</v>
      </c>
      <c r="H1631" t="s">
        <v>51</v>
      </c>
      <c r="I1631" s="9">
        <v>300000</v>
      </c>
      <c r="J1631">
        <v>2</v>
      </c>
      <c r="K1631" t="s">
        <v>33</v>
      </c>
      <c r="L1631" s="9">
        <f t="shared" si="25"/>
        <v>240000</v>
      </c>
      <c r="M1631" s="9">
        <f>Table1[[#This Row],[Unit Price]]*Table1[[#This Row],[Quantity]]</f>
        <v>600000</v>
      </c>
      <c r="N1631" s="9">
        <f>Table1[[#This Row],[Cost Price]]*Table1[[#This Row],[Quantity]]</f>
        <v>480000</v>
      </c>
      <c r="O1631" s="9">
        <f>Table1[[#This Row],[Revenue]]-Table1[[#This Row],[COGS]]</f>
        <v>120000</v>
      </c>
      <c r="P1631" s="6">
        <v>1630</v>
      </c>
    </row>
    <row r="1632" spans="1:16">
      <c r="A1632" s="7" t="s">
        <v>117</v>
      </c>
      <c r="B1632" s="7" t="str">
        <f>TEXT(Table1[[#This Row],[Date]],"MMM")</f>
        <v>Jan</v>
      </c>
      <c r="C1632" t="s">
        <v>35</v>
      </c>
      <c r="D1632" t="s">
        <v>28</v>
      </c>
      <c r="E1632" t="s">
        <v>41</v>
      </c>
      <c r="F1632" t="s">
        <v>30</v>
      </c>
      <c r="G1632" t="s">
        <v>50</v>
      </c>
      <c r="H1632" t="s">
        <v>51</v>
      </c>
      <c r="I1632" s="9">
        <v>300000</v>
      </c>
      <c r="J1632">
        <v>6</v>
      </c>
      <c r="K1632" t="s">
        <v>69</v>
      </c>
      <c r="L1632" s="9">
        <f t="shared" si="25"/>
        <v>240000</v>
      </c>
      <c r="M1632" s="9">
        <f>Table1[[#This Row],[Unit Price]]*Table1[[#This Row],[Quantity]]</f>
        <v>1800000</v>
      </c>
      <c r="N1632" s="9">
        <f>Table1[[#This Row],[Cost Price]]*Table1[[#This Row],[Quantity]]</f>
        <v>1440000</v>
      </c>
      <c r="O1632" s="9">
        <f>Table1[[#This Row],[Revenue]]-Table1[[#This Row],[COGS]]</f>
        <v>360000</v>
      </c>
      <c r="P1632" s="6">
        <v>1631</v>
      </c>
    </row>
    <row r="1633" spans="1:16">
      <c r="A1633" s="7" t="s">
        <v>87</v>
      </c>
      <c r="B1633" s="7" t="str">
        <f>TEXT(Table1[[#This Row],[Date]],"MMM")</f>
        <v>Mar</v>
      </c>
      <c r="C1633" t="s">
        <v>49</v>
      </c>
      <c r="D1633" t="s">
        <v>53</v>
      </c>
      <c r="E1633" t="s">
        <v>41</v>
      </c>
      <c r="F1633" t="s">
        <v>30</v>
      </c>
      <c r="G1633" t="s">
        <v>54</v>
      </c>
      <c r="H1633" t="s">
        <v>39</v>
      </c>
      <c r="I1633" s="9">
        <v>180000</v>
      </c>
      <c r="J1633">
        <v>7</v>
      </c>
      <c r="K1633" t="s">
        <v>69</v>
      </c>
      <c r="L1633" s="9">
        <f t="shared" si="25"/>
        <v>144000</v>
      </c>
      <c r="M1633" s="9">
        <f>Table1[[#This Row],[Unit Price]]*Table1[[#This Row],[Quantity]]</f>
        <v>1260000</v>
      </c>
      <c r="N1633" s="9">
        <f>Table1[[#This Row],[Cost Price]]*Table1[[#This Row],[Quantity]]</f>
        <v>1008000</v>
      </c>
      <c r="O1633" s="9">
        <f>Table1[[#This Row],[Revenue]]-Table1[[#This Row],[COGS]]</f>
        <v>252000</v>
      </c>
      <c r="P1633" s="6">
        <v>1632</v>
      </c>
    </row>
    <row r="1634" spans="1:16">
      <c r="A1634" s="7" t="s">
        <v>120</v>
      </c>
      <c r="B1634" s="7" t="str">
        <f>TEXT(Table1[[#This Row],[Date]],"MMM")</f>
        <v>Mar</v>
      </c>
      <c r="C1634" t="s">
        <v>27</v>
      </c>
      <c r="D1634" t="s">
        <v>45</v>
      </c>
      <c r="E1634" t="s">
        <v>41</v>
      </c>
      <c r="F1634" t="s">
        <v>37</v>
      </c>
      <c r="G1634" t="s">
        <v>56</v>
      </c>
      <c r="H1634" t="s">
        <v>32</v>
      </c>
      <c r="I1634" s="9">
        <v>320000</v>
      </c>
      <c r="J1634">
        <v>6</v>
      </c>
      <c r="K1634" t="s">
        <v>33</v>
      </c>
      <c r="L1634" s="9">
        <f t="shared" si="25"/>
        <v>256000</v>
      </c>
      <c r="M1634" s="9">
        <f>Table1[[#This Row],[Unit Price]]*Table1[[#This Row],[Quantity]]</f>
        <v>1920000</v>
      </c>
      <c r="N1634" s="9">
        <f>Table1[[#This Row],[Cost Price]]*Table1[[#This Row],[Quantity]]</f>
        <v>1536000</v>
      </c>
      <c r="O1634" s="9">
        <f>Table1[[#This Row],[Revenue]]-Table1[[#This Row],[COGS]]</f>
        <v>384000</v>
      </c>
      <c r="P1634" s="6">
        <v>1633</v>
      </c>
    </row>
    <row r="1635" spans="1:16">
      <c r="A1635" s="7" t="s">
        <v>87</v>
      </c>
      <c r="B1635" s="7" t="str">
        <f>TEXT(Table1[[#This Row],[Date]],"MMM")</f>
        <v>Mar</v>
      </c>
      <c r="C1635" t="s">
        <v>49</v>
      </c>
      <c r="D1635" t="s">
        <v>36</v>
      </c>
      <c r="E1635" t="s">
        <v>29</v>
      </c>
      <c r="F1635" t="s">
        <v>37</v>
      </c>
      <c r="G1635" t="s">
        <v>71</v>
      </c>
      <c r="H1635" t="s">
        <v>51</v>
      </c>
      <c r="I1635" s="9">
        <v>250000</v>
      </c>
      <c r="J1635">
        <v>5</v>
      </c>
      <c r="K1635" t="s">
        <v>58</v>
      </c>
      <c r="L1635" s="9">
        <f t="shared" si="25"/>
        <v>200000</v>
      </c>
      <c r="M1635" s="9">
        <f>Table1[[#This Row],[Unit Price]]*Table1[[#This Row],[Quantity]]</f>
        <v>1250000</v>
      </c>
      <c r="N1635" s="9">
        <f>Table1[[#This Row],[Cost Price]]*Table1[[#This Row],[Quantity]]</f>
        <v>1000000</v>
      </c>
      <c r="O1635" s="9">
        <f>Table1[[#This Row],[Revenue]]-Table1[[#This Row],[COGS]]</f>
        <v>250000</v>
      </c>
      <c r="P1635" s="6">
        <v>1634</v>
      </c>
    </row>
    <row r="1636" spans="1:16">
      <c r="A1636" s="7" t="s">
        <v>139</v>
      </c>
      <c r="B1636" s="7" t="str">
        <f>TEXT(Table1[[#This Row],[Date]],"MMM")</f>
        <v>Jan</v>
      </c>
      <c r="C1636" t="s">
        <v>27</v>
      </c>
      <c r="D1636" t="s">
        <v>36</v>
      </c>
      <c r="E1636" t="s">
        <v>29</v>
      </c>
      <c r="F1636" t="s">
        <v>30</v>
      </c>
      <c r="G1636" t="s">
        <v>50</v>
      </c>
      <c r="H1636" t="s">
        <v>51</v>
      </c>
      <c r="I1636" s="9">
        <v>300000</v>
      </c>
      <c r="J1636">
        <v>3</v>
      </c>
      <c r="K1636" t="s">
        <v>69</v>
      </c>
      <c r="L1636" s="9">
        <f t="shared" si="25"/>
        <v>240000</v>
      </c>
      <c r="M1636" s="9">
        <f>Table1[[#This Row],[Unit Price]]*Table1[[#This Row],[Quantity]]</f>
        <v>900000</v>
      </c>
      <c r="N1636" s="9">
        <f>Table1[[#This Row],[Cost Price]]*Table1[[#This Row],[Quantity]]</f>
        <v>720000</v>
      </c>
      <c r="O1636" s="9">
        <f>Table1[[#This Row],[Revenue]]-Table1[[#This Row],[COGS]]</f>
        <v>180000</v>
      </c>
      <c r="P1636" s="6">
        <v>1635</v>
      </c>
    </row>
    <row r="1637" spans="1:16">
      <c r="A1637" s="7" t="s">
        <v>26</v>
      </c>
      <c r="B1637" s="7" t="str">
        <f>TEXT(Table1[[#This Row],[Date]],"MMM")</f>
        <v>Jan</v>
      </c>
      <c r="C1637" t="s">
        <v>27</v>
      </c>
      <c r="D1637" t="s">
        <v>53</v>
      </c>
      <c r="E1637" t="s">
        <v>29</v>
      </c>
      <c r="F1637" t="s">
        <v>37</v>
      </c>
      <c r="G1637" t="s">
        <v>54</v>
      </c>
      <c r="H1637" t="s">
        <v>39</v>
      </c>
      <c r="I1637" s="9">
        <v>180000</v>
      </c>
      <c r="J1637">
        <v>8</v>
      </c>
      <c r="K1637" t="s">
        <v>69</v>
      </c>
      <c r="L1637" s="9">
        <f t="shared" si="25"/>
        <v>144000</v>
      </c>
      <c r="M1637" s="9">
        <f>Table1[[#This Row],[Unit Price]]*Table1[[#This Row],[Quantity]]</f>
        <v>1440000</v>
      </c>
      <c r="N1637" s="9">
        <f>Table1[[#This Row],[Cost Price]]*Table1[[#This Row],[Quantity]]</f>
        <v>1152000</v>
      </c>
      <c r="O1637" s="9">
        <f>Table1[[#This Row],[Revenue]]-Table1[[#This Row],[COGS]]</f>
        <v>288000</v>
      </c>
      <c r="P1637" s="6">
        <v>1636</v>
      </c>
    </row>
    <row r="1638" spans="1:16">
      <c r="A1638" s="7" t="s">
        <v>141</v>
      </c>
      <c r="B1638" s="7" t="str">
        <f>TEXT(Table1[[#This Row],[Date]],"MMM")</f>
        <v>Mar</v>
      </c>
      <c r="C1638" t="s">
        <v>35</v>
      </c>
      <c r="D1638" t="s">
        <v>53</v>
      </c>
      <c r="E1638" t="s">
        <v>29</v>
      </c>
      <c r="F1638" t="s">
        <v>37</v>
      </c>
      <c r="G1638" t="s">
        <v>56</v>
      </c>
      <c r="H1638" t="s">
        <v>32</v>
      </c>
      <c r="I1638" s="9">
        <v>320000</v>
      </c>
      <c r="J1638">
        <v>5</v>
      </c>
      <c r="K1638" t="s">
        <v>42</v>
      </c>
      <c r="L1638" s="9">
        <f t="shared" si="25"/>
        <v>256000</v>
      </c>
      <c r="M1638" s="9">
        <f>Table1[[#This Row],[Unit Price]]*Table1[[#This Row],[Quantity]]</f>
        <v>1600000</v>
      </c>
      <c r="N1638" s="9">
        <f>Table1[[#This Row],[Cost Price]]*Table1[[#This Row],[Quantity]]</f>
        <v>1280000</v>
      </c>
      <c r="O1638" s="9">
        <f>Table1[[#This Row],[Revenue]]-Table1[[#This Row],[COGS]]</f>
        <v>320000</v>
      </c>
      <c r="P1638" s="6">
        <v>1637</v>
      </c>
    </row>
    <row r="1639" spans="1:16">
      <c r="A1639" s="7" t="s">
        <v>52</v>
      </c>
      <c r="B1639" s="7" t="str">
        <f>TEXT(Table1[[#This Row],[Date]],"MMM")</f>
        <v>Mar</v>
      </c>
      <c r="C1639" t="s">
        <v>27</v>
      </c>
      <c r="D1639" t="s">
        <v>53</v>
      </c>
      <c r="E1639" t="s">
        <v>29</v>
      </c>
      <c r="F1639" t="s">
        <v>30</v>
      </c>
      <c r="G1639" t="s">
        <v>71</v>
      </c>
      <c r="H1639" t="s">
        <v>51</v>
      </c>
      <c r="I1639" s="9">
        <v>250000</v>
      </c>
      <c r="J1639">
        <v>7</v>
      </c>
      <c r="K1639" t="s">
        <v>42</v>
      </c>
      <c r="L1639" s="9">
        <f t="shared" si="25"/>
        <v>200000</v>
      </c>
      <c r="M1639" s="9">
        <f>Table1[[#This Row],[Unit Price]]*Table1[[#This Row],[Quantity]]</f>
        <v>1750000</v>
      </c>
      <c r="N1639" s="9">
        <f>Table1[[#This Row],[Cost Price]]*Table1[[#This Row],[Quantity]]</f>
        <v>1400000</v>
      </c>
      <c r="O1639" s="9">
        <f>Table1[[#This Row],[Revenue]]-Table1[[#This Row],[COGS]]</f>
        <v>350000</v>
      </c>
      <c r="P1639" s="6">
        <v>1638</v>
      </c>
    </row>
    <row r="1640" spans="1:16">
      <c r="A1640" s="7" t="s">
        <v>135</v>
      </c>
      <c r="B1640" s="7" t="str">
        <f>TEXT(Table1[[#This Row],[Date]],"MMM")</f>
        <v>Mar</v>
      </c>
      <c r="C1640" t="s">
        <v>27</v>
      </c>
      <c r="D1640" t="s">
        <v>36</v>
      </c>
      <c r="E1640" t="s">
        <v>29</v>
      </c>
      <c r="F1640" t="s">
        <v>37</v>
      </c>
      <c r="G1640" t="s">
        <v>50</v>
      </c>
      <c r="H1640" t="s">
        <v>51</v>
      </c>
      <c r="I1640" s="9">
        <v>300000</v>
      </c>
      <c r="J1640">
        <v>8</v>
      </c>
      <c r="K1640" t="s">
        <v>33</v>
      </c>
      <c r="L1640" s="9">
        <f t="shared" si="25"/>
        <v>240000</v>
      </c>
      <c r="M1640" s="9">
        <f>Table1[[#This Row],[Unit Price]]*Table1[[#This Row],[Quantity]]</f>
        <v>2400000</v>
      </c>
      <c r="N1640" s="9">
        <f>Table1[[#This Row],[Cost Price]]*Table1[[#This Row],[Quantity]]</f>
        <v>1920000</v>
      </c>
      <c r="O1640" s="9">
        <f>Table1[[#This Row],[Revenue]]-Table1[[#This Row],[COGS]]</f>
        <v>480000</v>
      </c>
      <c r="P1640" s="6">
        <v>1639</v>
      </c>
    </row>
    <row r="1641" spans="1:16">
      <c r="A1641" s="7" t="s">
        <v>98</v>
      </c>
      <c r="B1641" s="7" t="str">
        <f>TEXT(Table1[[#This Row],[Date]],"MMM")</f>
        <v>Jan</v>
      </c>
      <c r="C1641" t="s">
        <v>27</v>
      </c>
      <c r="D1641" t="s">
        <v>36</v>
      </c>
      <c r="E1641" t="s">
        <v>41</v>
      </c>
      <c r="F1641" t="s">
        <v>30</v>
      </c>
      <c r="G1641" t="s">
        <v>67</v>
      </c>
      <c r="H1641" t="s">
        <v>51</v>
      </c>
      <c r="I1641" s="9">
        <v>420000</v>
      </c>
      <c r="J1641">
        <v>4</v>
      </c>
      <c r="K1641" t="s">
        <v>69</v>
      </c>
      <c r="L1641" s="9">
        <f t="shared" si="25"/>
        <v>336000</v>
      </c>
      <c r="M1641" s="9">
        <f>Table1[[#This Row],[Unit Price]]*Table1[[#This Row],[Quantity]]</f>
        <v>1680000</v>
      </c>
      <c r="N1641" s="9">
        <f>Table1[[#This Row],[Cost Price]]*Table1[[#This Row],[Quantity]]</f>
        <v>1344000</v>
      </c>
      <c r="O1641" s="9">
        <f>Table1[[#This Row],[Revenue]]-Table1[[#This Row],[COGS]]</f>
        <v>336000</v>
      </c>
      <c r="P1641" s="6">
        <v>1640</v>
      </c>
    </row>
    <row r="1642" spans="1:16">
      <c r="A1642" s="7" t="s">
        <v>151</v>
      </c>
      <c r="B1642" s="7" t="str">
        <f>TEXT(Table1[[#This Row],[Date]],"MMM")</f>
        <v>Feb</v>
      </c>
      <c r="C1642" t="s">
        <v>27</v>
      </c>
      <c r="D1642" t="s">
        <v>28</v>
      </c>
      <c r="E1642" t="s">
        <v>41</v>
      </c>
      <c r="F1642" t="s">
        <v>37</v>
      </c>
      <c r="G1642" t="s">
        <v>71</v>
      </c>
      <c r="H1642" t="s">
        <v>51</v>
      </c>
      <c r="I1642" s="9">
        <v>250000</v>
      </c>
      <c r="J1642">
        <v>6</v>
      </c>
      <c r="K1642" t="s">
        <v>47</v>
      </c>
      <c r="L1642" s="9">
        <f t="shared" si="25"/>
        <v>200000</v>
      </c>
      <c r="M1642" s="9">
        <f>Table1[[#This Row],[Unit Price]]*Table1[[#This Row],[Quantity]]</f>
        <v>1500000</v>
      </c>
      <c r="N1642" s="9">
        <f>Table1[[#This Row],[Cost Price]]*Table1[[#This Row],[Quantity]]</f>
        <v>1200000</v>
      </c>
      <c r="O1642" s="9">
        <f>Table1[[#This Row],[Revenue]]-Table1[[#This Row],[COGS]]</f>
        <v>300000</v>
      </c>
      <c r="P1642" s="6">
        <v>1641</v>
      </c>
    </row>
    <row r="1643" spans="1:16">
      <c r="A1643" s="7" t="s">
        <v>95</v>
      </c>
      <c r="B1643" s="7" t="str">
        <f>TEXT(Table1[[#This Row],[Date]],"MMM")</f>
        <v>Feb</v>
      </c>
      <c r="C1643" t="s">
        <v>35</v>
      </c>
      <c r="D1643" t="s">
        <v>53</v>
      </c>
      <c r="E1643" t="s">
        <v>29</v>
      </c>
      <c r="F1643" t="s">
        <v>30</v>
      </c>
      <c r="G1643" t="s">
        <v>62</v>
      </c>
      <c r="H1643" t="s">
        <v>51</v>
      </c>
      <c r="I1643" s="9">
        <v>150000</v>
      </c>
      <c r="J1643">
        <v>3</v>
      </c>
      <c r="K1643" t="s">
        <v>47</v>
      </c>
      <c r="L1643" s="9">
        <f t="shared" si="25"/>
        <v>120000</v>
      </c>
      <c r="M1643" s="9">
        <f>Table1[[#This Row],[Unit Price]]*Table1[[#This Row],[Quantity]]</f>
        <v>450000</v>
      </c>
      <c r="N1643" s="9">
        <f>Table1[[#This Row],[Cost Price]]*Table1[[#This Row],[Quantity]]</f>
        <v>360000</v>
      </c>
      <c r="O1643" s="9">
        <f>Table1[[#This Row],[Revenue]]-Table1[[#This Row],[COGS]]</f>
        <v>90000</v>
      </c>
      <c r="P1643" s="6">
        <v>1642</v>
      </c>
    </row>
    <row r="1644" spans="1:16">
      <c r="A1644" s="7" t="s">
        <v>151</v>
      </c>
      <c r="B1644" s="7" t="str">
        <f>TEXT(Table1[[#This Row],[Date]],"MMM")</f>
        <v>Feb</v>
      </c>
      <c r="C1644" t="s">
        <v>49</v>
      </c>
      <c r="D1644" t="s">
        <v>28</v>
      </c>
      <c r="E1644" t="s">
        <v>41</v>
      </c>
      <c r="F1644" t="s">
        <v>37</v>
      </c>
      <c r="G1644" t="s">
        <v>50</v>
      </c>
      <c r="H1644" t="s">
        <v>51</v>
      </c>
      <c r="I1644" s="9">
        <v>300000</v>
      </c>
      <c r="J1644">
        <v>6</v>
      </c>
      <c r="K1644" t="s">
        <v>65</v>
      </c>
      <c r="L1644" s="9">
        <f t="shared" si="25"/>
        <v>240000</v>
      </c>
      <c r="M1644" s="9">
        <f>Table1[[#This Row],[Unit Price]]*Table1[[#This Row],[Quantity]]</f>
        <v>1800000</v>
      </c>
      <c r="N1644" s="9">
        <f>Table1[[#This Row],[Cost Price]]*Table1[[#This Row],[Quantity]]</f>
        <v>1440000</v>
      </c>
      <c r="O1644" s="9">
        <f>Table1[[#This Row],[Revenue]]-Table1[[#This Row],[COGS]]</f>
        <v>360000</v>
      </c>
      <c r="P1644" s="6">
        <v>1643</v>
      </c>
    </row>
    <row r="1645" spans="1:16">
      <c r="A1645" s="7" t="s">
        <v>61</v>
      </c>
      <c r="B1645" s="7" t="str">
        <f>TEXT(Table1[[#This Row],[Date]],"MMM")</f>
        <v>Jan</v>
      </c>
      <c r="C1645" t="s">
        <v>44</v>
      </c>
      <c r="D1645" t="s">
        <v>28</v>
      </c>
      <c r="E1645" t="s">
        <v>29</v>
      </c>
      <c r="F1645" t="s">
        <v>37</v>
      </c>
      <c r="G1645" t="s">
        <v>54</v>
      </c>
      <c r="H1645" t="s">
        <v>39</v>
      </c>
      <c r="I1645" s="9">
        <v>180000</v>
      </c>
      <c r="J1645">
        <v>2</v>
      </c>
      <c r="K1645" t="s">
        <v>47</v>
      </c>
      <c r="L1645" s="9">
        <f t="shared" si="25"/>
        <v>144000</v>
      </c>
      <c r="M1645" s="9">
        <f>Table1[[#This Row],[Unit Price]]*Table1[[#This Row],[Quantity]]</f>
        <v>360000</v>
      </c>
      <c r="N1645" s="9">
        <f>Table1[[#This Row],[Cost Price]]*Table1[[#This Row],[Quantity]]</f>
        <v>288000</v>
      </c>
      <c r="O1645" s="9">
        <f>Table1[[#This Row],[Revenue]]-Table1[[#This Row],[COGS]]</f>
        <v>72000</v>
      </c>
      <c r="P1645" s="6">
        <v>1644</v>
      </c>
    </row>
    <row r="1646" spans="1:16">
      <c r="A1646" s="7" t="s">
        <v>91</v>
      </c>
      <c r="B1646" s="7" t="str">
        <f>TEXT(Table1[[#This Row],[Date]],"MMM")</f>
        <v>Feb</v>
      </c>
      <c r="C1646" t="s">
        <v>35</v>
      </c>
      <c r="D1646" t="s">
        <v>36</v>
      </c>
      <c r="E1646" t="s">
        <v>41</v>
      </c>
      <c r="F1646" t="s">
        <v>37</v>
      </c>
      <c r="G1646" t="s">
        <v>62</v>
      </c>
      <c r="H1646" t="s">
        <v>51</v>
      </c>
      <c r="I1646" s="9">
        <v>150000</v>
      </c>
      <c r="J1646">
        <v>6</v>
      </c>
      <c r="K1646" t="s">
        <v>42</v>
      </c>
      <c r="L1646" s="9">
        <f t="shared" si="25"/>
        <v>120000</v>
      </c>
      <c r="M1646" s="9">
        <f>Table1[[#This Row],[Unit Price]]*Table1[[#This Row],[Quantity]]</f>
        <v>900000</v>
      </c>
      <c r="N1646" s="9">
        <f>Table1[[#This Row],[Cost Price]]*Table1[[#This Row],[Quantity]]</f>
        <v>720000</v>
      </c>
      <c r="O1646" s="9">
        <f>Table1[[#This Row],[Revenue]]-Table1[[#This Row],[COGS]]</f>
        <v>180000</v>
      </c>
      <c r="P1646" s="6">
        <v>1645</v>
      </c>
    </row>
    <row r="1647" spans="1:16">
      <c r="A1647" s="7" t="s">
        <v>109</v>
      </c>
      <c r="B1647" s="7" t="str">
        <f>TEXT(Table1[[#This Row],[Date]],"MMM")</f>
        <v>Mar</v>
      </c>
      <c r="C1647" t="s">
        <v>44</v>
      </c>
      <c r="D1647" t="s">
        <v>45</v>
      </c>
      <c r="E1647" t="s">
        <v>29</v>
      </c>
      <c r="F1647" t="s">
        <v>37</v>
      </c>
      <c r="G1647" t="s">
        <v>46</v>
      </c>
      <c r="H1647" t="s">
        <v>39</v>
      </c>
      <c r="I1647" s="9">
        <v>60000</v>
      </c>
      <c r="J1647">
        <v>8</v>
      </c>
      <c r="K1647" t="s">
        <v>65</v>
      </c>
      <c r="L1647" s="9">
        <f t="shared" si="25"/>
        <v>48000</v>
      </c>
      <c r="M1647" s="9">
        <f>Table1[[#This Row],[Unit Price]]*Table1[[#This Row],[Quantity]]</f>
        <v>480000</v>
      </c>
      <c r="N1647" s="9">
        <f>Table1[[#This Row],[Cost Price]]*Table1[[#This Row],[Quantity]]</f>
        <v>384000</v>
      </c>
      <c r="O1647" s="9">
        <f>Table1[[#This Row],[Revenue]]-Table1[[#This Row],[COGS]]</f>
        <v>96000</v>
      </c>
      <c r="P1647" s="6">
        <v>1646</v>
      </c>
    </row>
    <row r="1648" spans="1:16">
      <c r="A1648" s="7" t="s">
        <v>102</v>
      </c>
      <c r="B1648" s="7" t="str">
        <f>TEXT(Table1[[#This Row],[Date]],"MMM")</f>
        <v>Mar</v>
      </c>
      <c r="C1648" t="s">
        <v>27</v>
      </c>
      <c r="D1648" t="s">
        <v>36</v>
      </c>
      <c r="E1648" t="s">
        <v>29</v>
      </c>
      <c r="F1648" t="s">
        <v>37</v>
      </c>
      <c r="G1648" t="s">
        <v>73</v>
      </c>
      <c r="H1648" t="s">
        <v>39</v>
      </c>
      <c r="I1648" s="9">
        <v>220000</v>
      </c>
      <c r="J1648">
        <v>9</v>
      </c>
      <c r="K1648" t="s">
        <v>47</v>
      </c>
      <c r="L1648" s="9">
        <f t="shared" si="25"/>
        <v>176000</v>
      </c>
      <c r="M1648" s="9">
        <f>Table1[[#This Row],[Unit Price]]*Table1[[#This Row],[Quantity]]</f>
        <v>1980000</v>
      </c>
      <c r="N1648" s="9">
        <f>Table1[[#This Row],[Cost Price]]*Table1[[#This Row],[Quantity]]</f>
        <v>1584000</v>
      </c>
      <c r="O1648" s="9">
        <f>Table1[[#This Row],[Revenue]]-Table1[[#This Row],[COGS]]</f>
        <v>396000</v>
      </c>
      <c r="P1648" s="6">
        <v>1647</v>
      </c>
    </row>
    <row r="1649" spans="1:16">
      <c r="A1649" s="7" t="s">
        <v>128</v>
      </c>
      <c r="B1649" s="7" t="str">
        <f>TEXT(Table1[[#This Row],[Date]],"MMM")</f>
        <v>Mar</v>
      </c>
      <c r="C1649" t="s">
        <v>49</v>
      </c>
      <c r="D1649" t="s">
        <v>53</v>
      </c>
      <c r="E1649" t="s">
        <v>41</v>
      </c>
      <c r="F1649" t="s">
        <v>30</v>
      </c>
      <c r="G1649" t="s">
        <v>50</v>
      </c>
      <c r="H1649" t="s">
        <v>51</v>
      </c>
      <c r="I1649" s="9">
        <v>300000</v>
      </c>
      <c r="J1649">
        <v>9</v>
      </c>
      <c r="K1649" t="s">
        <v>58</v>
      </c>
      <c r="L1649" s="9">
        <f t="shared" si="25"/>
        <v>240000</v>
      </c>
      <c r="M1649" s="9">
        <f>Table1[[#This Row],[Unit Price]]*Table1[[#This Row],[Quantity]]</f>
        <v>2700000</v>
      </c>
      <c r="N1649" s="9">
        <f>Table1[[#This Row],[Cost Price]]*Table1[[#This Row],[Quantity]]</f>
        <v>2160000</v>
      </c>
      <c r="O1649" s="9">
        <f>Table1[[#This Row],[Revenue]]-Table1[[#This Row],[COGS]]</f>
        <v>540000</v>
      </c>
      <c r="P1649" s="6">
        <v>1648</v>
      </c>
    </row>
    <row r="1650" spans="1:16">
      <c r="A1650" s="7" t="s">
        <v>158</v>
      </c>
      <c r="B1650" s="7" t="str">
        <f>TEXT(Table1[[#This Row],[Date]],"MMM")</f>
        <v>Jan</v>
      </c>
      <c r="C1650" t="s">
        <v>27</v>
      </c>
      <c r="D1650" t="s">
        <v>53</v>
      </c>
      <c r="E1650" t="s">
        <v>29</v>
      </c>
      <c r="F1650" t="s">
        <v>30</v>
      </c>
      <c r="G1650" t="s">
        <v>67</v>
      </c>
      <c r="H1650" t="s">
        <v>51</v>
      </c>
      <c r="I1650" s="9">
        <v>420000</v>
      </c>
      <c r="J1650">
        <v>1</v>
      </c>
      <c r="K1650" t="s">
        <v>65</v>
      </c>
      <c r="L1650" s="9">
        <f t="shared" si="25"/>
        <v>336000</v>
      </c>
      <c r="M1650" s="9">
        <f>Table1[[#This Row],[Unit Price]]*Table1[[#This Row],[Quantity]]</f>
        <v>420000</v>
      </c>
      <c r="N1650" s="9">
        <f>Table1[[#This Row],[Cost Price]]*Table1[[#This Row],[Quantity]]</f>
        <v>336000</v>
      </c>
      <c r="O1650" s="9">
        <f>Table1[[#This Row],[Revenue]]-Table1[[#This Row],[COGS]]</f>
        <v>84000</v>
      </c>
      <c r="P1650" s="6">
        <v>1649</v>
      </c>
    </row>
    <row r="1651" spans="1:16">
      <c r="A1651" s="7" t="s">
        <v>105</v>
      </c>
      <c r="B1651" s="7" t="str">
        <f>TEXT(Table1[[#This Row],[Date]],"MMM")</f>
        <v>Mar</v>
      </c>
      <c r="C1651" t="s">
        <v>44</v>
      </c>
      <c r="D1651" t="s">
        <v>53</v>
      </c>
      <c r="E1651" t="s">
        <v>29</v>
      </c>
      <c r="F1651" t="s">
        <v>37</v>
      </c>
      <c r="G1651" t="s">
        <v>73</v>
      </c>
      <c r="H1651" t="s">
        <v>39</v>
      </c>
      <c r="I1651" s="9">
        <v>220000</v>
      </c>
      <c r="J1651">
        <v>6</v>
      </c>
      <c r="K1651" t="s">
        <v>58</v>
      </c>
      <c r="L1651" s="9">
        <f t="shared" si="25"/>
        <v>176000</v>
      </c>
      <c r="M1651" s="9">
        <f>Table1[[#This Row],[Unit Price]]*Table1[[#This Row],[Quantity]]</f>
        <v>1320000</v>
      </c>
      <c r="N1651" s="9">
        <f>Table1[[#This Row],[Cost Price]]*Table1[[#This Row],[Quantity]]</f>
        <v>1056000</v>
      </c>
      <c r="O1651" s="9">
        <f>Table1[[#This Row],[Revenue]]-Table1[[#This Row],[COGS]]</f>
        <v>264000</v>
      </c>
      <c r="P1651" s="6">
        <v>1650</v>
      </c>
    </row>
    <row r="1652" spans="1:16">
      <c r="A1652" s="7" t="s">
        <v>87</v>
      </c>
      <c r="B1652" s="7" t="str">
        <f>TEXT(Table1[[#This Row],[Date]],"MMM")</f>
        <v>Mar</v>
      </c>
      <c r="C1652" t="s">
        <v>27</v>
      </c>
      <c r="D1652" t="s">
        <v>36</v>
      </c>
      <c r="E1652" t="s">
        <v>29</v>
      </c>
      <c r="F1652" t="s">
        <v>37</v>
      </c>
      <c r="G1652" t="s">
        <v>38</v>
      </c>
      <c r="H1652" t="s">
        <v>39</v>
      </c>
      <c r="I1652" s="9">
        <v>30000</v>
      </c>
      <c r="J1652">
        <v>5</v>
      </c>
      <c r="K1652" t="s">
        <v>47</v>
      </c>
      <c r="L1652" s="9">
        <f t="shared" si="25"/>
        <v>24000</v>
      </c>
      <c r="M1652" s="9">
        <f>Table1[[#This Row],[Unit Price]]*Table1[[#This Row],[Quantity]]</f>
        <v>150000</v>
      </c>
      <c r="N1652" s="9">
        <f>Table1[[#This Row],[Cost Price]]*Table1[[#This Row],[Quantity]]</f>
        <v>120000</v>
      </c>
      <c r="O1652" s="9">
        <f>Table1[[#This Row],[Revenue]]-Table1[[#This Row],[COGS]]</f>
        <v>30000</v>
      </c>
      <c r="P1652" s="6">
        <v>1651</v>
      </c>
    </row>
    <row r="1653" spans="1:16">
      <c r="A1653" s="7" t="s">
        <v>173</v>
      </c>
      <c r="B1653" s="7" t="str">
        <f>TEXT(Table1[[#This Row],[Date]],"MMM")</f>
        <v>Mar</v>
      </c>
      <c r="C1653" t="s">
        <v>49</v>
      </c>
      <c r="D1653" t="s">
        <v>45</v>
      </c>
      <c r="E1653" t="s">
        <v>41</v>
      </c>
      <c r="F1653" t="s">
        <v>30</v>
      </c>
      <c r="G1653" t="s">
        <v>38</v>
      </c>
      <c r="H1653" t="s">
        <v>39</v>
      </c>
      <c r="I1653" s="9">
        <v>30000</v>
      </c>
      <c r="J1653">
        <v>9</v>
      </c>
      <c r="K1653" t="s">
        <v>47</v>
      </c>
      <c r="L1653" s="9">
        <f t="shared" si="25"/>
        <v>24000</v>
      </c>
      <c r="M1653" s="9">
        <f>Table1[[#This Row],[Unit Price]]*Table1[[#This Row],[Quantity]]</f>
        <v>270000</v>
      </c>
      <c r="N1653" s="9">
        <f>Table1[[#This Row],[Cost Price]]*Table1[[#This Row],[Quantity]]</f>
        <v>216000</v>
      </c>
      <c r="O1653" s="9">
        <f>Table1[[#This Row],[Revenue]]-Table1[[#This Row],[COGS]]</f>
        <v>54000</v>
      </c>
      <c r="P1653" s="6">
        <v>1652</v>
      </c>
    </row>
    <row r="1654" spans="1:16">
      <c r="A1654" s="7" t="s">
        <v>91</v>
      </c>
      <c r="B1654" s="7" t="str">
        <f>TEXT(Table1[[#This Row],[Date]],"MMM")</f>
        <v>Feb</v>
      </c>
      <c r="C1654" t="s">
        <v>44</v>
      </c>
      <c r="D1654" t="s">
        <v>28</v>
      </c>
      <c r="E1654" t="s">
        <v>29</v>
      </c>
      <c r="F1654" t="s">
        <v>30</v>
      </c>
      <c r="G1654" t="s">
        <v>71</v>
      </c>
      <c r="H1654" t="s">
        <v>51</v>
      </c>
      <c r="I1654" s="9">
        <v>250000</v>
      </c>
      <c r="J1654">
        <v>1</v>
      </c>
      <c r="K1654" t="s">
        <v>58</v>
      </c>
      <c r="L1654" s="9">
        <f t="shared" si="25"/>
        <v>200000</v>
      </c>
      <c r="M1654" s="9">
        <f>Table1[[#This Row],[Unit Price]]*Table1[[#This Row],[Quantity]]</f>
        <v>250000</v>
      </c>
      <c r="N1654" s="9">
        <f>Table1[[#This Row],[Cost Price]]*Table1[[#This Row],[Quantity]]</f>
        <v>200000</v>
      </c>
      <c r="O1654" s="9">
        <f>Table1[[#This Row],[Revenue]]-Table1[[#This Row],[COGS]]</f>
        <v>50000</v>
      </c>
      <c r="P1654" s="6">
        <v>1653</v>
      </c>
    </row>
    <row r="1655" spans="1:16">
      <c r="A1655" s="7" t="s">
        <v>81</v>
      </c>
      <c r="B1655" s="7" t="str">
        <f>TEXT(Table1[[#This Row],[Date]],"MMM")</f>
        <v>Mar</v>
      </c>
      <c r="C1655" t="s">
        <v>44</v>
      </c>
      <c r="D1655" t="s">
        <v>53</v>
      </c>
      <c r="E1655" t="s">
        <v>29</v>
      </c>
      <c r="F1655" t="s">
        <v>30</v>
      </c>
      <c r="G1655" t="s">
        <v>73</v>
      </c>
      <c r="H1655" t="s">
        <v>39</v>
      </c>
      <c r="I1655" s="9">
        <v>220000</v>
      </c>
      <c r="J1655">
        <v>8</v>
      </c>
      <c r="K1655" t="s">
        <v>42</v>
      </c>
      <c r="L1655" s="9">
        <f t="shared" si="25"/>
        <v>176000</v>
      </c>
      <c r="M1655" s="9">
        <f>Table1[[#This Row],[Unit Price]]*Table1[[#This Row],[Quantity]]</f>
        <v>1760000</v>
      </c>
      <c r="N1655" s="9">
        <f>Table1[[#This Row],[Cost Price]]*Table1[[#This Row],[Quantity]]</f>
        <v>1408000</v>
      </c>
      <c r="O1655" s="9">
        <f>Table1[[#This Row],[Revenue]]-Table1[[#This Row],[COGS]]</f>
        <v>352000</v>
      </c>
      <c r="P1655" s="6">
        <v>1654</v>
      </c>
    </row>
    <row r="1656" spans="1:16">
      <c r="A1656" s="7" t="s">
        <v>154</v>
      </c>
      <c r="B1656" s="7" t="str">
        <f>TEXT(Table1[[#This Row],[Date]],"MMM")</f>
        <v>Feb</v>
      </c>
      <c r="C1656" t="s">
        <v>35</v>
      </c>
      <c r="D1656" t="s">
        <v>36</v>
      </c>
      <c r="E1656" t="s">
        <v>29</v>
      </c>
      <c r="F1656" t="s">
        <v>30</v>
      </c>
      <c r="G1656" t="s">
        <v>67</v>
      </c>
      <c r="H1656" t="s">
        <v>51</v>
      </c>
      <c r="I1656" s="9">
        <v>420000</v>
      </c>
      <c r="J1656">
        <v>8</v>
      </c>
      <c r="K1656" t="s">
        <v>69</v>
      </c>
      <c r="L1656" s="9">
        <f t="shared" si="25"/>
        <v>336000</v>
      </c>
      <c r="M1656" s="9">
        <f>Table1[[#This Row],[Unit Price]]*Table1[[#This Row],[Quantity]]</f>
        <v>3360000</v>
      </c>
      <c r="N1656" s="9">
        <f>Table1[[#This Row],[Cost Price]]*Table1[[#This Row],[Quantity]]</f>
        <v>2688000</v>
      </c>
      <c r="O1656" s="9">
        <f>Table1[[#This Row],[Revenue]]-Table1[[#This Row],[COGS]]</f>
        <v>672000</v>
      </c>
      <c r="P1656" s="6">
        <v>1655</v>
      </c>
    </row>
    <row r="1657" spans="1:16">
      <c r="A1657" s="7" t="s">
        <v>171</v>
      </c>
      <c r="B1657" s="7" t="str">
        <f>TEXT(Table1[[#This Row],[Date]],"MMM")</f>
        <v>Mar</v>
      </c>
      <c r="C1657" t="s">
        <v>49</v>
      </c>
      <c r="D1657" t="s">
        <v>45</v>
      </c>
      <c r="E1657" t="s">
        <v>29</v>
      </c>
      <c r="F1657" t="s">
        <v>30</v>
      </c>
      <c r="G1657" t="s">
        <v>50</v>
      </c>
      <c r="H1657" t="s">
        <v>51</v>
      </c>
      <c r="I1657" s="9">
        <v>300000</v>
      </c>
      <c r="J1657">
        <v>10</v>
      </c>
      <c r="K1657" t="s">
        <v>58</v>
      </c>
      <c r="L1657" s="9">
        <f t="shared" si="25"/>
        <v>240000</v>
      </c>
      <c r="M1657" s="9">
        <f>Table1[[#This Row],[Unit Price]]*Table1[[#This Row],[Quantity]]</f>
        <v>3000000</v>
      </c>
      <c r="N1657" s="9">
        <f>Table1[[#This Row],[Cost Price]]*Table1[[#This Row],[Quantity]]</f>
        <v>2400000</v>
      </c>
      <c r="O1657" s="9">
        <f>Table1[[#This Row],[Revenue]]-Table1[[#This Row],[COGS]]</f>
        <v>600000</v>
      </c>
      <c r="P1657" s="6">
        <v>1656</v>
      </c>
    </row>
    <row r="1658" spans="1:16">
      <c r="A1658" s="7" t="s">
        <v>138</v>
      </c>
      <c r="B1658" s="7" t="str">
        <f>TEXT(Table1[[#This Row],[Date]],"MMM")</f>
        <v>Apr</v>
      </c>
      <c r="C1658" t="s">
        <v>49</v>
      </c>
      <c r="D1658" t="s">
        <v>53</v>
      </c>
      <c r="E1658" t="s">
        <v>29</v>
      </c>
      <c r="F1658" t="s">
        <v>30</v>
      </c>
      <c r="G1658" t="s">
        <v>62</v>
      </c>
      <c r="H1658" t="s">
        <v>51</v>
      </c>
      <c r="I1658" s="9">
        <v>150000</v>
      </c>
      <c r="J1658">
        <v>1</v>
      </c>
      <c r="K1658" t="s">
        <v>58</v>
      </c>
      <c r="L1658" s="9">
        <f t="shared" si="25"/>
        <v>120000</v>
      </c>
      <c r="M1658" s="9">
        <f>Table1[[#This Row],[Unit Price]]*Table1[[#This Row],[Quantity]]</f>
        <v>150000</v>
      </c>
      <c r="N1658" s="9">
        <f>Table1[[#This Row],[Cost Price]]*Table1[[#This Row],[Quantity]]</f>
        <v>120000</v>
      </c>
      <c r="O1658" s="9">
        <f>Table1[[#This Row],[Revenue]]-Table1[[#This Row],[COGS]]</f>
        <v>30000</v>
      </c>
      <c r="P1658" s="6">
        <v>1657</v>
      </c>
    </row>
    <row r="1659" spans="1:16">
      <c r="A1659" s="7" t="s">
        <v>139</v>
      </c>
      <c r="B1659" s="7" t="str">
        <f>TEXT(Table1[[#This Row],[Date]],"MMM")</f>
        <v>Jan</v>
      </c>
      <c r="C1659" t="s">
        <v>49</v>
      </c>
      <c r="D1659" t="s">
        <v>53</v>
      </c>
      <c r="E1659" t="s">
        <v>29</v>
      </c>
      <c r="F1659" t="s">
        <v>37</v>
      </c>
      <c r="G1659" t="s">
        <v>73</v>
      </c>
      <c r="H1659" t="s">
        <v>39</v>
      </c>
      <c r="I1659" s="9">
        <v>220000</v>
      </c>
      <c r="J1659">
        <v>6</v>
      </c>
      <c r="K1659" t="s">
        <v>47</v>
      </c>
      <c r="L1659" s="9">
        <f t="shared" si="25"/>
        <v>176000</v>
      </c>
      <c r="M1659" s="9">
        <f>Table1[[#This Row],[Unit Price]]*Table1[[#This Row],[Quantity]]</f>
        <v>1320000</v>
      </c>
      <c r="N1659" s="9">
        <f>Table1[[#This Row],[Cost Price]]*Table1[[#This Row],[Quantity]]</f>
        <v>1056000</v>
      </c>
      <c r="O1659" s="9">
        <f>Table1[[#This Row],[Revenue]]-Table1[[#This Row],[COGS]]</f>
        <v>264000</v>
      </c>
      <c r="P1659" s="6">
        <v>1658</v>
      </c>
    </row>
    <row r="1660" spans="1:16">
      <c r="A1660" s="7" t="s">
        <v>100</v>
      </c>
      <c r="B1660" s="7" t="str">
        <f>TEXT(Table1[[#This Row],[Date]],"MMM")</f>
        <v>Jan</v>
      </c>
      <c r="C1660" t="s">
        <v>49</v>
      </c>
      <c r="D1660" t="s">
        <v>36</v>
      </c>
      <c r="E1660" t="s">
        <v>41</v>
      </c>
      <c r="F1660" t="s">
        <v>30</v>
      </c>
      <c r="G1660" t="s">
        <v>54</v>
      </c>
      <c r="H1660" t="s">
        <v>39</v>
      </c>
      <c r="I1660" s="9">
        <v>180000</v>
      </c>
      <c r="J1660">
        <v>3</v>
      </c>
      <c r="K1660" t="s">
        <v>69</v>
      </c>
      <c r="L1660" s="9">
        <f t="shared" si="25"/>
        <v>144000</v>
      </c>
      <c r="M1660" s="9">
        <f>Table1[[#This Row],[Unit Price]]*Table1[[#This Row],[Quantity]]</f>
        <v>540000</v>
      </c>
      <c r="N1660" s="9">
        <f>Table1[[#This Row],[Cost Price]]*Table1[[#This Row],[Quantity]]</f>
        <v>432000</v>
      </c>
      <c r="O1660" s="9">
        <f>Table1[[#This Row],[Revenue]]-Table1[[#This Row],[COGS]]</f>
        <v>108000</v>
      </c>
      <c r="P1660" s="6">
        <v>1659</v>
      </c>
    </row>
    <row r="1661" spans="1:16">
      <c r="A1661" s="7" t="s">
        <v>63</v>
      </c>
      <c r="B1661" s="7" t="str">
        <f>TEXT(Table1[[#This Row],[Date]],"MMM")</f>
        <v>Jan</v>
      </c>
      <c r="C1661" t="s">
        <v>49</v>
      </c>
      <c r="D1661" t="s">
        <v>28</v>
      </c>
      <c r="E1661" t="s">
        <v>29</v>
      </c>
      <c r="F1661" t="s">
        <v>37</v>
      </c>
      <c r="G1661" t="s">
        <v>46</v>
      </c>
      <c r="H1661" t="s">
        <v>39</v>
      </c>
      <c r="I1661" s="9">
        <v>60000</v>
      </c>
      <c r="J1661">
        <v>10</v>
      </c>
      <c r="K1661" t="s">
        <v>58</v>
      </c>
      <c r="L1661" s="9">
        <f t="shared" si="25"/>
        <v>48000</v>
      </c>
      <c r="M1661" s="9">
        <f>Table1[[#This Row],[Unit Price]]*Table1[[#This Row],[Quantity]]</f>
        <v>600000</v>
      </c>
      <c r="N1661" s="9">
        <f>Table1[[#This Row],[Cost Price]]*Table1[[#This Row],[Quantity]]</f>
        <v>480000</v>
      </c>
      <c r="O1661" s="9">
        <f>Table1[[#This Row],[Revenue]]-Table1[[#This Row],[COGS]]</f>
        <v>120000</v>
      </c>
      <c r="P1661" s="6">
        <v>1660</v>
      </c>
    </row>
    <row r="1662" spans="1:16">
      <c r="A1662" s="7" t="s">
        <v>106</v>
      </c>
      <c r="B1662" s="7" t="str">
        <f>TEXT(Table1[[#This Row],[Date]],"MMM")</f>
        <v>Apr</v>
      </c>
      <c r="C1662" t="s">
        <v>44</v>
      </c>
      <c r="D1662" t="s">
        <v>28</v>
      </c>
      <c r="E1662" t="s">
        <v>41</v>
      </c>
      <c r="F1662" t="s">
        <v>30</v>
      </c>
      <c r="G1662" t="s">
        <v>73</v>
      </c>
      <c r="H1662" t="s">
        <v>39</v>
      </c>
      <c r="I1662" s="9">
        <v>220000</v>
      </c>
      <c r="J1662">
        <v>1</v>
      </c>
      <c r="K1662" t="s">
        <v>65</v>
      </c>
      <c r="L1662" s="9">
        <f t="shared" si="25"/>
        <v>176000</v>
      </c>
      <c r="M1662" s="9">
        <f>Table1[[#This Row],[Unit Price]]*Table1[[#This Row],[Quantity]]</f>
        <v>220000</v>
      </c>
      <c r="N1662" s="9">
        <f>Table1[[#This Row],[Cost Price]]*Table1[[#This Row],[Quantity]]</f>
        <v>176000</v>
      </c>
      <c r="O1662" s="9">
        <f>Table1[[#This Row],[Revenue]]-Table1[[#This Row],[COGS]]</f>
        <v>44000</v>
      </c>
      <c r="P1662" s="6">
        <v>1661</v>
      </c>
    </row>
    <row r="1663" spans="1:16">
      <c r="A1663" s="7" t="s">
        <v>116</v>
      </c>
      <c r="B1663" s="7" t="str">
        <f>TEXT(Table1[[#This Row],[Date]],"MMM")</f>
        <v>Apr</v>
      </c>
      <c r="C1663" t="s">
        <v>49</v>
      </c>
      <c r="D1663" t="s">
        <v>45</v>
      </c>
      <c r="E1663" t="s">
        <v>29</v>
      </c>
      <c r="F1663" t="s">
        <v>37</v>
      </c>
      <c r="G1663" t="s">
        <v>71</v>
      </c>
      <c r="H1663" t="s">
        <v>51</v>
      </c>
      <c r="I1663" s="9">
        <v>250000</v>
      </c>
      <c r="J1663">
        <v>5</v>
      </c>
      <c r="K1663" t="s">
        <v>47</v>
      </c>
      <c r="L1663" s="9">
        <f t="shared" si="25"/>
        <v>200000</v>
      </c>
      <c r="M1663" s="9">
        <f>Table1[[#This Row],[Unit Price]]*Table1[[#This Row],[Quantity]]</f>
        <v>1250000</v>
      </c>
      <c r="N1663" s="9">
        <f>Table1[[#This Row],[Cost Price]]*Table1[[#This Row],[Quantity]]</f>
        <v>1000000</v>
      </c>
      <c r="O1663" s="9">
        <f>Table1[[#This Row],[Revenue]]-Table1[[#This Row],[COGS]]</f>
        <v>250000</v>
      </c>
      <c r="P1663" s="6">
        <v>1662</v>
      </c>
    </row>
    <row r="1664" spans="1:16">
      <c r="A1664" s="7" t="s">
        <v>143</v>
      </c>
      <c r="B1664" s="7" t="str">
        <f>TEXT(Table1[[#This Row],[Date]],"MMM")</f>
        <v>Apr</v>
      </c>
      <c r="C1664" t="s">
        <v>44</v>
      </c>
      <c r="D1664" t="s">
        <v>36</v>
      </c>
      <c r="E1664" t="s">
        <v>41</v>
      </c>
      <c r="F1664" t="s">
        <v>37</v>
      </c>
      <c r="G1664" t="s">
        <v>71</v>
      </c>
      <c r="H1664" t="s">
        <v>51</v>
      </c>
      <c r="I1664" s="9">
        <v>250000</v>
      </c>
      <c r="J1664">
        <v>8</v>
      </c>
      <c r="K1664" t="s">
        <v>58</v>
      </c>
      <c r="L1664" s="9">
        <f t="shared" si="25"/>
        <v>200000</v>
      </c>
      <c r="M1664" s="9">
        <f>Table1[[#This Row],[Unit Price]]*Table1[[#This Row],[Quantity]]</f>
        <v>2000000</v>
      </c>
      <c r="N1664" s="9">
        <f>Table1[[#This Row],[Cost Price]]*Table1[[#This Row],[Quantity]]</f>
        <v>1600000</v>
      </c>
      <c r="O1664" s="9">
        <f>Table1[[#This Row],[Revenue]]-Table1[[#This Row],[COGS]]</f>
        <v>400000</v>
      </c>
      <c r="P1664" s="6">
        <v>1663</v>
      </c>
    </row>
    <row r="1665" spans="1:16">
      <c r="A1665" s="7" t="s">
        <v>130</v>
      </c>
      <c r="B1665" s="7" t="str">
        <f>TEXT(Table1[[#This Row],[Date]],"MMM")</f>
        <v>Jan</v>
      </c>
      <c r="C1665" t="s">
        <v>27</v>
      </c>
      <c r="D1665" t="s">
        <v>53</v>
      </c>
      <c r="E1665" t="s">
        <v>41</v>
      </c>
      <c r="F1665" t="s">
        <v>30</v>
      </c>
      <c r="G1665" t="s">
        <v>62</v>
      </c>
      <c r="H1665" t="s">
        <v>51</v>
      </c>
      <c r="I1665" s="9">
        <v>150000</v>
      </c>
      <c r="J1665">
        <v>4</v>
      </c>
      <c r="K1665" t="s">
        <v>42</v>
      </c>
      <c r="L1665" s="9">
        <f t="shared" si="25"/>
        <v>120000</v>
      </c>
      <c r="M1665" s="9">
        <f>Table1[[#This Row],[Unit Price]]*Table1[[#This Row],[Quantity]]</f>
        <v>600000</v>
      </c>
      <c r="N1665" s="9">
        <f>Table1[[#This Row],[Cost Price]]*Table1[[#This Row],[Quantity]]</f>
        <v>480000</v>
      </c>
      <c r="O1665" s="9">
        <f>Table1[[#This Row],[Revenue]]-Table1[[#This Row],[COGS]]</f>
        <v>120000</v>
      </c>
      <c r="P1665" s="6">
        <v>1664</v>
      </c>
    </row>
    <row r="1666" spans="1:16">
      <c r="A1666" s="7" t="s">
        <v>153</v>
      </c>
      <c r="B1666" s="7" t="str">
        <f>TEXT(Table1[[#This Row],[Date]],"MMM")</f>
        <v>Mar</v>
      </c>
      <c r="C1666" t="s">
        <v>44</v>
      </c>
      <c r="D1666" t="s">
        <v>36</v>
      </c>
      <c r="E1666" t="s">
        <v>29</v>
      </c>
      <c r="F1666" t="s">
        <v>30</v>
      </c>
      <c r="G1666" t="s">
        <v>73</v>
      </c>
      <c r="H1666" t="s">
        <v>39</v>
      </c>
      <c r="I1666" s="9">
        <v>220000</v>
      </c>
      <c r="J1666">
        <v>3</v>
      </c>
      <c r="K1666" t="s">
        <v>65</v>
      </c>
      <c r="L1666" s="9">
        <f t="shared" ref="L1666:L1729" si="26">I1666-I1666*0.2</f>
        <v>176000</v>
      </c>
      <c r="M1666" s="9">
        <f>Table1[[#This Row],[Unit Price]]*Table1[[#This Row],[Quantity]]</f>
        <v>660000</v>
      </c>
      <c r="N1666" s="9">
        <f>Table1[[#This Row],[Cost Price]]*Table1[[#This Row],[Quantity]]</f>
        <v>528000</v>
      </c>
      <c r="O1666" s="9">
        <f>Table1[[#This Row],[Revenue]]-Table1[[#This Row],[COGS]]</f>
        <v>132000</v>
      </c>
      <c r="P1666" s="6">
        <v>1665</v>
      </c>
    </row>
    <row r="1667" spans="1:16">
      <c r="A1667" s="7" t="s">
        <v>63</v>
      </c>
      <c r="B1667" s="7" t="str">
        <f>TEXT(Table1[[#This Row],[Date]],"MMM")</f>
        <v>Jan</v>
      </c>
      <c r="C1667" t="s">
        <v>44</v>
      </c>
      <c r="D1667" t="s">
        <v>45</v>
      </c>
      <c r="E1667" t="s">
        <v>29</v>
      </c>
      <c r="F1667" t="s">
        <v>30</v>
      </c>
      <c r="G1667" t="s">
        <v>54</v>
      </c>
      <c r="H1667" t="s">
        <v>39</v>
      </c>
      <c r="I1667" s="9">
        <v>180000</v>
      </c>
      <c r="J1667">
        <v>7</v>
      </c>
      <c r="K1667" t="s">
        <v>65</v>
      </c>
      <c r="L1667" s="9">
        <f t="shared" si="26"/>
        <v>144000</v>
      </c>
      <c r="M1667" s="9">
        <f>Table1[[#This Row],[Unit Price]]*Table1[[#This Row],[Quantity]]</f>
        <v>1260000</v>
      </c>
      <c r="N1667" s="9">
        <f>Table1[[#This Row],[Cost Price]]*Table1[[#This Row],[Quantity]]</f>
        <v>1008000</v>
      </c>
      <c r="O1667" s="9">
        <f>Table1[[#This Row],[Revenue]]-Table1[[#This Row],[COGS]]</f>
        <v>252000</v>
      </c>
      <c r="P1667" s="6">
        <v>1666</v>
      </c>
    </row>
    <row r="1668" spans="1:16">
      <c r="A1668" s="7" t="s">
        <v>175</v>
      </c>
      <c r="B1668" s="7" t="str">
        <f>TEXT(Table1[[#This Row],[Date]],"MMM")</f>
        <v>Jan</v>
      </c>
      <c r="C1668" t="s">
        <v>44</v>
      </c>
      <c r="D1668" t="s">
        <v>36</v>
      </c>
      <c r="E1668" t="s">
        <v>41</v>
      </c>
      <c r="F1668" t="s">
        <v>37</v>
      </c>
      <c r="G1668" t="s">
        <v>62</v>
      </c>
      <c r="H1668" t="s">
        <v>51</v>
      </c>
      <c r="I1668" s="9">
        <v>150000</v>
      </c>
      <c r="J1668">
        <v>4</v>
      </c>
      <c r="K1668" t="s">
        <v>58</v>
      </c>
      <c r="L1668" s="9">
        <f t="shared" si="26"/>
        <v>120000</v>
      </c>
      <c r="M1668" s="9">
        <f>Table1[[#This Row],[Unit Price]]*Table1[[#This Row],[Quantity]]</f>
        <v>600000</v>
      </c>
      <c r="N1668" s="9">
        <f>Table1[[#This Row],[Cost Price]]*Table1[[#This Row],[Quantity]]</f>
        <v>480000</v>
      </c>
      <c r="O1668" s="9">
        <f>Table1[[#This Row],[Revenue]]-Table1[[#This Row],[COGS]]</f>
        <v>120000</v>
      </c>
      <c r="P1668" s="6">
        <v>1667</v>
      </c>
    </row>
    <row r="1669" spans="1:16">
      <c r="A1669" s="7" t="s">
        <v>124</v>
      </c>
      <c r="B1669" s="7" t="str">
        <f>TEXT(Table1[[#This Row],[Date]],"MMM")</f>
        <v>Feb</v>
      </c>
      <c r="C1669" t="s">
        <v>35</v>
      </c>
      <c r="D1669" t="s">
        <v>45</v>
      </c>
      <c r="E1669" t="s">
        <v>41</v>
      </c>
      <c r="F1669" t="s">
        <v>30</v>
      </c>
      <c r="G1669" t="s">
        <v>62</v>
      </c>
      <c r="H1669" t="s">
        <v>51</v>
      </c>
      <c r="I1669" s="9">
        <v>150000</v>
      </c>
      <c r="J1669">
        <v>10</v>
      </c>
      <c r="K1669" t="s">
        <v>42</v>
      </c>
      <c r="L1669" s="9">
        <f t="shared" si="26"/>
        <v>120000</v>
      </c>
      <c r="M1669" s="9">
        <f>Table1[[#This Row],[Unit Price]]*Table1[[#This Row],[Quantity]]</f>
        <v>1500000</v>
      </c>
      <c r="N1669" s="9">
        <f>Table1[[#This Row],[Cost Price]]*Table1[[#This Row],[Quantity]]</f>
        <v>1200000</v>
      </c>
      <c r="O1669" s="9">
        <f>Table1[[#This Row],[Revenue]]-Table1[[#This Row],[COGS]]</f>
        <v>300000</v>
      </c>
      <c r="P1669" s="6">
        <v>1668</v>
      </c>
    </row>
    <row r="1670" spans="1:16">
      <c r="A1670" s="7" t="s">
        <v>79</v>
      </c>
      <c r="B1670" s="7" t="str">
        <f>TEXT(Table1[[#This Row],[Date]],"MMM")</f>
        <v>Feb</v>
      </c>
      <c r="C1670" t="s">
        <v>27</v>
      </c>
      <c r="D1670" t="s">
        <v>36</v>
      </c>
      <c r="E1670" t="s">
        <v>29</v>
      </c>
      <c r="F1670" t="s">
        <v>30</v>
      </c>
      <c r="G1670" t="s">
        <v>62</v>
      </c>
      <c r="H1670" t="s">
        <v>51</v>
      </c>
      <c r="I1670" s="9">
        <v>150000</v>
      </c>
      <c r="J1670">
        <v>1</v>
      </c>
      <c r="K1670" t="s">
        <v>69</v>
      </c>
      <c r="L1670" s="9">
        <f t="shared" si="26"/>
        <v>120000</v>
      </c>
      <c r="M1670" s="9">
        <f>Table1[[#This Row],[Unit Price]]*Table1[[#This Row],[Quantity]]</f>
        <v>150000</v>
      </c>
      <c r="N1670" s="9">
        <f>Table1[[#This Row],[Cost Price]]*Table1[[#This Row],[Quantity]]</f>
        <v>120000</v>
      </c>
      <c r="O1670" s="9">
        <f>Table1[[#This Row],[Revenue]]-Table1[[#This Row],[COGS]]</f>
        <v>30000</v>
      </c>
      <c r="P1670" s="6">
        <v>1669</v>
      </c>
    </row>
    <row r="1671" spans="1:16">
      <c r="A1671" s="7" t="s">
        <v>124</v>
      </c>
      <c r="B1671" s="7" t="str">
        <f>TEXT(Table1[[#This Row],[Date]],"MMM")</f>
        <v>Feb</v>
      </c>
      <c r="C1671" t="s">
        <v>49</v>
      </c>
      <c r="D1671" t="s">
        <v>45</v>
      </c>
      <c r="E1671" t="s">
        <v>41</v>
      </c>
      <c r="F1671" t="s">
        <v>37</v>
      </c>
      <c r="G1671" t="s">
        <v>62</v>
      </c>
      <c r="H1671" t="s">
        <v>51</v>
      </c>
      <c r="I1671" s="9">
        <v>150000</v>
      </c>
      <c r="J1671">
        <v>4</v>
      </c>
      <c r="K1671" t="s">
        <v>42</v>
      </c>
      <c r="L1671" s="9">
        <f t="shared" si="26"/>
        <v>120000</v>
      </c>
      <c r="M1671" s="9">
        <f>Table1[[#This Row],[Unit Price]]*Table1[[#This Row],[Quantity]]</f>
        <v>600000</v>
      </c>
      <c r="N1671" s="9">
        <f>Table1[[#This Row],[Cost Price]]*Table1[[#This Row],[Quantity]]</f>
        <v>480000</v>
      </c>
      <c r="O1671" s="9">
        <f>Table1[[#This Row],[Revenue]]-Table1[[#This Row],[COGS]]</f>
        <v>120000</v>
      </c>
      <c r="P1671" s="6">
        <v>1670</v>
      </c>
    </row>
    <row r="1672" spans="1:16">
      <c r="A1672" s="7" t="s">
        <v>60</v>
      </c>
      <c r="B1672" s="7" t="str">
        <f>TEXT(Table1[[#This Row],[Date]],"MMM")</f>
        <v>Mar</v>
      </c>
      <c r="C1672" t="s">
        <v>27</v>
      </c>
      <c r="D1672" t="s">
        <v>45</v>
      </c>
      <c r="E1672" t="s">
        <v>41</v>
      </c>
      <c r="F1672" t="s">
        <v>30</v>
      </c>
      <c r="G1672" t="s">
        <v>46</v>
      </c>
      <c r="H1672" t="s">
        <v>39</v>
      </c>
      <c r="I1672" s="9">
        <v>60000</v>
      </c>
      <c r="J1672">
        <v>5</v>
      </c>
      <c r="K1672" t="s">
        <v>65</v>
      </c>
      <c r="L1672" s="9">
        <f t="shared" si="26"/>
        <v>48000</v>
      </c>
      <c r="M1672" s="9">
        <f>Table1[[#This Row],[Unit Price]]*Table1[[#This Row],[Quantity]]</f>
        <v>300000</v>
      </c>
      <c r="N1672" s="9">
        <f>Table1[[#This Row],[Cost Price]]*Table1[[#This Row],[Quantity]]</f>
        <v>240000</v>
      </c>
      <c r="O1672" s="9">
        <f>Table1[[#This Row],[Revenue]]-Table1[[#This Row],[COGS]]</f>
        <v>60000</v>
      </c>
      <c r="P1672" s="6">
        <v>1671</v>
      </c>
    </row>
    <row r="1673" spans="1:16">
      <c r="A1673" s="7" t="s">
        <v>169</v>
      </c>
      <c r="B1673" s="7" t="str">
        <f>TEXT(Table1[[#This Row],[Date]],"MMM")</f>
        <v>Feb</v>
      </c>
      <c r="C1673" t="s">
        <v>44</v>
      </c>
      <c r="D1673" t="s">
        <v>53</v>
      </c>
      <c r="E1673" t="s">
        <v>29</v>
      </c>
      <c r="F1673" t="s">
        <v>37</v>
      </c>
      <c r="G1673" t="s">
        <v>73</v>
      </c>
      <c r="H1673" t="s">
        <v>39</v>
      </c>
      <c r="I1673" s="9">
        <v>220000</v>
      </c>
      <c r="J1673">
        <v>7</v>
      </c>
      <c r="K1673" t="s">
        <v>33</v>
      </c>
      <c r="L1673" s="9">
        <f t="shared" si="26"/>
        <v>176000</v>
      </c>
      <c r="M1673" s="9">
        <f>Table1[[#This Row],[Unit Price]]*Table1[[#This Row],[Quantity]]</f>
        <v>1540000</v>
      </c>
      <c r="N1673" s="9">
        <f>Table1[[#This Row],[Cost Price]]*Table1[[#This Row],[Quantity]]</f>
        <v>1232000</v>
      </c>
      <c r="O1673" s="9">
        <f>Table1[[#This Row],[Revenue]]-Table1[[#This Row],[COGS]]</f>
        <v>308000</v>
      </c>
      <c r="P1673" s="6">
        <v>1672</v>
      </c>
    </row>
    <row r="1674" spans="1:16">
      <c r="A1674" s="7" t="s">
        <v>160</v>
      </c>
      <c r="B1674" s="7" t="str">
        <f>TEXT(Table1[[#This Row],[Date]],"MMM")</f>
        <v>Jan</v>
      </c>
      <c r="C1674" t="s">
        <v>49</v>
      </c>
      <c r="D1674" t="s">
        <v>36</v>
      </c>
      <c r="E1674" t="s">
        <v>29</v>
      </c>
      <c r="F1674" t="s">
        <v>37</v>
      </c>
      <c r="G1674" t="s">
        <v>62</v>
      </c>
      <c r="H1674" t="s">
        <v>51</v>
      </c>
      <c r="I1674" s="9">
        <v>150000</v>
      </c>
      <c r="J1674">
        <v>4</v>
      </c>
      <c r="K1674" t="s">
        <v>69</v>
      </c>
      <c r="L1674" s="9">
        <f t="shared" si="26"/>
        <v>120000</v>
      </c>
      <c r="M1674" s="9">
        <f>Table1[[#This Row],[Unit Price]]*Table1[[#This Row],[Quantity]]</f>
        <v>600000</v>
      </c>
      <c r="N1674" s="9">
        <f>Table1[[#This Row],[Cost Price]]*Table1[[#This Row],[Quantity]]</f>
        <v>480000</v>
      </c>
      <c r="O1674" s="9">
        <f>Table1[[#This Row],[Revenue]]-Table1[[#This Row],[COGS]]</f>
        <v>120000</v>
      </c>
      <c r="P1674" s="6">
        <v>1673</v>
      </c>
    </row>
    <row r="1675" spans="1:16">
      <c r="A1675" s="7" t="s">
        <v>116</v>
      </c>
      <c r="B1675" s="7" t="str">
        <f>TEXT(Table1[[#This Row],[Date]],"MMM")</f>
        <v>Apr</v>
      </c>
      <c r="C1675" t="s">
        <v>35</v>
      </c>
      <c r="D1675" t="s">
        <v>45</v>
      </c>
      <c r="E1675" t="s">
        <v>41</v>
      </c>
      <c r="F1675" t="s">
        <v>30</v>
      </c>
      <c r="G1675" t="s">
        <v>56</v>
      </c>
      <c r="H1675" t="s">
        <v>32</v>
      </c>
      <c r="I1675" s="9">
        <v>320000</v>
      </c>
      <c r="J1675">
        <v>6</v>
      </c>
      <c r="K1675" t="s">
        <v>33</v>
      </c>
      <c r="L1675" s="9">
        <f t="shared" si="26"/>
        <v>256000</v>
      </c>
      <c r="M1675" s="9">
        <f>Table1[[#This Row],[Unit Price]]*Table1[[#This Row],[Quantity]]</f>
        <v>1920000</v>
      </c>
      <c r="N1675" s="9">
        <f>Table1[[#This Row],[Cost Price]]*Table1[[#This Row],[Quantity]]</f>
        <v>1536000</v>
      </c>
      <c r="O1675" s="9">
        <f>Table1[[#This Row],[Revenue]]-Table1[[#This Row],[COGS]]</f>
        <v>384000</v>
      </c>
      <c r="P1675" s="6">
        <v>1674</v>
      </c>
    </row>
    <row r="1676" spans="1:16">
      <c r="A1676" s="7" t="s">
        <v>96</v>
      </c>
      <c r="B1676" s="7" t="str">
        <f>TEXT(Table1[[#This Row],[Date]],"MMM")</f>
        <v>Mar</v>
      </c>
      <c r="C1676" t="s">
        <v>44</v>
      </c>
      <c r="D1676" t="s">
        <v>28</v>
      </c>
      <c r="E1676" t="s">
        <v>29</v>
      </c>
      <c r="F1676" t="s">
        <v>37</v>
      </c>
      <c r="G1676" t="s">
        <v>56</v>
      </c>
      <c r="H1676" t="s">
        <v>32</v>
      </c>
      <c r="I1676" s="9">
        <v>320000</v>
      </c>
      <c r="J1676">
        <v>6</v>
      </c>
      <c r="K1676" t="s">
        <v>65</v>
      </c>
      <c r="L1676" s="9">
        <f t="shared" si="26"/>
        <v>256000</v>
      </c>
      <c r="M1676" s="9">
        <f>Table1[[#This Row],[Unit Price]]*Table1[[#This Row],[Quantity]]</f>
        <v>1920000</v>
      </c>
      <c r="N1676" s="9">
        <f>Table1[[#This Row],[Cost Price]]*Table1[[#This Row],[Quantity]]</f>
        <v>1536000</v>
      </c>
      <c r="O1676" s="9">
        <f>Table1[[#This Row],[Revenue]]-Table1[[#This Row],[COGS]]</f>
        <v>384000</v>
      </c>
      <c r="P1676" s="6">
        <v>1675</v>
      </c>
    </row>
    <row r="1677" spans="1:16">
      <c r="A1677" s="7" t="s">
        <v>40</v>
      </c>
      <c r="B1677" s="7" t="str">
        <f>TEXT(Table1[[#This Row],[Date]],"MMM")</f>
        <v>Feb</v>
      </c>
      <c r="C1677" t="s">
        <v>27</v>
      </c>
      <c r="D1677" t="s">
        <v>28</v>
      </c>
      <c r="E1677" t="s">
        <v>41</v>
      </c>
      <c r="F1677" t="s">
        <v>37</v>
      </c>
      <c r="G1677" t="s">
        <v>46</v>
      </c>
      <c r="H1677" t="s">
        <v>39</v>
      </c>
      <c r="I1677" s="9">
        <v>60000</v>
      </c>
      <c r="J1677">
        <v>4</v>
      </c>
      <c r="K1677" t="s">
        <v>65</v>
      </c>
      <c r="L1677" s="9">
        <f t="shared" si="26"/>
        <v>48000</v>
      </c>
      <c r="M1677" s="9">
        <f>Table1[[#This Row],[Unit Price]]*Table1[[#This Row],[Quantity]]</f>
        <v>240000</v>
      </c>
      <c r="N1677" s="9">
        <f>Table1[[#This Row],[Cost Price]]*Table1[[#This Row],[Quantity]]</f>
        <v>192000</v>
      </c>
      <c r="O1677" s="9">
        <f>Table1[[#This Row],[Revenue]]-Table1[[#This Row],[COGS]]</f>
        <v>48000</v>
      </c>
      <c r="P1677" s="6">
        <v>1676</v>
      </c>
    </row>
    <row r="1678" spans="1:16">
      <c r="A1678" s="7" t="s">
        <v>137</v>
      </c>
      <c r="B1678" s="7" t="str">
        <f>TEXT(Table1[[#This Row],[Date]],"MMM")</f>
        <v>Apr</v>
      </c>
      <c r="C1678" t="s">
        <v>49</v>
      </c>
      <c r="D1678" t="s">
        <v>36</v>
      </c>
      <c r="E1678" t="s">
        <v>29</v>
      </c>
      <c r="F1678" t="s">
        <v>30</v>
      </c>
      <c r="G1678" t="s">
        <v>31</v>
      </c>
      <c r="H1678" t="s">
        <v>32</v>
      </c>
      <c r="I1678" s="9">
        <v>85000</v>
      </c>
      <c r="J1678">
        <v>8</v>
      </c>
      <c r="K1678" t="s">
        <v>42</v>
      </c>
      <c r="L1678" s="9">
        <f t="shared" si="26"/>
        <v>68000</v>
      </c>
      <c r="M1678" s="9">
        <f>Table1[[#This Row],[Unit Price]]*Table1[[#This Row],[Quantity]]</f>
        <v>680000</v>
      </c>
      <c r="N1678" s="9">
        <f>Table1[[#This Row],[Cost Price]]*Table1[[#This Row],[Quantity]]</f>
        <v>544000</v>
      </c>
      <c r="O1678" s="9">
        <f>Table1[[#This Row],[Revenue]]-Table1[[#This Row],[COGS]]</f>
        <v>136000</v>
      </c>
      <c r="P1678" s="6">
        <v>1677</v>
      </c>
    </row>
    <row r="1679" spans="1:16">
      <c r="A1679" s="7" t="s">
        <v>174</v>
      </c>
      <c r="B1679" s="7" t="str">
        <f>TEXT(Table1[[#This Row],[Date]],"MMM")</f>
        <v>Feb</v>
      </c>
      <c r="C1679" t="s">
        <v>44</v>
      </c>
      <c r="D1679" t="s">
        <v>45</v>
      </c>
      <c r="E1679" t="s">
        <v>41</v>
      </c>
      <c r="F1679" t="s">
        <v>30</v>
      </c>
      <c r="G1679" t="s">
        <v>31</v>
      </c>
      <c r="H1679" t="s">
        <v>32</v>
      </c>
      <c r="I1679" s="9">
        <v>85000</v>
      </c>
      <c r="J1679">
        <v>2</v>
      </c>
      <c r="K1679" t="s">
        <v>69</v>
      </c>
      <c r="L1679" s="9">
        <f t="shared" si="26"/>
        <v>68000</v>
      </c>
      <c r="M1679" s="9">
        <f>Table1[[#This Row],[Unit Price]]*Table1[[#This Row],[Quantity]]</f>
        <v>170000</v>
      </c>
      <c r="N1679" s="9">
        <f>Table1[[#This Row],[Cost Price]]*Table1[[#This Row],[Quantity]]</f>
        <v>136000</v>
      </c>
      <c r="O1679" s="9">
        <f>Table1[[#This Row],[Revenue]]-Table1[[#This Row],[COGS]]</f>
        <v>34000</v>
      </c>
      <c r="P1679" s="6">
        <v>1678</v>
      </c>
    </row>
    <row r="1680" spans="1:16">
      <c r="A1680" s="7" t="s">
        <v>80</v>
      </c>
      <c r="B1680" s="7" t="str">
        <f>TEXT(Table1[[#This Row],[Date]],"MMM")</f>
        <v>Feb</v>
      </c>
      <c r="C1680" t="s">
        <v>49</v>
      </c>
      <c r="D1680" t="s">
        <v>45</v>
      </c>
      <c r="E1680" t="s">
        <v>41</v>
      </c>
      <c r="F1680" t="s">
        <v>37</v>
      </c>
      <c r="G1680" t="s">
        <v>31</v>
      </c>
      <c r="H1680" t="s">
        <v>32</v>
      </c>
      <c r="I1680" s="9">
        <v>85000</v>
      </c>
      <c r="J1680">
        <v>9</v>
      </c>
      <c r="K1680" t="s">
        <v>33</v>
      </c>
      <c r="L1680" s="9">
        <f t="shared" si="26"/>
        <v>68000</v>
      </c>
      <c r="M1680" s="9">
        <f>Table1[[#This Row],[Unit Price]]*Table1[[#This Row],[Quantity]]</f>
        <v>765000</v>
      </c>
      <c r="N1680" s="9">
        <f>Table1[[#This Row],[Cost Price]]*Table1[[#This Row],[Quantity]]</f>
        <v>612000</v>
      </c>
      <c r="O1680" s="9">
        <f>Table1[[#This Row],[Revenue]]-Table1[[#This Row],[COGS]]</f>
        <v>153000</v>
      </c>
      <c r="P1680" s="6">
        <v>1679</v>
      </c>
    </row>
    <row r="1681" spans="1:16">
      <c r="A1681" s="7" t="s">
        <v>129</v>
      </c>
      <c r="B1681" s="7" t="str">
        <f>TEXT(Table1[[#This Row],[Date]],"MMM")</f>
        <v>Mar</v>
      </c>
      <c r="C1681" t="s">
        <v>44</v>
      </c>
      <c r="D1681" t="s">
        <v>45</v>
      </c>
      <c r="E1681" t="s">
        <v>29</v>
      </c>
      <c r="F1681" t="s">
        <v>37</v>
      </c>
      <c r="G1681" t="s">
        <v>67</v>
      </c>
      <c r="H1681" t="s">
        <v>51</v>
      </c>
      <c r="I1681" s="9">
        <v>420000</v>
      </c>
      <c r="J1681">
        <v>3</v>
      </c>
      <c r="K1681" t="s">
        <v>58</v>
      </c>
      <c r="L1681" s="9">
        <f t="shared" si="26"/>
        <v>336000</v>
      </c>
      <c r="M1681" s="9">
        <f>Table1[[#This Row],[Unit Price]]*Table1[[#This Row],[Quantity]]</f>
        <v>1260000</v>
      </c>
      <c r="N1681" s="9">
        <f>Table1[[#This Row],[Cost Price]]*Table1[[#This Row],[Quantity]]</f>
        <v>1008000</v>
      </c>
      <c r="O1681" s="9">
        <f>Table1[[#This Row],[Revenue]]-Table1[[#This Row],[COGS]]</f>
        <v>252000</v>
      </c>
      <c r="P1681" s="6">
        <v>1680</v>
      </c>
    </row>
    <row r="1682" spans="1:16">
      <c r="A1682" s="7" t="s">
        <v>141</v>
      </c>
      <c r="B1682" s="7" t="str">
        <f>TEXT(Table1[[#This Row],[Date]],"MMM")</f>
        <v>Mar</v>
      </c>
      <c r="C1682" t="s">
        <v>49</v>
      </c>
      <c r="D1682" t="s">
        <v>36</v>
      </c>
      <c r="E1682" t="s">
        <v>29</v>
      </c>
      <c r="F1682" t="s">
        <v>30</v>
      </c>
      <c r="G1682" t="s">
        <v>50</v>
      </c>
      <c r="H1682" t="s">
        <v>51</v>
      </c>
      <c r="I1682" s="9">
        <v>300000</v>
      </c>
      <c r="J1682">
        <v>5</v>
      </c>
      <c r="K1682" t="s">
        <v>58</v>
      </c>
      <c r="L1682" s="9">
        <f t="shared" si="26"/>
        <v>240000</v>
      </c>
      <c r="M1682" s="9">
        <f>Table1[[#This Row],[Unit Price]]*Table1[[#This Row],[Quantity]]</f>
        <v>1500000</v>
      </c>
      <c r="N1682" s="9">
        <f>Table1[[#This Row],[Cost Price]]*Table1[[#This Row],[Quantity]]</f>
        <v>1200000</v>
      </c>
      <c r="O1682" s="9">
        <f>Table1[[#This Row],[Revenue]]-Table1[[#This Row],[COGS]]</f>
        <v>300000</v>
      </c>
      <c r="P1682" s="6">
        <v>1681</v>
      </c>
    </row>
    <row r="1683" spans="1:16">
      <c r="A1683" s="7" t="s">
        <v>102</v>
      </c>
      <c r="B1683" s="7" t="str">
        <f>TEXT(Table1[[#This Row],[Date]],"MMM")</f>
        <v>Mar</v>
      </c>
      <c r="C1683" t="s">
        <v>35</v>
      </c>
      <c r="D1683" t="s">
        <v>45</v>
      </c>
      <c r="E1683" t="s">
        <v>41</v>
      </c>
      <c r="F1683" t="s">
        <v>37</v>
      </c>
      <c r="G1683" t="s">
        <v>38</v>
      </c>
      <c r="H1683" t="s">
        <v>39</v>
      </c>
      <c r="I1683" s="9">
        <v>30000</v>
      </c>
      <c r="J1683">
        <v>1</v>
      </c>
      <c r="K1683" t="s">
        <v>33</v>
      </c>
      <c r="L1683" s="9">
        <f t="shared" si="26"/>
        <v>24000</v>
      </c>
      <c r="M1683" s="9">
        <f>Table1[[#This Row],[Unit Price]]*Table1[[#This Row],[Quantity]]</f>
        <v>30000</v>
      </c>
      <c r="N1683" s="9">
        <f>Table1[[#This Row],[Cost Price]]*Table1[[#This Row],[Quantity]]</f>
        <v>24000</v>
      </c>
      <c r="O1683" s="9">
        <f>Table1[[#This Row],[Revenue]]-Table1[[#This Row],[COGS]]</f>
        <v>6000</v>
      </c>
      <c r="P1683" s="6">
        <v>1682</v>
      </c>
    </row>
    <row r="1684" spans="1:16">
      <c r="A1684" s="7" t="s">
        <v>139</v>
      </c>
      <c r="B1684" s="7" t="str">
        <f>TEXT(Table1[[#This Row],[Date]],"MMM")</f>
        <v>Jan</v>
      </c>
      <c r="C1684" t="s">
        <v>27</v>
      </c>
      <c r="D1684" t="s">
        <v>53</v>
      </c>
      <c r="E1684" t="s">
        <v>41</v>
      </c>
      <c r="F1684" t="s">
        <v>37</v>
      </c>
      <c r="G1684" t="s">
        <v>73</v>
      </c>
      <c r="H1684" t="s">
        <v>39</v>
      </c>
      <c r="I1684" s="9">
        <v>220000</v>
      </c>
      <c r="J1684">
        <v>8</v>
      </c>
      <c r="K1684" t="s">
        <v>65</v>
      </c>
      <c r="L1684" s="9">
        <f t="shared" si="26"/>
        <v>176000</v>
      </c>
      <c r="M1684" s="9">
        <f>Table1[[#This Row],[Unit Price]]*Table1[[#This Row],[Quantity]]</f>
        <v>1760000</v>
      </c>
      <c r="N1684" s="9">
        <f>Table1[[#This Row],[Cost Price]]*Table1[[#This Row],[Quantity]]</f>
        <v>1408000</v>
      </c>
      <c r="O1684" s="9">
        <f>Table1[[#This Row],[Revenue]]-Table1[[#This Row],[COGS]]</f>
        <v>352000</v>
      </c>
      <c r="P1684" s="6">
        <v>1683</v>
      </c>
    </row>
    <row r="1685" spans="1:16">
      <c r="A1685" s="7" t="s">
        <v>52</v>
      </c>
      <c r="B1685" s="7" t="str">
        <f>TEXT(Table1[[#This Row],[Date]],"MMM")</f>
        <v>Mar</v>
      </c>
      <c r="C1685" t="s">
        <v>49</v>
      </c>
      <c r="D1685" t="s">
        <v>28</v>
      </c>
      <c r="E1685" t="s">
        <v>41</v>
      </c>
      <c r="F1685" t="s">
        <v>30</v>
      </c>
      <c r="G1685" t="s">
        <v>56</v>
      </c>
      <c r="H1685" t="s">
        <v>32</v>
      </c>
      <c r="I1685" s="9">
        <v>320000</v>
      </c>
      <c r="J1685">
        <v>5</v>
      </c>
      <c r="K1685" t="s">
        <v>33</v>
      </c>
      <c r="L1685" s="9">
        <f t="shared" si="26"/>
        <v>256000</v>
      </c>
      <c r="M1685" s="9">
        <f>Table1[[#This Row],[Unit Price]]*Table1[[#This Row],[Quantity]]</f>
        <v>1600000</v>
      </c>
      <c r="N1685" s="9">
        <f>Table1[[#This Row],[Cost Price]]*Table1[[#This Row],[Quantity]]</f>
        <v>1280000</v>
      </c>
      <c r="O1685" s="9">
        <f>Table1[[#This Row],[Revenue]]-Table1[[#This Row],[COGS]]</f>
        <v>320000</v>
      </c>
      <c r="P1685" s="6">
        <v>1684</v>
      </c>
    </row>
    <row r="1686" spans="1:16">
      <c r="A1686" s="7" t="s">
        <v>104</v>
      </c>
      <c r="B1686" s="7" t="str">
        <f>TEXT(Table1[[#This Row],[Date]],"MMM")</f>
        <v>Mar</v>
      </c>
      <c r="C1686" t="s">
        <v>35</v>
      </c>
      <c r="D1686" t="s">
        <v>36</v>
      </c>
      <c r="E1686" t="s">
        <v>41</v>
      </c>
      <c r="F1686" t="s">
        <v>30</v>
      </c>
      <c r="G1686" t="s">
        <v>50</v>
      </c>
      <c r="H1686" t="s">
        <v>51</v>
      </c>
      <c r="I1686" s="9">
        <v>300000</v>
      </c>
      <c r="J1686">
        <v>10</v>
      </c>
      <c r="K1686" t="s">
        <v>58</v>
      </c>
      <c r="L1686" s="9">
        <f t="shared" si="26"/>
        <v>240000</v>
      </c>
      <c r="M1686" s="9">
        <f>Table1[[#This Row],[Unit Price]]*Table1[[#This Row],[Quantity]]</f>
        <v>3000000</v>
      </c>
      <c r="N1686" s="9">
        <f>Table1[[#This Row],[Cost Price]]*Table1[[#This Row],[Quantity]]</f>
        <v>2400000</v>
      </c>
      <c r="O1686" s="9">
        <f>Table1[[#This Row],[Revenue]]-Table1[[#This Row],[COGS]]</f>
        <v>600000</v>
      </c>
      <c r="P1686" s="6">
        <v>1685</v>
      </c>
    </row>
    <row r="1687" spans="1:16">
      <c r="A1687" s="7" t="s">
        <v>81</v>
      </c>
      <c r="B1687" s="7" t="str">
        <f>TEXT(Table1[[#This Row],[Date]],"MMM")</f>
        <v>Mar</v>
      </c>
      <c r="C1687" t="s">
        <v>49</v>
      </c>
      <c r="D1687" t="s">
        <v>28</v>
      </c>
      <c r="E1687" t="s">
        <v>29</v>
      </c>
      <c r="F1687" t="s">
        <v>37</v>
      </c>
      <c r="G1687" t="s">
        <v>73</v>
      </c>
      <c r="H1687" t="s">
        <v>39</v>
      </c>
      <c r="I1687" s="9">
        <v>220000</v>
      </c>
      <c r="J1687">
        <v>1</v>
      </c>
      <c r="K1687" t="s">
        <v>33</v>
      </c>
      <c r="L1687" s="9">
        <f t="shared" si="26"/>
        <v>176000</v>
      </c>
      <c r="M1687" s="9">
        <f>Table1[[#This Row],[Unit Price]]*Table1[[#This Row],[Quantity]]</f>
        <v>220000</v>
      </c>
      <c r="N1687" s="9">
        <f>Table1[[#This Row],[Cost Price]]*Table1[[#This Row],[Quantity]]</f>
        <v>176000</v>
      </c>
      <c r="O1687" s="9">
        <f>Table1[[#This Row],[Revenue]]-Table1[[#This Row],[COGS]]</f>
        <v>44000</v>
      </c>
      <c r="P1687" s="6">
        <v>1686</v>
      </c>
    </row>
    <row r="1688" spans="1:16">
      <c r="A1688" s="7" t="s">
        <v>170</v>
      </c>
      <c r="B1688" s="7" t="str">
        <f>TEXT(Table1[[#This Row],[Date]],"MMM")</f>
        <v>Jan</v>
      </c>
      <c r="C1688" t="s">
        <v>44</v>
      </c>
      <c r="D1688" t="s">
        <v>45</v>
      </c>
      <c r="E1688" t="s">
        <v>41</v>
      </c>
      <c r="F1688" t="s">
        <v>30</v>
      </c>
      <c r="G1688" t="s">
        <v>38</v>
      </c>
      <c r="H1688" t="s">
        <v>39</v>
      </c>
      <c r="I1688" s="9">
        <v>30000</v>
      </c>
      <c r="J1688">
        <v>6</v>
      </c>
      <c r="K1688" t="s">
        <v>42</v>
      </c>
      <c r="L1688" s="9">
        <f t="shared" si="26"/>
        <v>24000</v>
      </c>
      <c r="M1688" s="9">
        <f>Table1[[#This Row],[Unit Price]]*Table1[[#This Row],[Quantity]]</f>
        <v>180000</v>
      </c>
      <c r="N1688" s="9">
        <f>Table1[[#This Row],[Cost Price]]*Table1[[#This Row],[Quantity]]</f>
        <v>144000</v>
      </c>
      <c r="O1688" s="9">
        <f>Table1[[#This Row],[Revenue]]-Table1[[#This Row],[COGS]]</f>
        <v>36000</v>
      </c>
      <c r="P1688" s="6">
        <v>1687</v>
      </c>
    </row>
    <row r="1689" spans="1:16">
      <c r="A1689" s="7" t="s">
        <v>112</v>
      </c>
      <c r="B1689" s="7" t="str">
        <f>TEXT(Table1[[#This Row],[Date]],"MMM")</f>
        <v>Feb</v>
      </c>
      <c r="C1689" t="s">
        <v>49</v>
      </c>
      <c r="D1689" t="s">
        <v>36</v>
      </c>
      <c r="E1689" t="s">
        <v>29</v>
      </c>
      <c r="F1689" t="s">
        <v>30</v>
      </c>
      <c r="G1689" t="s">
        <v>67</v>
      </c>
      <c r="H1689" t="s">
        <v>51</v>
      </c>
      <c r="I1689" s="9">
        <v>420000</v>
      </c>
      <c r="J1689">
        <v>1</v>
      </c>
      <c r="K1689" t="s">
        <v>69</v>
      </c>
      <c r="L1689" s="9">
        <f t="shared" si="26"/>
        <v>336000</v>
      </c>
      <c r="M1689" s="9">
        <f>Table1[[#This Row],[Unit Price]]*Table1[[#This Row],[Quantity]]</f>
        <v>420000</v>
      </c>
      <c r="N1689" s="9">
        <f>Table1[[#This Row],[Cost Price]]*Table1[[#This Row],[Quantity]]</f>
        <v>336000</v>
      </c>
      <c r="O1689" s="9">
        <f>Table1[[#This Row],[Revenue]]-Table1[[#This Row],[COGS]]</f>
        <v>84000</v>
      </c>
      <c r="P1689" s="6">
        <v>1688</v>
      </c>
    </row>
    <row r="1690" spans="1:16">
      <c r="A1690" s="7" t="s">
        <v>175</v>
      </c>
      <c r="B1690" s="7" t="str">
        <f>TEXT(Table1[[#This Row],[Date]],"MMM")</f>
        <v>Jan</v>
      </c>
      <c r="C1690" t="s">
        <v>44</v>
      </c>
      <c r="D1690" t="s">
        <v>53</v>
      </c>
      <c r="E1690" t="s">
        <v>41</v>
      </c>
      <c r="F1690" t="s">
        <v>37</v>
      </c>
      <c r="G1690" t="s">
        <v>67</v>
      </c>
      <c r="H1690" t="s">
        <v>51</v>
      </c>
      <c r="I1690" s="9">
        <v>420000</v>
      </c>
      <c r="J1690">
        <v>6</v>
      </c>
      <c r="K1690" t="s">
        <v>65</v>
      </c>
      <c r="L1690" s="9">
        <f t="shared" si="26"/>
        <v>336000</v>
      </c>
      <c r="M1690" s="9">
        <f>Table1[[#This Row],[Unit Price]]*Table1[[#This Row],[Quantity]]</f>
        <v>2520000</v>
      </c>
      <c r="N1690" s="9">
        <f>Table1[[#This Row],[Cost Price]]*Table1[[#This Row],[Quantity]]</f>
        <v>2016000</v>
      </c>
      <c r="O1690" s="9">
        <f>Table1[[#This Row],[Revenue]]-Table1[[#This Row],[COGS]]</f>
        <v>504000</v>
      </c>
      <c r="P1690" s="6">
        <v>1689</v>
      </c>
    </row>
    <row r="1691" spans="1:16">
      <c r="A1691" s="7" t="s">
        <v>153</v>
      </c>
      <c r="B1691" s="7" t="str">
        <f>TEXT(Table1[[#This Row],[Date]],"MMM")</f>
        <v>Mar</v>
      </c>
      <c r="C1691" t="s">
        <v>44</v>
      </c>
      <c r="D1691" t="s">
        <v>53</v>
      </c>
      <c r="E1691" t="s">
        <v>29</v>
      </c>
      <c r="F1691" t="s">
        <v>37</v>
      </c>
      <c r="G1691" t="s">
        <v>31</v>
      </c>
      <c r="H1691" t="s">
        <v>32</v>
      </c>
      <c r="I1691" s="9">
        <v>85000</v>
      </c>
      <c r="J1691">
        <v>7</v>
      </c>
      <c r="K1691" t="s">
        <v>58</v>
      </c>
      <c r="L1691" s="9">
        <f t="shared" si="26"/>
        <v>68000</v>
      </c>
      <c r="M1691" s="9">
        <f>Table1[[#This Row],[Unit Price]]*Table1[[#This Row],[Quantity]]</f>
        <v>595000</v>
      </c>
      <c r="N1691" s="9">
        <f>Table1[[#This Row],[Cost Price]]*Table1[[#This Row],[Quantity]]</f>
        <v>476000</v>
      </c>
      <c r="O1691" s="9">
        <f>Table1[[#This Row],[Revenue]]-Table1[[#This Row],[COGS]]</f>
        <v>119000</v>
      </c>
      <c r="P1691" s="6">
        <v>1690</v>
      </c>
    </row>
    <row r="1692" spans="1:16">
      <c r="A1692" s="7" t="s">
        <v>94</v>
      </c>
      <c r="B1692" s="7" t="str">
        <f>TEXT(Table1[[#This Row],[Date]],"MMM")</f>
        <v>Jan</v>
      </c>
      <c r="C1692" t="s">
        <v>44</v>
      </c>
      <c r="D1692" t="s">
        <v>36</v>
      </c>
      <c r="E1692" t="s">
        <v>41</v>
      </c>
      <c r="F1692" t="s">
        <v>37</v>
      </c>
      <c r="G1692" t="s">
        <v>62</v>
      </c>
      <c r="H1692" t="s">
        <v>51</v>
      </c>
      <c r="I1692" s="9">
        <v>150000</v>
      </c>
      <c r="J1692">
        <v>7</v>
      </c>
      <c r="K1692" t="s">
        <v>69</v>
      </c>
      <c r="L1692" s="9">
        <f t="shared" si="26"/>
        <v>120000</v>
      </c>
      <c r="M1692" s="9">
        <f>Table1[[#This Row],[Unit Price]]*Table1[[#This Row],[Quantity]]</f>
        <v>1050000</v>
      </c>
      <c r="N1692" s="9">
        <f>Table1[[#This Row],[Cost Price]]*Table1[[#This Row],[Quantity]]</f>
        <v>840000</v>
      </c>
      <c r="O1692" s="9">
        <f>Table1[[#This Row],[Revenue]]-Table1[[#This Row],[COGS]]</f>
        <v>210000</v>
      </c>
      <c r="P1692" s="6">
        <v>1691</v>
      </c>
    </row>
    <row r="1693" spans="1:16">
      <c r="A1693" s="7" t="s">
        <v>160</v>
      </c>
      <c r="B1693" s="7" t="str">
        <f>TEXT(Table1[[#This Row],[Date]],"MMM")</f>
        <v>Jan</v>
      </c>
      <c r="C1693" t="s">
        <v>27</v>
      </c>
      <c r="D1693" t="s">
        <v>36</v>
      </c>
      <c r="E1693" t="s">
        <v>29</v>
      </c>
      <c r="F1693" t="s">
        <v>37</v>
      </c>
      <c r="G1693" t="s">
        <v>62</v>
      </c>
      <c r="H1693" t="s">
        <v>51</v>
      </c>
      <c r="I1693" s="9">
        <v>150000</v>
      </c>
      <c r="J1693">
        <v>10</v>
      </c>
      <c r="K1693" t="s">
        <v>33</v>
      </c>
      <c r="L1693" s="9">
        <f t="shared" si="26"/>
        <v>120000</v>
      </c>
      <c r="M1693" s="9">
        <f>Table1[[#This Row],[Unit Price]]*Table1[[#This Row],[Quantity]]</f>
        <v>1500000</v>
      </c>
      <c r="N1693" s="9">
        <f>Table1[[#This Row],[Cost Price]]*Table1[[#This Row],[Quantity]]</f>
        <v>1200000</v>
      </c>
      <c r="O1693" s="9">
        <f>Table1[[#This Row],[Revenue]]-Table1[[#This Row],[COGS]]</f>
        <v>300000</v>
      </c>
      <c r="P1693" s="6">
        <v>1692</v>
      </c>
    </row>
    <row r="1694" spans="1:16">
      <c r="A1694" s="7" t="s">
        <v>104</v>
      </c>
      <c r="B1694" s="7" t="str">
        <f>TEXT(Table1[[#This Row],[Date]],"MMM")</f>
        <v>Mar</v>
      </c>
      <c r="C1694" t="s">
        <v>35</v>
      </c>
      <c r="D1694" t="s">
        <v>28</v>
      </c>
      <c r="E1694" t="s">
        <v>29</v>
      </c>
      <c r="F1694" t="s">
        <v>37</v>
      </c>
      <c r="G1694" t="s">
        <v>38</v>
      </c>
      <c r="H1694" t="s">
        <v>39</v>
      </c>
      <c r="I1694" s="9">
        <v>30000</v>
      </c>
      <c r="J1694">
        <v>9</v>
      </c>
      <c r="K1694" t="s">
        <v>33</v>
      </c>
      <c r="L1694" s="9">
        <f t="shared" si="26"/>
        <v>24000</v>
      </c>
      <c r="M1694" s="9">
        <f>Table1[[#This Row],[Unit Price]]*Table1[[#This Row],[Quantity]]</f>
        <v>270000</v>
      </c>
      <c r="N1694" s="9">
        <f>Table1[[#This Row],[Cost Price]]*Table1[[#This Row],[Quantity]]</f>
        <v>216000</v>
      </c>
      <c r="O1694" s="9">
        <f>Table1[[#This Row],[Revenue]]-Table1[[#This Row],[COGS]]</f>
        <v>54000</v>
      </c>
      <c r="P1694" s="6">
        <v>1693</v>
      </c>
    </row>
    <row r="1695" spans="1:16">
      <c r="A1695" s="7" t="s">
        <v>157</v>
      </c>
      <c r="B1695" s="7" t="str">
        <f>TEXT(Table1[[#This Row],[Date]],"MMM")</f>
        <v>Apr</v>
      </c>
      <c r="C1695" t="s">
        <v>44</v>
      </c>
      <c r="D1695" t="s">
        <v>45</v>
      </c>
      <c r="E1695" t="s">
        <v>41</v>
      </c>
      <c r="F1695" t="s">
        <v>30</v>
      </c>
      <c r="G1695" t="s">
        <v>56</v>
      </c>
      <c r="H1695" t="s">
        <v>32</v>
      </c>
      <c r="I1695" s="9">
        <v>320000</v>
      </c>
      <c r="J1695">
        <v>8</v>
      </c>
      <c r="K1695" t="s">
        <v>65</v>
      </c>
      <c r="L1695" s="9">
        <f t="shared" si="26"/>
        <v>256000</v>
      </c>
      <c r="M1695" s="9">
        <f>Table1[[#This Row],[Unit Price]]*Table1[[#This Row],[Quantity]]</f>
        <v>2560000</v>
      </c>
      <c r="N1695" s="9">
        <f>Table1[[#This Row],[Cost Price]]*Table1[[#This Row],[Quantity]]</f>
        <v>2048000</v>
      </c>
      <c r="O1695" s="9">
        <f>Table1[[#This Row],[Revenue]]-Table1[[#This Row],[COGS]]</f>
        <v>512000</v>
      </c>
      <c r="P1695" s="6">
        <v>1694</v>
      </c>
    </row>
    <row r="1696" spans="1:16">
      <c r="A1696" s="7" t="s">
        <v>75</v>
      </c>
      <c r="B1696" s="7" t="str">
        <f>TEXT(Table1[[#This Row],[Date]],"MMM")</f>
        <v>Mar</v>
      </c>
      <c r="C1696" t="s">
        <v>35</v>
      </c>
      <c r="D1696" t="s">
        <v>53</v>
      </c>
      <c r="E1696" t="s">
        <v>29</v>
      </c>
      <c r="F1696" t="s">
        <v>37</v>
      </c>
      <c r="G1696" t="s">
        <v>38</v>
      </c>
      <c r="H1696" t="s">
        <v>39</v>
      </c>
      <c r="I1696" s="9">
        <v>30000</v>
      </c>
      <c r="J1696">
        <v>9</v>
      </c>
      <c r="K1696" t="s">
        <v>47</v>
      </c>
      <c r="L1696" s="9">
        <f t="shared" si="26"/>
        <v>24000</v>
      </c>
      <c r="M1696" s="9">
        <f>Table1[[#This Row],[Unit Price]]*Table1[[#This Row],[Quantity]]</f>
        <v>270000</v>
      </c>
      <c r="N1696" s="9">
        <f>Table1[[#This Row],[Cost Price]]*Table1[[#This Row],[Quantity]]</f>
        <v>216000</v>
      </c>
      <c r="O1696" s="9">
        <f>Table1[[#This Row],[Revenue]]-Table1[[#This Row],[COGS]]</f>
        <v>54000</v>
      </c>
      <c r="P1696" s="6">
        <v>1695</v>
      </c>
    </row>
    <row r="1697" spans="1:16">
      <c r="A1697" s="7" t="s">
        <v>143</v>
      </c>
      <c r="B1697" s="7" t="str">
        <f>TEXT(Table1[[#This Row],[Date]],"MMM")</f>
        <v>Apr</v>
      </c>
      <c r="C1697" t="s">
        <v>35</v>
      </c>
      <c r="D1697" t="s">
        <v>45</v>
      </c>
      <c r="E1697" t="s">
        <v>41</v>
      </c>
      <c r="F1697" t="s">
        <v>30</v>
      </c>
      <c r="G1697" t="s">
        <v>71</v>
      </c>
      <c r="H1697" t="s">
        <v>51</v>
      </c>
      <c r="I1697" s="9">
        <v>250000</v>
      </c>
      <c r="J1697">
        <v>3</v>
      </c>
      <c r="K1697" t="s">
        <v>42</v>
      </c>
      <c r="L1697" s="9">
        <f t="shared" si="26"/>
        <v>200000</v>
      </c>
      <c r="M1697" s="9">
        <f>Table1[[#This Row],[Unit Price]]*Table1[[#This Row],[Quantity]]</f>
        <v>750000</v>
      </c>
      <c r="N1697" s="9">
        <f>Table1[[#This Row],[Cost Price]]*Table1[[#This Row],[Quantity]]</f>
        <v>600000</v>
      </c>
      <c r="O1697" s="9">
        <f>Table1[[#This Row],[Revenue]]-Table1[[#This Row],[COGS]]</f>
        <v>150000</v>
      </c>
      <c r="P1697" s="6">
        <v>1696</v>
      </c>
    </row>
    <row r="1698" spans="1:16">
      <c r="A1698" s="7" t="s">
        <v>146</v>
      </c>
      <c r="B1698" s="7" t="str">
        <f>TEXT(Table1[[#This Row],[Date]],"MMM")</f>
        <v>Jan</v>
      </c>
      <c r="C1698" t="s">
        <v>35</v>
      </c>
      <c r="D1698" t="s">
        <v>36</v>
      </c>
      <c r="E1698" t="s">
        <v>41</v>
      </c>
      <c r="F1698" t="s">
        <v>30</v>
      </c>
      <c r="G1698" t="s">
        <v>46</v>
      </c>
      <c r="H1698" t="s">
        <v>39</v>
      </c>
      <c r="I1698" s="9">
        <v>60000</v>
      </c>
      <c r="J1698">
        <v>2</v>
      </c>
      <c r="K1698" t="s">
        <v>42</v>
      </c>
      <c r="L1698" s="9">
        <f t="shared" si="26"/>
        <v>48000</v>
      </c>
      <c r="M1698" s="9">
        <f>Table1[[#This Row],[Unit Price]]*Table1[[#This Row],[Quantity]]</f>
        <v>120000</v>
      </c>
      <c r="N1698" s="9">
        <f>Table1[[#This Row],[Cost Price]]*Table1[[#This Row],[Quantity]]</f>
        <v>96000</v>
      </c>
      <c r="O1698" s="9">
        <f>Table1[[#This Row],[Revenue]]-Table1[[#This Row],[COGS]]</f>
        <v>24000</v>
      </c>
      <c r="P1698" s="6">
        <v>1697</v>
      </c>
    </row>
    <row r="1699" spans="1:16">
      <c r="A1699" s="7" t="s">
        <v>105</v>
      </c>
      <c r="B1699" s="7" t="str">
        <f>TEXT(Table1[[#This Row],[Date]],"MMM")</f>
        <v>Mar</v>
      </c>
      <c r="C1699" t="s">
        <v>27</v>
      </c>
      <c r="D1699" t="s">
        <v>53</v>
      </c>
      <c r="E1699" t="s">
        <v>29</v>
      </c>
      <c r="F1699" t="s">
        <v>37</v>
      </c>
      <c r="G1699" t="s">
        <v>56</v>
      </c>
      <c r="H1699" t="s">
        <v>32</v>
      </c>
      <c r="I1699" s="9">
        <v>320000</v>
      </c>
      <c r="J1699">
        <v>3</v>
      </c>
      <c r="K1699" t="s">
        <v>47</v>
      </c>
      <c r="L1699" s="9">
        <f t="shared" si="26"/>
        <v>256000</v>
      </c>
      <c r="M1699" s="9">
        <f>Table1[[#This Row],[Unit Price]]*Table1[[#This Row],[Quantity]]</f>
        <v>960000</v>
      </c>
      <c r="N1699" s="9">
        <f>Table1[[#This Row],[Cost Price]]*Table1[[#This Row],[Quantity]]</f>
        <v>768000</v>
      </c>
      <c r="O1699" s="9">
        <f>Table1[[#This Row],[Revenue]]-Table1[[#This Row],[COGS]]</f>
        <v>192000</v>
      </c>
      <c r="P1699" s="6">
        <v>1698</v>
      </c>
    </row>
    <row r="1700" spans="1:16">
      <c r="A1700" s="7" t="s">
        <v>153</v>
      </c>
      <c r="B1700" s="7" t="str">
        <f>TEXT(Table1[[#This Row],[Date]],"MMM")</f>
        <v>Mar</v>
      </c>
      <c r="C1700" t="s">
        <v>35</v>
      </c>
      <c r="D1700" t="s">
        <v>45</v>
      </c>
      <c r="E1700" t="s">
        <v>29</v>
      </c>
      <c r="F1700" t="s">
        <v>30</v>
      </c>
      <c r="G1700" t="s">
        <v>50</v>
      </c>
      <c r="H1700" t="s">
        <v>51</v>
      </c>
      <c r="I1700" s="9">
        <v>300000</v>
      </c>
      <c r="J1700">
        <v>9</v>
      </c>
      <c r="K1700" t="s">
        <v>42</v>
      </c>
      <c r="L1700" s="9">
        <f t="shared" si="26"/>
        <v>240000</v>
      </c>
      <c r="M1700" s="9">
        <f>Table1[[#This Row],[Unit Price]]*Table1[[#This Row],[Quantity]]</f>
        <v>2700000</v>
      </c>
      <c r="N1700" s="9">
        <f>Table1[[#This Row],[Cost Price]]*Table1[[#This Row],[Quantity]]</f>
        <v>2160000</v>
      </c>
      <c r="O1700" s="9">
        <f>Table1[[#This Row],[Revenue]]-Table1[[#This Row],[COGS]]</f>
        <v>540000</v>
      </c>
      <c r="P1700" s="6">
        <v>1699</v>
      </c>
    </row>
    <row r="1701" spans="1:16">
      <c r="A1701" s="7" t="s">
        <v>110</v>
      </c>
      <c r="B1701" s="7" t="str">
        <f>TEXT(Table1[[#This Row],[Date]],"MMM")</f>
        <v>Jan</v>
      </c>
      <c r="C1701" t="s">
        <v>35</v>
      </c>
      <c r="D1701" t="s">
        <v>53</v>
      </c>
      <c r="E1701" t="s">
        <v>29</v>
      </c>
      <c r="F1701" t="s">
        <v>30</v>
      </c>
      <c r="G1701" t="s">
        <v>67</v>
      </c>
      <c r="H1701" t="s">
        <v>51</v>
      </c>
      <c r="I1701" s="9">
        <v>420000</v>
      </c>
      <c r="J1701">
        <v>4</v>
      </c>
      <c r="K1701" t="s">
        <v>69</v>
      </c>
      <c r="L1701" s="9">
        <f t="shared" si="26"/>
        <v>336000</v>
      </c>
      <c r="M1701" s="9">
        <f>Table1[[#This Row],[Unit Price]]*Table1[[#This Row],[Quantity]]</f>
        <v>1680000</v>
      </c>
      <c r="N1701" s="9">
        <f>Table1[[#This Row],[Cost Price]]*Table1[[#This Row],[Quantity]]</f>
        <v>1344000</v>
      </c>
      <c r="O1701" s="9">
        <f>Table1[[#This Row],[Revenue]]-Table1[[#This Row],[COGS]]</f>
        <v>336000</v>
      </c>
      <c r="P1701" s="6">
        <v>1700</v>
      </c>
    </row>
    <row r="1702" spans="1:16">
      <c r="A1702" s="7" t="s">
        <v>82</v>
      </c>
      <c r="B1702" s="7" t="str">
        <f>TEXT(Table1[[#This Row],[Date]],"MMM")</f>
        <v>Mar</v>
      </c>
      <c r="C1702" t="s">
        <v>27</v>
      </c>
      <c r="D1702" t="s">
        <v>28</v>
      </c>
      <c r="E1702" t="s">
        <v>29</v>
      </c>
      <c r="F1702" t="s">
        <v>37</v>
      </c>
      <c r="G1702" t="s">
        <v>56</v>
      </c>
      <c r="H1702" t="s">
        <v>32</v>
      </c>
      <c r="I1702" s="9">
        <v>320000</v>
      </c>
      <c r="J1702">
        <v>6</v>
      </c>
      <c r="K1702" t="s">
        <v>58</v>
      </c>
      <c r="L1702" s="9">
        <f t="shared" si="26"/>
        <v>256000</v>
      </c>
      <c r="M1702" s="9">
        <f>Table1[[#This Row],[Unit Price]]*Table1[[#This Row],[Quantity]]</f>
        <v>1920000</v>
      </c>
      <c r="N1702" s="9">
        <f>Table1[[#This Row],[Cost Price]]*Table1[[#This Row],[Quantity]]</f>
        <v>1536000</v>
      </c>
      <c r="O1702" s="9">
        <f>Table1[[#This Row],[Revenue]]-Table1[[#This Row],[COGS]]</f>
        <v>384000</v>
      </c>
      <c r="P1702" s="6">
        <v>1701</v>
      </c>
    </row>
    <row r="1703" spans="1:16">
      <c r="A1703" s="7" t="s">
        <v>121</v>
      </c>
      <c r="B1703" s="7" t="str">
        <f>TEXT(Table1[[#This Row],[Date]],"MMM")</f>
        <v>Apr</v>
      </c>
      <c r="C1703" t="s">
        <v>27</v>
      </c>
      <c r="D1703" t="s">
        <v>53</v>
      </c>
      <c r="E1703" t="s">
        <v>29</v>
      </c>
      <c r="F1703" t="s">
        <v>37</v>
      </c>
      <c r="G1703" t="s">
        <v>73</v>
      </c>
      <c r="H1703" t="s">
        <v>39</v>
      </c>
      <c r="I1703" s="9">
        <v>220000</v>
      </c>
      <c r="J1703">
        <v>4</v>
      </c>
      <c r="K1703" t="s">
        <v>69</v>
      </c>
      <c r="L1703" s="9">
        <f t="shared" si="26"/>
        <v>176000</v>
      </c>
      <c r="M1703" s="9">
        <f>Table1[[#This Row],[Unit Price]]*Table1[[#This Row],[Quantity]]</f>
        <v>880000</v>
      </c>
      <c r="N1703" s="9">
        <f>Table1[[#This Row],[Cost Price]]*Table1[[#This Row],[Quantity]]</f>
        <v>704000</v>
      </c>
      <c r="O1703" s="9">
        <f>Table1[[#This Row],[Revenue]]-Table1[[#This Row],[COGS]]</f>
        <v>176000</v>
      </c>
      <c r="P1703" s="6">
        <v>1702</v>
      </c>
    </row>
    <row r="1704" spans="1:16">
      <c r="A1704" s="7" t="s">
        <v>137</v>
      </c>
      <c r="B1704" s="7" t="str">
        <f>TEXT(Table1[[#This Row],[Date]],"MMM")</f>
        <v>Apr</v>
      </c>
      <c r="C1704" t="s">
        <v>44</v>
      </c>
      <c r="D1704" t="s">
        <v>53</v>
      </c>
      <c r="E1704" t="s">
        <v>29</v>
      </c>
      <c r="F1704" t="s">
        <v>37</v>
      </c>
      <c r="G1704" t="s">
        <v>31</v>
      </c>
      <c r="H1704" t="s">
        <v>32</v>
      </c>
      <c r="I1704" s="9">
        <v>85000</v>
      </c>
      <c r="J1704">
        <v>8</v>
      </c>
      <c r="K1704" t="s">
        <v>42</v>
      </c>
      <c r="L1704" s="9">
        <f t="shared" si="26"/>
        <v>68000</v>
      </c>
      <c r="M1704" s="9">
        <f>Table1[[#This Row],[Unit Price]]*Table1[[#This Row],[Quantity]]</f>
        <v>680000</v>
      </c>
      <c r="N1704" s="9">
        <f>Table1[[#This Row],[Cost Price]]*Table1[[#This Row],[Quantity]]</f>
        <v>544000</v>
      </c>
      <c r="O1704" s="9">
        <f>Table1[[#This Row],[Revenue]]-Table1[[#This Row],[COGS]]</f>
        <v>136000</v>
      </c>
      <c r="P1704" s="6">
        <v>1703</v>
      </c>
    </row>
    <row r="1705" spans="1:16">
      <c r="A1705" s="7" t="s">
        <v>138</v>
      </c>
      <c r="B1705" s="7" t="str">
        <f>TEXT(Table1[[#This Row],[Date]],"MMM")</f>
        <v>Apr</v>
      </c>
      <c r="C1705" t="s">
        <v>27</v>
      </c>
      <c r="D1705" t="s">
        <v>28</v>
      </c>
      <c r="E1705" t="s">
        <v>29</v>
      </c>
      <c r="F1705" t="s">
        <v>37</v>
      </c>
      <c r="G1705" t="s">
        <v>67</v>
      </c>
      <c r="H1705" t="s">
        <v>51</v>
      </c>
      <c r="I1705" s="9">
        <v>420000</v>
      </c>
      <c r="J1705">
        <v>7</v>
      </c>
      <c r="K1705" t="s">
        <v>47</v>
      </c>
      <c r="L1705" s="9">
        <f t="shared" si="26"/>
        <v>336000</v>
      </c>
      <c r="M1705" s="9">
        <f>Table1[[#This Row],[Unit Price]]*Table1[[#This Row],[Quantity]]</f>
        <v>2940000</v>
      </c>
      <c r="N1705" s="9">
        <f>Table1[[#This Row],[Cost Price]]*Table1[[#This Row],[Quantity]]</f>
        <v>2352000</v>
      </c>
      <c r="O1705" s="9">
        <f>Table1[[#This Row],[Revenue]]-Table1[[#This Row],[COGS]]</f>
        <v>588000</v>
      </c>
      <c r="P1705" s="6">
        <v>1704</v>
      </c>
    </row>
    <row r="1706" spans="1:16">
      <c r="A1706" s="7" t="s">
        <v>133</v>
      </c>
      <c r="B1706" s="7" t="str">
        <f>TEXT(Table1[[#This Row],[Date]],"MMM")</f>
        <v>Jan</v>
      </c>
      <c r="C1706" t="s">
        <v>35</v>
      </c>
      <c r="D1706" t="s">
        <v>53</v>
      </c>
      <c r="E1706" t="s">
        <v>41</v>
      </c>
      <c r="F1706" t="s">
        <v>37</v>
      </c>
      <c r="G1706" t="s">
        <v>73</v>
      </c>
      <c r="H1706" t="s">
        <v>39</v>
      </c>
      <c r="I1706" s="9">
        <v>220000</v>
      </c>
      <c r="J1706">
        <v>2</v>
      </c>
      <c r="K1706" t="s">
        <v>33</v>
      </c>
      <c r="L1706" s="9">
        <f t="shared" si="26"/>
        <v>176000</v>
      </c>
      <c r="M1706" s="9">
        <f>Table1[[#This Row],[Unit Price]]*Table1[[#This Row],[Quantity]]</f>
        <v>440000</v>
      </c>
      <c r="N1706" s="9">
        <f>Table1[[#This Row],[Cost Price]]*Table1[[#This Row],[Quantity]]</f>
        <v>352000</v>
      </c>
      <c r="O1706" s="9">
        <f>Table1[[#This Row],[Revenue]]-Table1[[#This Row],[COGS]]</f>
        <v>88000</v>
      </c>
      <c r="P1706" s="6">
        <v>1705</v>
      </c>
    </row>
    <row r="1707" spans="1:16">
      <c r="A1707" s="7" t="s">
        <v>74</v>
      </c>
      <c r="B1707" s="7" t="str">
        <f>TEXT(Table1[[#This Row],[Date]],"MMM")</f>
        <v>Feb</v>
      </c>
      <c r="C1707" t="s">
        <v>49</v>
      </c>
      <c r="D1707" t="s">
        <v>45</v>
      </c>
      <c r="E1707" t="s">
        <v>29</v>
      </c>
      <c r="F1707" t="s">
        <v>30</v>
      </c>
      <c r="G1707" t="s">
        <v>62</v>
      </c>
      <c r="H1707" t="s">
        <v>51</v>
      </c>
      <c r="I1707" s="9">
        <v>150000</v>
      </c>
      <c r="J1707">
        <v>1</v>
      </c>
      <c r="K1707" t="s">
        <v>58</v>
      </c>
      <c r="L1707" s="9">
        <f t="shared" si="26"/>
        <v>120000</v>
      </c>
      <c r="M1707" s="9">
        <f>Table1[[#This Row],[Unit Price]]*Table1[[#This Row],[Quantity]]</f>
        <v>150000</v>
      </c>
      <c r="N1707" s="9">
        <f>Table1[[#This Row],[Cost Price]]*Table1[[#This Row],[Quantity]]</f>
        <v>120000</v>
      </c>
      <c r="O1707" s="9">
        <f>Table1[[#This Row],[Revenue]]-Table1[[#This Row],[COGS]]</f>
        <v>30000</v>
      </c>
      <c r="P1707" s="6">
        <v>1706</v>
      </c>
    </row>
    <row r="1708" spans="1:16">
      <c r="A1708" s="7" t="s">
        <v>136</v>
      </c>
      <c r="B1708" s="7" t="str">
        <f>TEXT(Table1[[#This Row],[Date]],"MMM")</f>
        <v>Feb</v>
      </c>
      <c r="C1708" t="s">
        <v>49</v>
      </c>
      <c r="D1708" t="s">
        <v>28</v>
      </c>
      <c r="E1708" t="s">
        <v>41</v>
      </c>
      <c r="F1708" t="s">
        <v>37</v>
      </c>
      <c r="G1708" t="s">
        <v>67</v>
      </c>
      <c r="H1708" t="s">
        <v>51</v>
      </c>
      <c r="I1708" s="9">
        <v>420000</v>
      </c>
      <c r="J1708">
        <v>4</v>
      </c>
      <c r="K1708" t="s">
        <v>65</v>
      </c>
      <c r="L1708" s="9">
        <f t="shared" si="26"/>
        <v>336000</v>
      </c>
      <c r="M1708" s="9">
        <f>Table1[[#This Row],[Unit Price]]*Table1[[#This Row],[Quantity]]</f>
        <v>1680000</v>
      </c>
      <c r="N1708" s="9">
        <f>Table1[[#This Row],[Cost Price]]*Table1[[#This Row],[Quantity]]</f>
        <v>1344000</v>
      </c>
      <c r="O1708" s="9">
        <f>Table1[[#This Row],[Revenue]]-Table1[[#This Row],[COGS]]</f>
        <v>336000</v>
      </c>
      <c r="P1708" s="6">
        <v>1707</v>
      </c>
    </row>
    <row r="1709" spans="1:16">
      <c r="A1709" s="7" t="s">
        <v>117</v>
      </c>
      <c r="B1709" s="7" t="str">
        <f>TEXT(Table1[[#This Row],[Date]],"MMM")</f>
        <v>Jan</v>
      </c>
      <c r="C1709" t="s">
        <v>44</v>
      </c>
      <c r="D1709" t="s">
        <v>36</v>
      </c>
      <c r="E1709" t="s">
        <v>41</v>
      </c>
      <c r="F1709" t="s">
        <v>30</v>
      </c>
      <c r="G1709" t="s">
        <v>50</v>
      </c>
      <c r="H1709" t="s">
        <v>51</v>
      </c>
      <c r="I1709" s="9">
        <v>300000</v>
      </c>
      <c r="J1709">
        <v>1</v>
      </c>
      <c r="K1709" t="s">
        <v>47</v>
      </c>
      <c r="L1709" s="9">
        <f t="shared" si="26"/>
        <v>240000</v>
      </c>
      <c r="M1709" s="9">
        <f>Table1[[#This Row],[Unit Price]]*Table1[[#This Row],[Quantity]]</f>
        <v>300000</v>
      </c>
      <c r="N1709" s="9">
        <f>Table1[[#This Row],[Cost Price]]*Table1[[#This Row],[Quantity]]</f>
        <v>240000</v>
      </c>
      <c r="O1709" s="9">
        <f>Table1[[#This Row],[Revenue]]-Table1[[#This Row],[COGS]]</f>
        <v>60000</v>
      </c>
      <c r="P1709" s="6">
        <v>1708</v>
      </c>
    </row>
    <row r="1710" spans="1:16">
      <c r="A1710" s="7" t="s">
        <v>107</v>
      </c>
      <c r="B1710" s="7" t="str">
        <f>TEXT(Table1[[#This Row],[Date]],"MMM")</f>
        <v>Feb</v>
      </c>
      <c r="C1710" t="s">
        <v>27</v>
      </c>
      <c r="D1710" t="s">
        <v>36</v>
      </c>
      <c r="E1710" t="s">
        <v>29</v>
      </c>
      <c r="F1710" t="s">
        <v>37</v>
      </c>
      <c r="G1710" t="s">
        <v>50</v>
      </c>
      <c r="H1710" t="s">
        <v>51</v>
      </c>
      <c r="I1710" s="9">
        <v>300000</v>
      </c>
      <c r="J1710">
        <v>9</v>
      </c>
      <c r="K1710" t="s">
        <v>42</v>
      </c>
      <c r="L1710" s="9">
        <f t="shared" si="26"/>
        <v>240000</v>
      </c>
      <c r="M1710" s="9">
        <f>Table1[[#This Row],[Unit Price]]*Table1[[#This Row],[Quantity]]</f>
        <v>2700000</v>
      </c>
      <c r="N1710" s="9">
        <f>Table1[[#This Row],[Cost Price]]*Table1[[#This Row],[Quantity]]</f>
        <v>2160000</v>
      </c>
      <c r="O1710" s="9">
        <f>Table1[[#This Row],[Revenue]]-Table1[[#This Row],[COGS]]</f>
        <v>540000</v>
      </c>
      <c r="P1710" s="6">
        <v>1709</v>
      </c>
    </row>
    <row r="1711" spans="1:16">
      <c r="A1711" s="7" t="s">
        <v>111</v>
      </c>
      <c r="B1711" s="7" t="str">
        <f>TEXT(Table1[[#This Row],[Date]],"MMM")</f>
        <v>Feb</v>
      </c>
      <c r="C1711" t="s">
        <v>44</v>
      </c>
      <c r="D1711" t="s">
        <v>53</v>
      </c>
      <c r="E1711" t="s">
        <v>29</v>
      </c>
      <c r="F1711" t="s">
        <v>30</v>
      </c>
      <c r="G1711" t="s">
        <v>71</v>
      </c>
      <c r="H1711" t="s">
        <v>51</v>
      </c>
      <c r="I1711" s="9">
        <v>250000</v>
      </c>
      <c r="J1711">
        <v>6</v>
      </c>
      <c r="K1711" t="s">
        <v>42</v>
      </c>
      <c r="L1711" s="9">
        <f t="shared" si="26"/>
        <v>200000</v>
      </c>
      <c r="M1711" s="9">
        <f>Table1[[#This Row],[Unit Price]]*Table1[[#This Row],[Quantity]]</f>
        <v>1500000</v>
      </c>
      <c r="N1711" s="9">
        <f>Table1[[#This Row],[Cost Price]]*Table1[[#This Row],[Quantity]]</f>
        <v>1200000</v>
      </c>
      <c r="O1711" s="9">
        <f>Table1[[#This Row],[Revenue]]-Table1[[#This Row],[COGS]]</f>
        <v>300000</v>
      </c>
      <c r="P1711" s="6">
        <v>1710</v>
      </c>
    </row>
    <row r="1712" spans="1:16">
      <c r="A1712" s="7" t="s">
        <v>169</v>
      </c>
      <c r="B1712" s="7" t="str">
        <f>TEXT(Table1[[#This Row],[Date]],"MMM")</f>
        <v>Feb</v>
      </c>
      <c r="C1712" t="s">
        <v>49</v>
      </c>
      <c r="D1712" t="s">
        <v>45</v>
      </c>
      <c r="E1712" t="s">
        <v>29</v>
      </c>
      <c r="F1712" t="s">
        <v>37</v>
      </c>
      <c r="G1712" t="s">
        <v>38</v>
      </c>
      <c r="H1712" t="s">
        <v>39</v>
      </c>
      <c r="I1712" s="9">
        <v>30000</v>
      </c>
      <c r="J1712">
        <v>7</v>
      </c>
      <c r="K1712" t="s">
        <v>47</v>
      </c>
      <c r="L1712" s="9">
        <f t="shared" si="26"/>
        <v>24000</v>
      </c>
      <c r="M1712" s="9">
        <f>Table1[[#This Row],[Unit Price]]*Table1[[#This Row],[Quantity]]</f>
        <v>210000</v>
      </c>
      <c r="N1712" s="9">
        <f>Table1[[#This Row],[Cost Price]]*Table1[[#This Row],[Quantity]]</f>
        <v>168000</v>
      </c>
      <c r="O1712" s="9">
        <f>Table1[[#This Row],[Revenue]]-Table1[[#This Row],[COGS]]</f>
        <v>42000</v>
      </c>
      <c r="P1712" s="6">
        <v>1711</v>
      </c>
    </row>
    <row r="1713" spans="1:16">
      <c r="A1713" s="7" t="s">
        <v>84</v>
      </c>
      <c r="B1713" s="7" t="str">
        <f>TEXT(Table1[[#This Row],[Date]],"MMM")</f>
        <v>Jan</v>
      </c>
      <c r="C1713" t="s">
        <v>44</v>
      </c>
      <c r="D1713" t="s">
        <v>28</v>
      </c>
      <c r="E1713" t="s">
        <v>41</v>
      </c>
      <c r="F1713" t="s">
        <v>30</v>
      </c>
      <c r="G1713" t="s">
        <v>31</v>
      </c>
      <c r="H1713" t="s">
        <v>32</v>
      </c>
      <c r="I1713" s="9">
        <v>85000</v>
      </c>
      <c r="J1713">
        <v>7</v>
      </c>
      <c r="K1713" t="s">
        <v>69</v>
      </c>
      <c r="L1713" s="9">
        <f t="shared" si="26"/>
        <v>68000</v>
      </c>
      <c r="M1713" s="9">
        <f>Table1[[#This Row],[Unit Price]]*Table1[[#This Row],[Quantity]]</f>
        <v>595000</v>
      </c>
      <c r="N1713" s="9">
        <f>Table1[[#This Row],[Cost Price]]*Table1[[#This Row],[Quantity]]</f>
        <v>476000</v>
      </c>
      <c r="O1713" s="9">
        <f>Table1[[#This Row],[Revenue]]-Table1[[#This Row],[COGS]]</f>
        <v>119000</v>
      </c>
      <c r="P1713" s="6">
        <v>1712</v>
      </c>
    </row>
    <row r="1714" spans="1:16">
      <c r="A1714" s="7" t="s">
        <v>59</v>
      </c>
      <c r="B1714" s="7" t="str">
        <f>TEXT(Table1[[#This Row],[Date]],"MMM")</f>
        <v>Mar</v>
      </c>
      <c r="C1714" t="s">
        <v>27</v>
      </c>
      <c r="D1714" t="s">
        <v>53</v>
      </c>
      <c r="E1714" t="s">
        <v>41</v>
      </c>
      <c r="F1714" t="s">
        <v>30</v>
      </c>
      <c r="G1714" t="s">
        <v>31</v>
      </c>
      <c r="H1714" t="s">
        <v>32</v>
      </c>
      <c r="I1714" s="9">
        <v>85000</v>
      </c>
      <c r="J1714">
        <v>7</v>
      </c>
      <c r="K1714" t="s">
        <v>69</v>
      </c>
      <c r="L1714" s="9">
        <f t="shared" si="26"/>
        <v>68000</v>
      </c>
      <c r="M1714" s="9">
        <f>Table1[[#This Row],[Unit Price]]*Table1[[#This Row],[Quantity]]</f>
        <v>595000</v>
      </c>
      <c r="N1714" s="9">
        <f>Table1[[#This Row],[Cost Price]]*Table1[[#This Row],[Quantity]]</f>
        <v>476000</v>
      </c>
      <c r="O1714" s="9">
        <f>Table1[[#This Row],[Revenue]]-Table1[[#This Row],[COGS]]</f>
        <v>119000</v>
      </c>
      <c r="P1714" s="6">
        <v>1713</v>
      </c>
    </row>
    <row r="1715" spans="1:16">
      <c r="A1715" s="7" t="s">
        <v>97</v>
      </c>
      <c r="B1715" s="7" t="str">
        <f>TEXT(Table1[[#This Row],[Date]],"MMM")</f>
        <v>Jan</v>
      </c>
      <c r="C1715" t="s">
        <v>44</v>
      </c>
      <c r="D1715" t="s">
        <v>45</v>
      </c>
      <c r="E1715" t="s">
        <v>29</v>
      </c>
      <c r="F1715" t="s">
        <v>30</v>
      </c>
      <c r="G1715" t="s">
        <v>38</v>
      </c>
      <c r="H1715" t="s">
        <v>39</v>
      </c>
      <c r="I1715" s="9">
        <v>30000</v>
      </c>
      <c r="J1715">
        <v>4</v>
      </c>
      <c r="K1715" t="s">
        <v>33</v>
      </c>
      <c r="L1715" s="9">
        <f t="shared" si="26"/>
        <v>24000</v>
      </c>
      <c r="M1715" s="9">
        <f>Table1[[#This Row],[Unit Price]]*Table1[[#This Row],[Quantity]]</f>
        <v>120000</v>
      </c>
      <c r="N1715" s="9">
        <f>Table1[[#This Row],[Cost Price]]*Table1[[#This Row],[Quantity]]</f>
        <v>96000</v>
      </c>
      <c r="O1715" s="9">
        <f>Table1[[#This Row],[Revenue]]-Table1[[#This Row],[COGS]]</f>
        <v>24000</v>
      </c>
      <c r="P1715" s="6">
        <v>1714</v>
      </c>
    </row>
    <row r="1716" spans="1:16">
      <c r="A1716" s="7" t="s">
        <v>161</v>
      </c>
      <c r="B1716" s="7" t="str">
        <f>TEXT(Table1[[#This Row],[Date]],"MMM")</f>
        <v>Mar</v>
      </c>
      <c r="C1716" t="s">
        <v>27</v>
      </c>
      <c r="D1716" t="s">
        <v>45</v>
      </c>
      <c r="E1716" t="s">
        <v>29</v>
      </c>
      <c r="F1716" t="s">
        <v>30</v>
      </c>
      <c r="G1716" t="s">
        <v>62</v>
      </c>
      <c r="H1716" t="s">
        <v>51</v>
      </c>
      <c r="I1716" s="9">
        <v>150000</v>
      </c>
      <c r="J1716">
        <v>9</v>
      </c>
      <c r="K1716" t="s">
        <v>42</v>
      </c>
      <c r="L1716" s="9">
        <f t="shared" si="26"/>
        <v>120000</v>
      </c>
      <c r="M1716" s="9">
        <f>Table1[[#This Row],[Unit Price]]*Table1[[#This Row],[Quantity]]</f>
        <v>1350000</v>
      </c>
      <c r="N1716" s="9">
        <f>Table1[[#This Row],[Cost Price]]*Table1[[#This Row],[Quantity]]</f>
        <v>1080000</v>
      </c>
      <c r="O1716" s="9">
        <f>Table1[[#This Row],[Revenue]]-Table1[[#This Row],[COGS]]</f>
        <v>270000</v>
      </c>
      <c r="P1716" s="6">
        <v>1715</v>
      </c>
    </row>
    <row r="1717" spans="1:16">
      <c r="A1717" s="7" t="s">
        <v>157</v>
      </c>
      <c r="B1717" s="7" t="str">
        <f>TEXT(Table1[[#This Row],[Date]],"MMM")</f>
        <v>Apr</v>
      </c>
      <c r="C1717" t="s">
        <v>49</v>
      </c>
      <c r="D1717" t="s">
        <v>28</v>
      </c>
      <c r="E1717" t="s">
        <v>41</v>
      </c>
      <c r="F1717" t="s">
        <v>37</v>
      </c>
      <c r="G1717" t="s">
        <v>73</v>
      </c>
      <c r="H1717" t="s">
        <v>39</v>
      </c>
      <c r="I1717" s="9">
        <v>220000</v>
      </c>
      <c r="J1717">
        <v>9</v>
      </c>
      <c r="K1717" t="s">
        <v>69</v>
      </c>
      <c r="L1717" s="9">
        <f t="shared" si="26"/>
        <v>176000</v>
      </c>
      <c r="M1717" s="9">
        <f>Table1[[#This Row],[Unit Price]]*Table1[[#This Row],[Quantity]]</f>
        <v>1980000</v>
      </c>
      <c r="N1717" s="9">
        <f>Table1[[#This Row],[Cost Price]]*Table1[[#This Row],[Quantity]]</f>
        <v>1584000</v>
      </c>
      <c r="O1717" s="9">
        <f>Table1[[#This Row],[Revenue]]-Table1[[#This Row],[COGS]]</f>
        <v>396000</v>
      </c>
      <c r="P1717" s="6">
        <v>1716</v>
      </c>
    </row>
    <row r="1718" spans="1:16">
      <c r="A1718" s="7" t="s">
        <v>100</v>
      </c>
      <c r="B1718" s="7" t="str">
        <f>TEXT(Table1[[#This Row],[Date]],"MMM")</f>
        <v>Jan</v>
      </c>
      <c r="C1718" t="s">
        <v>35</v>
      </c>
      <c r="D1718" t="s">
        <v>45</v>
      </c>
      <c r="E1718" t="s">
        <v>41</v>
      </c>
      <c r="F1718" t="s">
        <v>30</v>
      </c>
      <c r="G1718" t="s">
        <v>38</v>
      </c>
      <c r="H1718" t="s">
        <v>39</v>
      </c>
      <c r="I1718" s="9">
        <v>30000</v>
      </c>
      <c r="J1718">
        <v>8</v>
      </c>
      <c r="K1718" t="s">
        <v>65</v>
      </c>
      <c r="L1718" s="9">
        <f t="shared" si="26"/>
        <v>24000</v>
      </c>
      <c r="M1718" s="9">
        <f>Table1[[#This Row],[Unit Price]]*Table1[[#This Row],[Quantity]]</f>
        <v>240000</v>
      </c>
      <c r="N1718" s="9">
        <f>Table1[[#This Row],[Cost Price]]*Table1[[#This Row],[Quantity]]</f>
        <v>192000</v>
      </c>
      <c r="O1718" s="9">
        <f>Table1[[#This Row],[Revenue]]-Table1[[#This Row],[COGS]]</f>
        <v>48000</v>
      </c>
      <c r="P1718" s="6">
        <v>1717</v>
      </c>
    </row>
    <row r="1719" spans="1:16">
      <c r="A1719" s="7" t="s">
        <v>160</v>
      </c>
      <c r="B1719" s="7" t="str">
        <f>TEXT(Table1[[#This Row],[Date]],"MMM")</f>
        <v>Jan</v>
      </c>
      <c r="C1719" t="s">
        <v>35</v>
      </c>
      <c r="D1719" t="s">
        <v>45</v>
      </c>
      <c r="E1719" t="s">
        <v>29</v>
      </c>
      <c r="F1719" t="s">
        <v>30</v>
      </c>
      <c r="G1719" t="s">
        <v>31</v>
      </c>
      <c r="H1719" t="s">
        <v>32</v>
      </c>
      <c r="I1719" s="9">
        <v>85000</v>
      </c>
      <c r="J1719">
        <v>2</v>
      </c>
      <c r="K1719" t="s">
        <v>42</v>
      </c>
      <c r="L1719" s="9">
        <f t="shared" si="26"/>
        <v>68000</v>
      </c>
      <c r="M1719" s="9">
        <f>Table1[[#This Row],[Unit Price]]*Table1[[#This Row],[Quantity]]</f>
        <v>170000</v>
      </c>
      <c r="N1719" s="9">
        <f>Table1[[#This Row],[Cost Price]]*Table1[[#This Row],[Quantity]]</f>
        <v>136000</v>
      </c>
      <c r="O1719" s="9">
        <f>Table1[[#This Row],[Revenue]]-Table1[[#This Row],[COGS]]</f>
        <v>34000</v>
      </c>
      <c r="P1719" s="6">
        <v>1718</v>
      </c>
    </row>
    <row r="1720" spans="1:16">
      <c r="A1720" s="7" t="s">
        <v>109</v>
      </c>
      <c r="B1720" s="7" t="str">
        <f>TEXT(Table1[[#This Row],[Date]],"MMM")</f>
        <v>Mar</v>
      </c>
      <c r="C1720" t="s">
        <v>44</v>
      </c>
      <c r="D1720" t="s">
        <v>36</v>
      </c>
      <c r="E1720" t="s">
        <v>41</v>
      </c>
      <c r="F1720" t="s">
        <v>30</v>
      </c>
      <c r="G1720" t="s">
        <v>54</v>
      </c>
      <c r="H1720" t="s">
        <v>39</v>
      </c>
      <c r="I1720" s="9">
        <v>180000</v>
      </c>
      <c r="J1720">
        <v>9</v>
      </c>
      <c r="K1720" t="s">
        <v>42</v>
      </c>
      <c r="L1720" s="9">
        <f t="shared" si="26"/>
        <v>144000</v>
      </c>
      <c r="M1720" s="9">
        <f>Table1[[#This Row],[Unit Price]]*Table1[[#This Row],[Quantity]]</f>
        <v>1620000</v>
      </c>
      <c r="N1720" s="9">
        <f>Table1[[#This Row],[Cost Price]]*Table1[[#This Row],[Quantity]]</f>
        <v>1296000</v>
      </c>
      <c r="O1720" s="9">
        <f>Table1[[#This Row],[Revenue]]-Table1[[#This Row],[COGS]]</f>
        <v>324000</v>
      </c>
      <c r="P1720" s="6">
        <v>1719</v>
      </c>
    </row>
    <row r="1721" spans="1:16">
      <c r="A1721" s="7" t="s">
        <v>95</v>
      </c>
      <c r="B1721" s="7" t="str">
        <f>TEXT(Table1[[#This Row],[Date]],"MMM")</f>
        <v>Feb</v>
      </c>
      <c r="C1721" t="s">
        <v>35</v>
      </c>
      <c r="D1721" t="s">
        <v>45</v>
      </c>
      <c r="E1721" t="s">
        <v>29</v>
      </c>
      <c r="F1721" t="s">
        <v>30</v>
      </c>
      <c r="G1721" t="s">
        <v>62</v>
      </c>
      <c r="H1721" t="s">
        <v>51</v>
      </c>
      <c r="I1721" s="9">
        <v>150000</v>
      </c>
      <c r="J1721">
        <v>8</v>
      </c>
      <c r="K1721" t="s">
        <v>69</v>
      </c>
      <c r="L1721" s="9">
        <f t="shared" si="26"/>
        <v>120000</v>
      </c>
      <c r="M1721" s="9">
        <f>Table1[[#This Row],[Unit Price]]*Table1[[#This Row],[Quantity]]</f>
        <v>1200000</v>
      </c>
      <c r="N1721" s="9">
        <f>Table1[[#This Row],[Cost Price]]*Table1[[#This Row],[Quantity]]</f>
        <v>960000</v>
      </c>
      <c r="O1721" s="9">
        <f>Table1[[#This Row],[Revenue]]-Table1[[#This Row],[COGS]]</f>
        <v>240000</v>
      </c>
      <c r="P1721" s="6">
        <v>1720</v>
      </c>
    </row>
    <row r="1722" spans="1:16">
      <c r="A1722" s="7" t="s">
        <v>92</v>
      </c>
      <c r="B1722" s="7" t="str">
        <f>TEXT(Table1[[#This Row],[Date]],"MMM")</f>
        <v>Jan</v>
      </c>
      <c r="C1722" t="s">
        <v>49</v>
      </c>
      <c r="D1722" t="s">
        <v>28</v>
      </c>
      <c r="E1722" t="s">
        <v>29</v>
      </c>
      <c r="F1722" t="s">
        <v>30</v>
      </c>
      <c r="G1722" t="s">
        <v>46</v>
      </c>
      <c r="H1722" t="s">
        <v>39</v>
      </c>
      <c r="I1722" s="9">
        <v>60000</v>
      </c>
      <c r="J1722">
        <v>8</v>
      </c>
      <c r="K1722" t="s">
        <v>65</v>
      </c>
      <c r="L1722" s="9">
        <f t="shared" si="26"/>
        <v>48000</v>
      </c>
      <c r="M1722" s="9">
        <f>Table1[[#This Row],[Unit Price]]*Table1[[#This Row],[Quantity]]</f>
        <v>480000</v>
      </c>
      <c r="N1722" s="9">
        <f>Table1[[#This Row],[Cost Price]]*Table1[[#This Row],[Quantity]]</f>
        <v>384000</v>
      </c>
      <c r="O1722" s="9">
        <f>Table1[[#This Row],[Revenue]]-Table1[[#This Row],[COGS]]</f>
        <v>96000</v>
      </c>
      <c r="P1722" s="6">
        <v>1721</v>
      </c>
    </row>
    <row r="1723" spans="1:16">
      <c r="A1723" s="7" t="s">
        <v>160</v>
      </c>
      <c r="B1723" s="7" t="str">
        <f>TEXT(Table1[[#This Row],[Date]],"MMM")</f>
        <v>Jan</v>
      </c>
      <c r="C1723" t="s">
        <v>27</v>
      </c>
      <c r="D1723" t="s">
        <v>28</v>
      </c>
      <c r="E1723" t="s">
        <v>29</v>
      </c>
      <c r="F1723" t="s">
        <v>37</v>
      </c>
      <c r="G1723" t="s">
        <v>50</v>
      </c>
      <c r="H1723" t="s">
        <v>51</v>
      </c>
      <c r="I1723" s="9">
        <v>300000</v>
      </c>
      <c r="J1723">
        <v>5</v>
      </c>
      <c r="K1723" t="s">
        <v>47</v>
      </c>
      <c r="L1723" s="9">
        <f t="shared" si="26"/>
        <v>240000</v>
      </c>
      <c r="M1723" s="9">
        <f>Table1[[#This Row],[Unit Price]]*Table1[[#This Row],[Quantity]]</f>
        <v>1500000</v>
      </c>
      <c r="N1723" s="9">
        <f>Table1[[#This Row],[Cost Price]]*Table1[[#This Row],[Quantity]]</f>
        <v>1200000</v>
      </c>
      <c r="O1723" s="9">
        <f>Table1[[#This Row],[Revenue]]-Table1[[#This Row],[COGS]]</f>
        <v>300000</v>
      </c>
      <c r="P1723" s="6">
        <v>1722</v>
      </c>
    </row>
    <row r="1724" spans="1:16">
      <c r="A1724" s="7" t="s">
        <v>156</v>
      </c>
      <c r="B1724" s="7" t="str">
        <f>TEXT(Table1[[#This Row],[Date]],"MMM")</f>
        <v>Feb</v>
      </c>
      <c r="C1724" t="s">
        <v>49</v>
      </c>
      <c r="D1724" t="s">
        <v>36</v>
      </c>
      <c r="E1724" t="s">
        <v>29</v>
      </c>
      <c r="F1724" t="s">
        <v>30</v>
      </c>
      <c r="G1724" t="s">
        <v>38</v>
      </c>
      <c r="H1724" t="s">
        <v>39</v>
      </c>
      <c r="I1724" s="9">
        <v>30000</v>
      </c>
      <c r="J1724">
        <v>8</v>
      </c>
      <c r="K1724" t="s">
        <v>58</v>
      </c>
      <c r="L1724" s="9">
        <f t="shared" si="26"/>
        <v>24000</v>
      </c>
      <c r="M1724" s="9">
        <f>Table1[[#This Row],[Unit Price]]*Table1[[#This Row],[Quantity]]</f>
        <v>240000</v>
      </c>
      <c r="N1724" s="9">
        <f>Table1[[#This Row],[Cost Price]]*Table1[[#This Row],[Quantity]]</f>
        <v>192000</v>
      </c>
      <c r="O1724" s="9">
        <f>Table1[[#This Row],[Revenue]]-Table1[[#This Row],[COGS]]</f>
        <v>48000</v>
      </c>
      <c r="P1724" s="6">
        <v>1723</v>
      </c>
    </row>
    <row r="1725" spans="1:16">
      <c r="A1725" s="7" t="s">
        <v>104</v>
      </c>
      <c r="B1725" s="7" t="str">
        <f>TEXT(Table1[[#This Row],[Date]],"MMM")</f>
        <v>Mar</v>
      </c>
      <c r="C1725" t="s">
        <v>49</v>
      </c>
      <c r="D1725" t="s">
        <v>28</v>
      </c>
      <c r="E1725" t="s">
        <v>41</v>
      </c>
      <c r="F1725" t="s">
        <v>37</v>
      </c>
      <c r="G1725" t="s">
        <v>67</v>
      </c>
      <c r="H1725" t="s">
        <v>51</v>
      </c>
      <c r="I1725" s="9">
        <v>420000</v>
      </c>
      <c r="J1725">
        <v>3</v>
      </c>
      <c r="K1725" t="s">
        <v>42</v>
      </c>
      <c r="L1725" s="9">
        <f t="shared" si="26"/>
        <v>336000</v>
      </c>
      <c r="M1725" s="9">
        <f>Table1[[#This Row],[Unit Price]]*Table1[[#This Row],[Quantity]]</f>
        <v>1260000</v>
      </c>
      <c r="N1725" s="9">
        <f>Table1[[#This Row],[Cost Price]]*Table1[[#This Row],[Quantity]]</f>
        <v>1008000</v>
      </c>
      <c r="O1725" s="9">
        <f>Table1[[#This Row],[Revenue]]-Table1[[#This Row],[COGS]]</f>
        <v>252000</v>
      </c>
      <c r="P1725" s="6">
        <v>1724</v>
      </c>
    </row>
    <row r="1726" spans="1:16">
      <c r="A1726" s="7" t="s">
        <v>85</v>
      </c>
      <c r="B1726" s="7" t="str">
        <f>TEXT(Table1[[#This Row],[Date]],"MMM")</f>
        <v>Feb</v>
      </c>
      <c r="C1726" t="s">
        <v>27</v>
      </c>
      <c r="D1726" t="s">
        <v>28</v>
      </c>
      <c r="E1726" t="s">
        <v>41</v>
      </c>
      <c r="F1726" t="s">
        <v>30</v>
      </c>
      <c r="G1726" t="s">
        <v>67</v>
      </c>
      <c r="H1726" t="s">
        <v>51</v>
      </c>
      <c r="I1726" s="9">
        <v>420000</v>
      </c>
      <c r="J1726">
        <v>7</v>
      </c>
      <c r="K1726" t="s">
        <v>69</v>
      </c>
      <c r="L1726" s="9">
        <f t="shared" si="26"/>
        <v>336000</v>
      </c>
      <c r="M1726" s="9">
        <f>Table1[[#This Row],[Unit Price]]*Table1[[#This Row],[Quantity]]</f>
        <v>2940000</v>
      </c>
      <c r="N1726" s="9">
        <f>Table1[[#This Row],[Cost Price]]*Table1[[#This Row],[Quantity]]</f>
        <v>2352000</v>
      </c>
      <c r="O1726" s="9">
        <f>Table1[[#This Row],[Revenue]]-Table1[[#This Row],[COGS]]</f>
        <v>588000</v>
      </c>
      <c r="P1726" s="6">
        <v>1725</v>
      </c>
    </row>
    <row r="1727" spans="1:16">
      <c r="A1727" s="7" t="s">
        <v>81</v>
      </c>
      <c r="B1727" s="7" t="str">
        <f>TEXT(Table1[[#This Row],[Date]],"MMM")</f>
        <v>Mar</v>
      </c>
      <c r="C1727" t="s">
        <v>35</v>
      </c>
      <c r="D1727" t="s">
        <v>36</v>
      </c>
      <c r="E1727" t="s">
        <v>41</v>
      </c>
      <c r="F1727" t="s">
        <v>30</v>
      </c>
      <c r="G1727" t="s">
        <v>31</v>
      </c>
      <c r="H1727" t="s">
        <v>32</v>
      </c>
      <c r="I1727" s="9">
        <v>85000</v>
      </c>
      <c r="J1727">
        <v>9</v>
      </c>
      <c r="K1727" t="s">
        <v>69</v>
      </c>
      <c r="L1727" s="9">
        <f t="shared" si="26"/>
        <v>68000</v>
      </c>
      <c r="M1727" s="9">
        <f>Table1[[#This Row],[Unit Price]]*Table1[[#This Row],[Quantity]]</f>
        <v>765000</v>
      </c>
      <c r="N1727" s="9">
        <f>Table1[[#This Row],[Cost Price]]*Table1[[#This Row],[Quantity]]</f>
        <v>612000</v>
      </c>
      <c r="O1727" s="9">
        <f>Table1[[#This Row],[Revenue]]-Table1[[#This Row],[COGS]]</f>
        <v>153000</v>
      </c>
      <c r="P1727" s="6">
        <v>1726</v>
      </c>
    </row>
    <row r="1728" spans="1:16">
      <c r="A1728" s="7" t="s">
        <v>60</v>
      </c>
      <c r="B1728" s="7" t="str">
        <f>TEXT(Table1[[#This Row],[Date]],"MMM")</f>
        <v>Mar</v>
      </c>
      <c r="C1728" t="s">
        <v>35</v>
      </c>
      <c r="D1728" t="s">
        <v>36</v>
      </c>
      <c r="E1728" t="s">
        <v>41</v>
      </c>
      <c r="F1728" t="s">
        <v>30</v>
      </c>
      <c r="G1728" t="s">
        <v>50</v>
      </c>
      <c r="H1728" t="s">
        <v>51</v>
      </c>
      <c r="I1728" s="9">
        <v>300000</v>
      </c>
      <c r="J1728">
        <v>8</v>
      </c>
      <c r="K1728" t="s">
        <v>47</v>
      </c>
      <c r="L1728" s="9">
        <f t="shared" si="26"/>
        <v>240000</v>
      </c>
      <c r="M1728" s="9">
        <f>Table1[[#This Row],[Unit Price]]*Table1[[#This Row],[Quantity]]</f>
        <v>2400000</v>
      </c>
      <c r="N1728" s="9">
        <f>Table1[[#This Row],[Cost Price]]*Table1[[#This Row],[Quantity]]</f>
        <v>1920000</v>
      </c>
      <c r="O1728" s="9">
        <f>Table1[[#This Row],[Revenue]]-Table1[[#This Row],[COGS]]</f>
        <v>480000</v>
      </c>
      <c r="P1728" s="6">
        <v>1727</v>
      </c>
    </row>
    <row r="1729" spans="1:16">
      <c r="A1729" s="7" t="s">
        <v>114</v>
      </c>
      <c r="B1729" s="7" t="str">
        <f>TEXT(Table1[[#This Row],[Date]],"MMM")</f>
        <v>Apr</v>
      </c>
      <c r="C1729" t="s">
        <v>49</v>
      </c>
      <c r="D1729" t="s">
        <v>53</v>
      </c>
      <c r="E1729" t="s">
        <v>29</v>
      </c>
      <c r="F1729" t="s">
        <v>37</v>
      </c>
      <c r="G1729" t="s">
        <v>67</v>
      </c>
      <c r="H1729" t="s">
        <v>51</v>
      </c>
      <c r="I1729" s="9">
        <v>420000</v>
      </c>
      <c r="J1729">
        <v>6</v>
      </c>
      <c r="K1729" t="s">
        <v>33</v>
      </c>
      <c r="L1729" s="9">
        <f t="shared" si="26"/>
        <v>336000</v>
      </c>
      <c r="M1729" s="9">
        <f>Table1[[#This Row],[Unit Price]]*Table1[[#This Row],[Quantity]]</f>
        <v>2520000</v>
      </c>
      <c r="N1729" s="9">
        <f>Table1[[#This Row],[Cost Price]]*Table1[[#This Row],[Quantity]]</f>
        <v>2016000</v>
      </c>
      <c r="O1729" s="9">
        <f>Table1[[#This Row],[Revenue]]-Table1[[#This Row],[COGS]]</f>
        <v>504000</v>
      </c>
      <c r="P1729" s="6">
        <v>1728</v>
      </c>
    </row>
    <row r="1730" spans="1:16">
      <c r="A1730" s="7" t="s">
        <v>137</v>
      </c>
      <c r="B1730" s="7" t="str">
        <f>TEXT(Table1[[#This Row],[Date]],"MMM")</f>
        <v>Apr</v>
      </c>
      <c r="C1730" t="s">
        <v>44</v>
      </c>
      <c r="D1730" t="s">
        <v>53</v>
      </c>
      <c r="E1730" t="s">
        <v>41</v>
      </c>
      <c r="F1730" t="s">
        <v>30</v>
      </c>
      <c r="G1730" t="s">
        <v>62</v>
      </c>
      <c r="H1730" t="s">
        <v>51</v>
      </c>
      <c r="I1730" s="9">
        <v>150000</v>
      </c>
      <c r="J1730">
        <v>9</v>
      </c>
      <c r="K1730" t="s">
        <v>58</v>
      </c>
      <c r="L1730" s="9">
        <f t="shared" ref="L1730:L1793" si="27">I1730-I1730*0.2</f>
        <v>120000</v>
      </c>
      <c r="M1730" s="9">
        <f>Table1[[#This Row],[Unit Price]]*Table1[[#This Row],[Quantity]]</f>
        <v>1350000</v>
      </c>
      <c r="N1730" s="9">
        <f>Table1[[#This Row],[Cost Price]]*Table1[[#This Row],[Quantity]]</f>
        <v>1080000</v>
      </c>
      <c r="O1730" s="9">
        <f>Table1[[#This Row],[Revenue]]-Table1[[#This Row],[COGS]]</f>
        <v>270000</v>
      </c>
      <c r="P1730" s="6">
        <v>1729</v>
      </c>
    </row>
    <row r="1731" spans="1:16">
      <c r="A1731" s="7" t="s">
        <v>166</v>
      </c>
      <c r="B1731" s="7" t="str">
        <f>TEXT(Table1[[#This Row],[Date]],"MMM")</f>
        <v>Jan</v>
      </c>
      <c r="C1731" t="s">
        <v>35</v>
      </c>
      <c r="D1731" t="s">
        <v>45</v>
      </c>
      <c r="E1731" t="s">
        <v>29</v>
      </c>
      <c r="F1731" t="s">
        <v>37</v>
      </c>
      <c r="G1731" t="s">
        <v>38</v>
      </c>
      <c r="H1731" t="s">
        <v>39</v>
      </c>
      <c r="I1731" s="9">
        <v>30000</v>
      </c>
      <c r="J1731">
        <v>3</v>
      </c>
      <c r="K1731" t="s">
        <v>47</v>
      </c>
      <c r="L1731" s="9">
        <f t="shared" si="27"/>
        <v>24000</v>
      </c>
      <c r="M1731" s="9">
        <f>Table1[[#This Row],[Unit Price]]*Table1[[#This Row],[Quantity]]</f>
        <v>90000</v>
      </c>
      <c r="N1731" s="9">
        <f>Table1[[#This Row],[Cost Price]]*Table1[[#This Row],[Quantity]]</f>
        <v>72000</v>
      </c>
      <c r="O1731" s="9">
        <f>Table1[[#This Row],[Revenue]]-Table1[[#This Row],[COGS]]</f>
        <v>18000</v>
      </c>
      <c r="P1731" s="6">
        <v>1730</v>
      </c>
    </row>
    <row r="1732" spans="1:16">
      <c r="A1732" s="7" t="s">
        <v>161</v>
      </c>
      <c r="B1732" s="7" t="str">
        <f>TEXT(Table1[[#This Row],[Date]],"MMM")</f>
        <v>Mar</v>
      </c>
      <c r="C1732" t="s">
        <v>35</v>
      </c>
      <c r="D1732" t="s">
        <v>45</v>
      </c>
      <c r="E1732" t="s">
        <v>29</v>
      </c>
      <c r="F1732" t="s">
        <v>37</v>
      </c>
      <c r="G1732" t="s">
        <v>38</v>
      </c>
      <c r="H1732" t="s">
        <v>39</v>
      </c>
      <c r="I1732" s="9">
        <v>30000</v>
      </c>
      <c r="J1732">
        <v>4</v>
      </c>
      <c r="K1732" t="s">
        <v>65</v>
      </c>
      <c r="L1732" s="9">
        <f t="shared" si="27"/>
        <v>24000</v>
      </c>
      <c r="M1732" s="9">
        <f>Table1[[#This Row],[Unit Price]]*Table1[[#This Row],[Quantity]]</f>
        <v>120000</v>
      </c>
      <c r="N1732" s="9">
        <f>Table1[[#This Row],[Cost Price]]*Table1[[#This Row],[Quantity]]</f>
        <v>96000</v>
      </c>
      <c r="O1732" s="9">
        <f>Table1[[#This Row],[Revenue]]-Table1[[#This Row],[COGS]]</f>
        <v>24000</v>
      </c>
      <c r="P1732" s="6">
        <v>1731</v>
      </c>
    </row>
    <row r="1733" spans="1:16">
      <c r="A1733" s="7" t="s">
        <v>105</v>
      </c>
      <c r="B1733" s="7" t="str">
        <f>TEXT(Table1[[#This Row],[Date]],"MMM")</f>
        <v>Mar</v>
      </c>
      <c r="C1733" t="s">
        <v>49</v>
      </c>
      <c r="D1733" t="s">
        <v>36</v>
      </c>
      <c r="E1733" t="s">
        <v>41</v>
      </c>
      <c r="F1733" t="s">
        <v>30</v>
      </c>
      <c r="G1733" t="s">
        <v>46</v>
      </c>
      <c r="H1733" t="s">
        <v>39</v>
      </c>
      <c r="I1733" s="9">
        <v>60000</v>
      </c>
      <c r="J1733">
        <v>4</v>
      </c>
      <c r="K1733" t="s">
        <v>65</v>
      </c>
      <c r="L1733" s="9">
        <f t="shared" si="27"/>
        <v>48000</v>
      </c>
      <c r="M1733" s="9">
        <f>Table1[[#This Row],[Unit Price]]*Table1[[#This Row],[Quantity]]</f>
        <v>240000</v>
      </c>
      <c r="N1733" s="9">
        <f>Table1[[#This Row],[Cost Price]]*Table1[[#This Row],[Quantity]]</f>
        <v>192000</v>
      </c>
      <c r="O1733" s="9">
        <f>Table1[[#This Row],[Revenue]]-Table1[[#This Row],[COGS]]</f>
        <v>48000</v>
      </c>
      <c r="P1733" s="6">
        <v>1732</v>
      </c>
    </row>
    <row r="1734" spans="1:16">
      <c r="A1734" s="7" t="s">
        <v>74</v>
      </c>
      <c r="B1734" s="7" t="str">
        <f>TEXT(Table1[[#This Row],[Date]],"MMM")</f>
        <v>Feb</v>
      </c>
      <c r="C1734" t="s">
        <v>49</v>
      </c>
      <c r="D1734" t="s">
        <v>45</v>
      </c>
      <c r="E1734" t="s">
        <v>29</v>
      </c>
      <c r="F1734" t="s">
        <v>37</v>
      </c>
      <c r="G1734" t="s">
        <v>71</v>
      </c>
      <c r="H1734" t="s">
        <v>51</v>
      </c>
      <c r="I1734" s="9">
        <v>250000</v>
      </c>
      <c r="J1734">
        <v>8</v>
      </c>
      <c r="K1734" t="s">
        <v>33</v>
      </c>
      <c r="L1734" s="9">
        <f t="shared" si="27"/>
        <v>200000</v>
      </c>
      <c r="M1734" s="9">
        <f>Table1[[#This Row],[Unit Price]]*Table1[[#This Row],[Quantity]]</f>
        <v>2000000</v>
      </c>
      <c r="N1734" s="9">
        <f>Table1[[#This Row],[Cost Price]]*Table1[[#This Row],[Quantity]]</f>
        <v>1600000</v>
      </c>
      <c r="O1734" s="9">
        <f>Table1[[#This Row],[Revenue]]-Table1[[#This Row],[COGS]]</f>
        <v>400000</v>
      </c>
      <c r="P1734" s="6">
        <v>1733</v>
      </c>
    </row>
    <row r="1735" spans="1:16">
      <c r="A1735" s="7" t="s">
        <v>173</v>
      </c>
      <c r="B1735" s="7" t="str">
        <f>TEXT(Table1[[#This Row],[Date]],"MMM")</f>
        <v>Mar</v>
      </c>
      <c r="C1735" t="s">
        <v>49</v>
      </c>
      <c r="D1735" t="s">
        <v>53</v>
      </c>
      <c r="E1735" t="s">
        <v>41</v>
      </c>
      <c r="F1735" t="s">
        <v>30</v>
      </c>
      <c r="G1735" t="s">
        <v>38</v>
      </c>
      <c r="H1735" t="s">
        <v>39</v>
      </c>
      <c r="I1735" s="9">
        <v>30000</v>
      </c>
      <c r="J1735">
        <v>6</v>
      </c>
      <c r="K1735" t="s">
        <v>47</v>
      </c>
      <c r="L1735" s="9">
        <f t="shared" si="27"/>
        <v>24000</v>
      </c>
      <c r="M1735" s="9">
        <f>Table1[[#This Row],[Unit Price]]*Table1[[#This Row],[Quantity]]</f>
        <v>180000</v>
      </c>
      <c r="N1735" s="9">
        <f>Table1[[#This Row],[Cost Price]]*Table1[[#This Row],[Quantity]]</f>
        <v>144000</v>
      </c>
      <c r="O1735" s="9">
        <f>Table1[[#This Row],[Revenue]]-Table1[[#This Row],[COGS]]</f>
        <v>36000</v>
      </c>
      <c r="P1735" s="6">
        <v>1734</v>
      </c>
    </row>
    <row r="1736" spans="1:16">
      <c r="A1736" s="7" t="s">
        <v>86</v>
      </c>
      <c r="B1736" s="7" t="str">
        <f>TEXT(Table1[[#This Row],[Date]],"MMM")</f>
        <v>Feb</v>
      </c>
      <c r="C1736" t="s">
        <v>44</v>
      </c>
      <c r="D1736" t="s">
        <v>36</v>
      </c>
      <c r="E1736" t="s">
        <v>41</v>
      </c>
      <c r="F1736" t="s">
        <v>37</v>
      </c>
      <c r="G1736" t="s">
        <v>71</v>
      </c>
      <c r="H1736" t="s">
        <v>51</v>
      </c>
      <c r="I1736" s="9">
        <v>250000</v>
      </c>
      <c r="J1736">
        <v>1</v>
      </c>
      <c r="K1736" t="s">
        <v>42</v>
      </c>
      <c r="L1736" s="9">
        <f t="shared" si="27"/>
        <v>200000</v>
      </c>
      <c r="M1736" s="9">
        <f>Table1[[#This Row],[Unit Price]]*Table1[[#This Row],[Quantity]]</f>
        <v>250000</v>
      </c>
      <c r="N1736" s="9">
        <f>Table1[[#This Row],[Cost Price]]*Table1[[#This Row],[Quantity]]</f>
        <v>200000</v>
      </c>
      <c r="O1736" s="9">
        <f>Table1[[#This Row],[Revenue]]-Table1[[#This Row],[COGS]]</f>
        <v>50000</v>
      </c>
      <c r="P1736" s="6">
        <v>1735</v>
      </c>
    </row>
    <row r="1737" spans="1:16">
      <c r="A1737" s="7" t="s">
        <v>103</v>
      </c>
      <c r="B1737" s="7" t="str">
        <f>TEXT(Table1[[#This Row],[Date]],"MMM")</f>
        <v>Mar</v>
      </c>
      <c r="C1737" t="s">
        <v>27</v>
      </c>
      <c r="D1737" t="s">
        <v>28</v>
      </c>
      <c r="E1737" t="s">
        <v>29</v>
      </c>
      <c r="F1737" t="s">
        <v>30</v>
      </c>
      <c r="G1737" t="s">
        <v>31</v>
      </c>
      <c r="H1737" t="s">
        <v>32</v>
      </c>
      <c r="I1737" s="9">
        <v>85000</v>
      </c>
      <c r="J1737">
        <v>1</v>
      </c>
      <c r="K1737" t="s">
        <v>58</v>
      </c>
      <c r="L1737" s="9">
        <f t="shared" si="27"/>
        <v>68000</v>
      </c>
      <c r="M1737" s="9">
        <f>Table1[[#This Row],[Unit Price]]*Table1[[#This Row],[Quantity]]</f>
        <v>85000</v>
      </c>
      <c r="N1737" s="9">
        <f>Table1[[#This Row],[Cost Price]]*Table1[[#This Row],[Quantity]]</f>
        <v>68000</v>
      </c>
      <c r="O1737" s="9">
        <f>Table1[[#This Row],[Revenue]]-Table1[[#This Row],[COGS]]</f>
        <v>17000</v>
      </c>
      <c r="P1737" s="6">
        <v>1736</v>
      </c>
    </row>
    <row r="1738" spans="1:16">
      <c r="A1738" s="7" t="s">
        <v>95</v>
      </c>
      <c r="B1738" s="7" t="str">
        <f>TEXT(Table1[[#This Row],[Date]],"MMM")</f>
        <v>Feb</v>
      </c>
      <c r="C1738" t="s">
        <v>49</v>
      </c>
      <c r="D1738" t="s">
        <v>28</v>
      </c>
      <c r="E1738" t="s">
        <v>41</v>
      </c>
      <c r="F1738" t="s">
        <v>37</v>
      </c>
      <c r="G1738" t="s">
        <v>38</v>
      </c>
      <c r="H1738" t="s">
        <v>39</v>
      </c>
      <c r="I1738" s="9">
        <v>30000</v>
      </c>
      <c r="J1738">
        <v>9</v>
      </c>
      <c r="K1738" t="s">
        <v>33</v>
      </c>
      <c r="L1738" s="9">
        <f t="shared" si="27"/>
        <v>24000</v>
      </c>
      <c r="M1738" s="9">
        <f>Table1[[#This Row],[Unit Price]]*Table1[[#This Row],[Quantity]]</f>
        <v>270000</v>
      </c>
      <c r="N1738" s="9">
        <f>Table1[[#This Row],[Cost Price]]*Table1[[#This Row],[Quantity]]</f>
        <v>216000</v>
      </c>
      <c r="O1738" s="9">
        <f>Table1[[#This Row],[Revenue]]-Table1[[#This Row],[COGS]]</f>
        <v>54000</v>
      </c>
      <c r="P1738" s="6">
        <v>1737</v>
      </c>
    </row>
    <row r="1739" spans="1:16">
      <c r="A1739" s="7" t="s">
        <v>108</v>
      </c>
      <c r="B1739" s="7" t="str">
        <f>TEXT(Table1[[#This Row],[Date]],"MMM")</f>
        <v>Apr</v>
      </c>
      <c r="C1739" t="s">
        <v>44</v>
      </c>
      <c r="D1739" t="s">
        <v>53</v>
      </c>
      <c r="E1739" t="s">
        <v>41</v>
      </c>
      <c r="F1739" t="s">
        <v>37</v>
      </c>
      <c r="G1739" t="s">
        <v>38</v>
      </c>
      <c r="H1739" t="s">
        <v>39</v>
      </c>
      <c r="I1739" s="9">
        <v>30000</v>
      </c>
      <c r="J1739">
        <v>3</v>
      </c>
      <c r="K1739" t="s">
        <v>33</v>
      </c>
      <c r="L1739" s="9">
        <f t="shared" si="27"/>
        <v>24000</v>
      </c>
      <c r="M1739" s="9">
        <f>Table1[[#This Row],[Unit Price]]*Table1[[#This Row],[Quantity]]</f>
        <v>90000</v>
      </c>
      <c r="N1739" s="9">
        <f>Table1[[#This Row],[Cost Price]]*Table1[[#This Row],[Quantity]]</f>
        <v>72000</v>
      </c>
      <c r="O1739" s="9">
        <f>Table1[[#This Row],[Revenue]]-Table1[[#This Row],[COGS]]</f>
        <v>18000</v>
      </c>
      <c r="P1739" s="6">
        <v>1738</v>
      </c>
    </row>
    <row r="1740" spans="1:16">
      <c r="A1740" s="7" t="s">
        <v>127</v>
      </c>
      <c r="B1740" s="7" t="str">
        <f>TEXT(Table1[[#This Row],[Date]],"MMM")</f>
        <v>Jan</v>
      </c>
      <c r="C1740" t="s">
        <v>44</v>
      </c>
      <c r="D1740" t="s">
        <v>28</v>
      </c>
      <c r="E1740" t="s">
        <v>41</v>
      </c>
      <c r="F1740" t="s">
        <v>37</v>
      </c>
      <c r="G1740" t="s">
        <v>62</v>
      </c>
      <c r="H1740" t="s">
        <v>51</v>
      </c>
      <c r="I1740" s="9">
        <v>150000</v>
      </c>
      <c r="J1740">
        <v>8</v>
      </c>
      <c r="K1740" t="s">
        <v>47</v>
      </c>
      <c r="L1740" s="9">
        <f t="shared" si="27"/>
        <v>120000</v>
      </c>
      <c r="M1740" s="9">
        <f>Table1[[#This Row],[Unit Price]]*Table1[[#This Row],[Quantity]]</f>
        <v>1200000</v>
      </c>
      <c r="N1740" s="9">
        <f>Table1[[#This Row],[Cost Price]]*Table1[[#This Row],[Quantity]]</f>
        <v>960000</v>
      </c>
      <c r="O1740" s="9">
        <f>Table1[[#This Row],[Revenue]]-Table1[[#This Row],[COGS]]</f>
        <v>240000</v>
      </c>
      <c r="P1740" s="6">
        <v>1739</v>
      </c>
    </row>
    <row r="1741" spans="1:16">
      <c r="A1741" s="7" t="s">
        <v>111</v>
      </c>
      <c r="B1741" s="7" t="str">
        <f>TEXT(Table1[[#This Row],[Date]],"MMM")</f>
        <v>Feb</v>
      </c>
      <c r="C1741" t="s">
        <v>49</v>
      </c>
      <c r="D1741" t="s">
        <v>45</v>
      </c>
      <c r="E1741" t="s">
        <v>29</v>
      </c>
      <c r="F1741" t="s">
        <v>37</v>
      </c>
      <c r="G1741" t="s">
        <v>31</v>
      </c>
      <c r="H1741" t="s">
        <v>32</v>
      </c>
      <c r="I1741" s="9">
        <v>85000</v>
      </c>
      <c r="J1741">
        <v>4</v>
      </c>
      <c r="K1741" t="s">
        <v>42</v>
      </c>
      <c r="L1741" s="9">
        <f t="shared" si="27"/>
        <v>68000</v>
      </c>
      <c r="M1741" s="9">
        <f>Table1[[#This Row],[Unit Price]]*Table1[[#This Row],[Quantity]]</f>
        <v>340000</v>
      </c>
      <c r="N1741" s="9">
        <f>Table1[[#This Row],[Cost Price]]*Table1[[#This Row],[Quantity]]</f>
        <v>272000</v>
      </c>
      <c r="O1741" s="9">
        <f>Table1[[#This Row],[Revenue]]-Table1[[#This Row],[COGS]]</f>
        <v>68000</v>
      </c>
      <c r="P1741" s="6">
        <v>1740</v>
      </c>
    </row>
    <row r="1742" spans="1:16">
      <c r="A1742" s="7" t="s">
        <v>68</v>
      </c>
      <c r="B1742" s="7" t="str">
        <f>TEXT(Table1[[#This Row],[Date]],"MMM")</f>
        <v>Mar</v>
      </c>
      <c r="C1742" t="s">
        <v>27</v>
      </c>
      <c r="D1742" t="s">
        <v>45</v>
      </c>
      <c r="E1742" t="s">
        <v>41</v>
      </c>
      <c r="F1742" t="s">
        <v>37</v>
      </c>
      <c r="G1742" t="s">
        <v>56</v>
      </c>
      <c r="H1742" t="s">
        <v>32</v>
      </c>
      <c r="I1742" s="9">
        <v>320000</v>
      </c>
      <c r="J1742">
        <v>3</v>
      </c>
      <c r="K1742" t="s">
        <v>47</v>
      </c>
      <c r="L1742" s="9">
        <f t="shared" si="27"/>
        <v>256000</v>
      </c>
      <c r="M1742" s="9">
        <f>Table1[[#This Row],[Unit Price]]*Table1[[#This Row],[Quantity]]</f>
        <v>960000</v>
      </c>
      <c r="N1742" s="9">
        <f>Table1[[#This Row],[Cost Price]]*Table1[[#This Row],[Quantity]]</f>
        <v>768000</v>
      </c>
      <c r="O1742" s="9">
        <f>Table1[[#This Row],[Revenue]]-Table1[[#This Row],[COGS]]</f>
        <v>192000</v>
      </c>
      <c r="P1742" s="6">
        <v>1741</v>
      </c>
    </row>
    <row r="1743" spans="1:16">
      <c r="A1743" s="7" t="s">
        <v>173</v>
      </c>
      <c r="B1743" s="7" t="str">
        <f>TEXT(Table1[[#This Row],[Date]],"MMM")</f>
        <v>Mar</v>
      </c>
      <c r="C1743" t="s">
        <v>35</v>
      </c>
      <c r="D1743" t="s">
        <v>53</v>
      </c>
      <c r="E1743" t="s">
        <v>29</v>
      </c>
      <c r="F1743" t="s">
        <v>30</v>
      </c>
      <c r="G1743" t="s">
        <v>46</v>
      </c>
      <c r="H1743" t="s">
        <v>39</v>
      </c>
      <c r="I1743" s="9">
        <v>60000</v>
      </c>
      <c r="J1743">
        <v>7</v>
      </c>
      <c r="K1743" t="s">
        <v>42</v>
      </c>
      <c r="L1743" s="9">
        <f t="shared" si="27"/>
        <v>48000</v>
      </c>
      <c r="M1743" s="9">
        <f>Table1[[#This Row],[Unit Price]]*Table1[[#This Row],[Quantity]]</f>
        <v>420000</v>
      </c>
      <c r="N1743" s="9">
        <f>Table1[[#This Row],[Cost Price]]*Table1[[#This Row],[Quantity]]</f>
        <v>336000</v>
      </c>
      <c r="O1743" s="9">
        <f>Table1[[#This Row],[Revenue]]-Table1[[#This Row],[COGS]]</f>
        <v>84000</v>
      </c>
      <c r="P1743" s="6">
        <v>1742</v>
      </c>
    </row>
    <row r="1744" spans="1:16">
      <c r="A1744" s="7" t="s">
        <v>131</v>
      </c>
      <c r="B1744" s="7" t="str">
        <f>TEXT(Table1[[#This Row],[Date]],"MMM")</f>
        <v>Mar</v>
      </c>
      <c r="C1744" t="s">
        <v>35</v>
      </c>
      <c r="D1744" t="s">
        <v>53</v>
      </c>
      <c r="E1744" t="s">
        <v>41</v>
      </c>
      <c r="F1744" t="s">
        <v>37</v>
      </c>
      <c r="G1744" t="s">
        <v>50</v>
      </c>
      <c r="H1744" t="s">
        <v>51</v>
      </c>
      <c r="I1744" s="9">
        <v>300000</v>
      </c>
      <c r="J1744">
        <v>6</v>
      </c>
      <c r="K1744" t="s">
        <v>42</v>
      </c>
      <c r="L1744" s="9">
        <f t="shared" si="27"/>
        <v>240000</v>
      </c>
      <c r="M1744" s="9">
        <f>Table1[[#This Row],[Unit Price]]*Table1[[#This Row],[Quantity]]</f>
        <v>1800000</v>
      </c>
      <c r="N1744" s="9">
        <f>Table1[[#This Row],[Cost Price]]*Table1[[#This Row],[Quantity]]</f>
        <v>1440000</v>
      </c>
      <c r="O1744" s="9">
        <f>Table1[[#This Row],[Revenue]]-Table1[[#This Row],[COGS]]</f>
        <v>360000</v>
      </c>
      <c r="P1744" s="6">
        <v>1743</v>
      </c>
    </row>
    <row r="1745" spans="1:16">
      <c r="A1745" s="7" t="s">
        <v>75</v>
      </c>
      <c r="B1745" s="7" t="str">
        <f>TEXT(Table1[[#This Row],[Date]],"MMM")</f>
        <v>Mar</v>
      </c>
      <c r="C1745" t="s">
        <v>44</v>
      </c>
      <c r="D1745" t="s">
        <v>53</v>
      </c>
      <c r="E1745" t="s">
        <v>29</v>
      </c>
      <c r="F1745" t="s">
        <v>30</v>
      </c>
      <c r="G1745" t="s">
        <v>62</v>
      </c>
      <c r="H1745" t="s">
        <v>51</v>
      </c>
      <c r="I1745" s="9">
        <v>150000</v>
      </c>
      <c r="J1745">
        <v>6</v>
      </c>
      <c r="K1745" t="s">
        <v>58</v>
      </c>
      <c r="L1745" s="9">
        <f t="shared" si="27"/>
        <v>120000</v>
      </c>
      <c r="M1745" s="9">
        <f>Table1[[#This Row],[Unit Price]]*Table1[[#This Row],[Quantity]]</f>
        <v>900000</v>
      </c>
      <c r="N1745" s="9">
        <f>Table1[[#This Row],[Cost Price]]*Table1[[#This Row],[Quantity]]</f>
        <v>720000</v>
      </c>
      <c r="O1745" s="9">
        <f>Table1[[#This Row],[Revenue]]-Table1[[#This Row],[COGS]]</f>
        <v>180000</v>
      </c>
      <c r="P1745" s="6">
        <v>1744</v>
      </c>
    </row>
    <row r="1746" spans="1:16">
      <c r="A1746" s="7" t="s">
        <v>130</v>
      </c>
      <c r="B1746" s="7" t="str">
        <f>TEXT(Table1[[#This Row],[Date]],"MMM")</f>
        <v>Jan</v>
      </c>
      <c r="C1746" t="s">
        <v>44</v>
      </c>
      <c r="D1746" t="s">
        <v>28</v>
      </c>
      <c r="E1746" t="s">
        <v>41</v>
      </c>
      <c r="F1746" t="s">
        <v>30</v>
      </c>
      <c r="G1746" t="s">
        <v>50</v>
      </c>
      <c r="H1746" t="s">
        <v>51</v>
      </c>
      <c r="I1746" s="9">
        <v>300000</v>
      </c>
      <c r="J1746">
        <v>10</v>
      </c>
      <c r="K1746" t="s">
        <v>47</v>
      </c>
      <c r="L1746" s="9">
        <f t="shared" si="27"/>
        <v>240000</v>
      </c>
      <c r="M1746" s="9">
        <f>Table1[[#This Row],[Unit Price]]*Table1[[#This Row],[Quantity]]</f>
        <v>3000000</v>
      </c>
      <c r="N1746" s="9">
        <f>Table1[[#This Row],[Cost Price]]*Table1[[#This Row],[Quantity]]</f>
        <v>2400000</v>
      </c>
      <c r="O1746" s="9">
        <f>Table1[[#This Row],[Revenue]]-Table1[[#This Row],[COGS]]</f>
        <v>600000</v>
      </c>
      <c r="P1746" s="6">
        <v>1745</v>
      </c>
    </row>
    <row r="1747" spans="1:16">
      <c r="A1747" s="7" t="s">
        <v>111</v>
      </c>
      <c r="B1747" s="7" t="str">
        <f>TEXT(Table1[[#This Row],[Date]],"MMM")</f>
        <v>Feb</v>
      </c>
      <c r="C1747" t="s">
        <v>35</v>
      </c>
      <c r="D1747" t="s">
        <v>36</v>
      </c>
      <c r="E1747" t="s">
        <v>29</v>
      </c>
      <c r="F1747" t="s">
        <v>30</v>
      </c>
      <c r="G1747" t="s">
        <v>67</v>
      </c>
      <c r="H1747" t="s">
        <v>51</v>
      </c>
      <c r="I1747" s="9">
        <v>420000</v>
      </c>
      <c r="J1747">
        <v>1</v>
      </c>
      <c r="K1747" t="s">
        <v>33</v>
      </c>
      <c r="L1747" s="9">
        <f t="shared" si="27"/>
        <v>336000</v>
      </c>
      <c r="M1747" s="9">
        <f>Table1[[#This Row],[Unit Price]]*Table1[[#This Row],[Quantity]]</f>
        <v>420000</v>
      </c>
      <c r="N1747" s="9">
        <f>Table1[[#This Row],[Cost Price]]*Table1[[#This Row],[Quantity]]</f>
        <v>336000</v>
      </c>
      <c r="O1747" s="9">
        <f>Table1[[#This Row],[Revenue]]-Table1[[#This Row],[COGS]]</f>
        <v>84000</v>
      </c>
      <c r="P1747" s="6">
        <v>1746</v>
      </c>
    </row>
    <row r="1748" spans="1:16">
      <c r="A1748" s="7" t="s">
        <v>131</v>
      </c>
      <c r="B1748" s="7" t="str">
        <f>TEXT(Table1[[#This Row],[Date]],"MMM")</f>
        <v>Mar</v>
      </c>
      <c r="C1748" t="s">
        <v>27</v>
      </c>
      <c r="D1748" t="s">
        <v>28</v>
      </c>
      <c r="E1748" t="s">
        <v>29</v>
      </c>
      <c r="F1748" t="s">
        <v>37</v>
      </c>
      <c r="G1748" t="s">
        <v>46</v>
      </c>
      <c r="H1748" t="s">
        <v>39</v>
      </c>
      <c r="I1748" s="9">
        <v>60000</v>
      </c>
      <c r="J1748">
        <v>1</v>
      </c>
      <c r="K1748" t="s">
        <v>42</v>
      </c>
      <c r="L1748" s="9">
        <f t="shared" si="27"/>
        <v>48000</v>
      </c>
      <c r="M1748" s="9">
        <f>Table1[[#This Row],[Unit Price]]*Table1[[#This Row],[Quantity]]</f>
        <v>60000</v>
      </c>
      <c r="N1748" s="9">
        <f>Table1[[#This Row],[Cost Price]]*Table1[[#This Row],[Quantity]]</f>
        <v>48000</v>
      </c>
      <c r="O1748" s="9">
        <f>Table1[[#This Row],[Revenue]]-Table1[[#This Row],[COGS]]</f>
        <v>12000</v>
      </c>
      <c r="P1748" s="6">
        <v>1747</v>
      </c>
    </row>
    <row r="1749" spans="1:16">
      <c r="A1749" s="7" t="s">
        <v>148</v>
      </c>
      <c r="B1749" s="7" t="str">
        <f>TEXT(Table1[[#This Row],[Date]],"MMM")</f>
        <v>Feb</v>
      </c>
      <c r="C1749" t="s">
        <v>49</v>
      </c>
      <c r="D1749" t="s">
        <v>36</v>
      </c>
      <c r="E1749" t="s">
        <v>29</v>
      </c>
      <c r="F1749" t="s">
        <v>30</v>
      </c>
      <c r="G1749" t="s">
        <v>62</v>
      </c>
      <c r="H1749" t="s">
        <v>51</v>
      </c>
      <c r="I1749" s="9">
        <v>150000</v>
      </c>
      <c r="J1749">
        <v>10</v>
      </c>
      <c r="K1749" t="s">
        <v>69</v>
      </c>
      <c r="L1749" s="9">
        <f t="shared" si="27"/>
        <v>120000</v>
      </c>
      <c r="M1749" s="9">
        <f>Table1[[#This Row],[Unit Price]]*Table1[[#This Row],[Quantity]]</f>
        <v>1500000</v>
      </c>
      <c r="N1749" s="9">
        <f>Table1[[#This Row],[Cost Price]]*Table1[[#This Row],[Quantity]]</f>
        <v>1200000</v>
      </c>
      <c r="O1749" s="9">
        <f>Table1[[#This Row],[Revenue]]-Table1[[#This Row],[COGS]]</f>
        <v>300000</v>
      </c>
      <c r="P1749" s="6">
        <v>1748</v>
      </c>
    </row>
    <row r="1750" spans="1:16">
      <c r="A1750" s="7" t="s">
        <v>100</v>
      </c>
      <c r="B1750" s="7" t="str">
        <f>TEXT(Table1[[#This Row],[Date]],"MMM")</f>
        <v>Jan</v>
      </c>
      <c r="C1750" t="s">
        <v>27</v>
      </c>
      <c r="D1750" t="s">
        <v>53</v>
      </c>
      <c r="E1750" t="s">
        <v>29</v>
      </c>
      <c r="F1750" t="s">
        <v>30</v>
      </c>
      <c r="G1750" t="s">
        <v>54</v>
      </c>
      <c r="H1750" t="s">
        <v>39</v>
      </c>
      <c r="I1750" s="9">
        <v>180000</v>
      </c>
      <c r="J1750">
        <v>10</v>
      </c>
      <c r="K1750" t="s">
        <v>47</v>
      </c>
      <c r="L1750" s="9">
        <f t="shared" si="27"/>
        <v>144000</v>
      </c>
      <c r="M1750" s="9">
        <f>Table1[[#This Row],[Unit Price]]*Table1[[#This Row],[Quantity]]</f>
        <v>1800000</v>
      </c>
      <c r="N1750" s="9">
        <f>Table1[[#This Row],[Cost Price]]*Table1[[#This Row],[Quantity]]</f>
        <v>1440000</v>
      </c>
      <c r="O1750" s="9">
        <f>Table1[[#This Row],[Revenue]]-Table1[[#This Row],[COGS]]</f>
        <v>360000</v>
      </c>
      <c r="P1750" s="6">
        <v>1749</v>
      </c>
    </row>
    <row r="1751" spans="1:16">
      <c r="A1751" s="7" t="s">
        <v>109</v>
      </c>
      <c r="B1751" s="7" t="str">
        <f>TEXT(Table1[[#This Row],[Date]],"MMM")</f>
        <v>Mar</v>
      </c>
      <c r="C1751" t="s">
        <v>44</v>
      </c>
      <c r="D1751" t="s">
        <v>28</v>
      </c>
      <c r="E1751" t="s">
        <v>41</v>
      </c>
      <c r="F1751" t="s">
        <v>30</v>
      </c>
      <c r="G1751" t="s">
        <v>62</v>
      </c>
      <c r="H1751" t="s">
        <v>51</v>
      </c>
      <c r="I1751" s="9">
        <v>150000</v>
      </c>
      <c r="J1751">
        <v>10</v>
      </c>
      <c r="K1751" t="s">
        <v>42</v>
      </c>
      <c r="L1751" s="9">
        <f t="shared" si="27"/>
        <v>120000</v>
      </c>
      <c r="M1751" s="9">
        <f>Table1[[#This Row],[Unit Price]]*Table1[[#This Row],[Quantity]]</f>
        <v>1500000</v>
      </c>
      <c r="N1751" s="9">
        <f>Table1[[#This Row],[Cost Price]]*Table1[[#This Row],[Quantity]]</f>
        <v>1200000</v>
      </c>
      <c r="O1751" s="9">
        <f>Table1[[#This Row],[Revenue]]-Table1[[#This Row],[COGS]]</f>
        <v>300000</v>
      </c>
      <c r="P1751" s="6">
        <v>1750</v>
      </c>
    </row>
    <row r="1752" spans="1:16">
      <c r="A1752" s="7" t="s">
        <v>175</v>
      </c>
      <c r="B1752" s="7" t="str">
        <f>TEXT(Table1[[#This Row],[Date]],"MMM")</f>
        <v>Jan</v>
      </c>
      <c r="C1752" t="s">
        <v>35</v>
      </c>
      <c r="D1752" t="s">
        <v>28</v>
      </c>
      <c r="E1752" t="s">
        <v>41</v>
      </c>
      <c r="F1752" t="s">
        <v>37</v>
      </c>
      <c r="G1752" t="s">
        <v>46</v>
      </c>
      <c r="H1752" t="s">
        <v>39</v>
      </c>
      <c r="I1752" s="9">
        <v>60000</v>
      </c>
      <c r="J1752">
        <v>8</v>
      </c>
      <c r="K1752" t="s">
        <v>69</v>
      </c>
      <c r="L1752" s="9">
        <f t="shared" si="27"/>
        <v>48000</v>
      </c>
      <c r="M1752" s="9">
        <f>Table1[[#This Row],[Unit Price]]*Table1[[#This Row],[Quantity]]</f>
        <v>480000</v>
      </c>
      <c r="N1752" s="9">
        <f>Table1[[#This Row],[Cost Price]]*Table1[[#This Row],[Quantity]]</f>
        <v>384000</v>
      </c>
      <c r="O1752" s="9">
        <f>Table1[[#This Row],[Revenue]]-Table1[[#This Row],[COGS]]</f>
        <v>96000</v>
      </c>
      <c r="P1752" s="6">
        <v>1751</v>
      </c>
    </row>
    <row r="1753" spans="1:16">
      <c r="A1753" s="7" t="s">
        <v>110</v>
      </c>
      <c r="B1753" s="7" t="str">
        <f>TEXT(Table1[[#This Row],[Date]],"MMM")</f>
        <v>Jan</v>
      </c>
      <c r="C1753" t="s">
        <v>49</v>
      </c>
      <c r="D1753" t="s">
        <v>28</v>
      </c>
      <c r="E1753" t="s">
        <v>29</v>
      </c>
      <c r="F1753" t="s">
        <v>30</v>
      </c>
      <c r="G1753" t="s">
        <v>73</v>
      </c>
      <c r="H1753" t="s">
        <v>39</v>
      </c>
      <c r="I1753" s="9">
        <v>220000</v>
      </c>
      <c r="J1753">
        <v>7</v>
      </c>
      <c r="K1753" t="s">
        <v>65</v>
      </c>
      <c r="L1753" s="9">
        <f t="shared" si="27"/>
        <v>176000</v>
      </c>
      <c r="M1753" s="9">
        <f>Table1[[#This Row],[Unit Price]]*Table1[[#This Row],[Quantity]]</f>
        <v>1540000</v>
      </c>
      <c r="N1753" s="9">
        <f>Table1[[#This Row],[Cost Price]]*Table1[[#This Row],[Quantity]]</f>
        <v>1232000</v>
      </c>
      <c r="O1753" s="9">
        <f>Table1[[#This Row],[Revenue]]-Table1[[#This Row],[COGS]]</f>
        <v>308000</v>
      </c>
      <c r="P1753" s="6">
        <v>1752</v>
      </c>
    </row>
    <row r="1754" spans="1:16">
      <c r="A1754" s="7" t="s">
        <v>153</v>
      </c>
      <c r="B1754" s="7" t="str">
        <f>TEXT(Table1[[#This Row],[Date]],"MMM")</f>
        <v>Mar</v>
      </c>
      <c r="C1754" t="s">
        <v>35</v>
      </c>
      <c r="D1754" t="s">
        <v>53</v>
      </c>
      <c r="E1754" t="s">
        <v>29</v>
      </c>
      <c r="F1754" t="s">
        <v>30</v>
      </c>
      <c r="G1754" t="s">
        <v>38</v>
      </c>
      <c r="H1754" t="s">
        <v>39</v>
      </c>
      <c r="I1754" s="9">
        <v>30000</v>
      </c>
      <c r="J1754">
        <v>1</v>
      </c>
      <c r="K1754" t="s">
        <v>58</v>
      </c>
      <c r="L1754" s="9">
        <f t="shared" si="27"/>
        <v>24000</v>
      </c>
      <c r="M1754" s="9">
        <f>Table1[[#This Row],[Unit Price]]*Table1[[#This Row],[Quantity]]</f>
        <v>30000</v>
      </c>
      <c r="N1754" s="9">
        <f>Table1[[#This Row],[Cost Price]]*Table1[[#This Row],[Quantity]]</f>
        <v>24000</v>
      </c>
      <c r="O1754" s="9">
        <f>Table1[[#This Row],[Revenue]]-Table1[[#This Row],[COGS]]</f>
        <v>6000</v>
      </c>
      <c r="P1754" s="6">
        <v>1753</v>
      </c>
    </row>
    <row r="1755" spans="1:16">
      <c r="A1755" s="7" t="s">
        <v>82</v>
      </c>
      <c r="B1755" s="7" t="str">
        <f>TEXT(Table1[[#This Row],[Date]],"MMM")</f>
        <v>Mar</v>
      </c>
      <c r="C1755" t="s">
        <v>35</v>
      </c>
      <c r="D1755" t="s">
        <v>36</v>
      </c>
      <c r="E1755" t="s">
        <v>41</v>
      </c>
      <c r="F1755" t="s">
        <v>37</v>
      </c>
      <c r="G1755" t="s">
        <v>62</v>
      </c>
      <c r="H1755" t="s">
        <v>51</v>
      </c>
      <c r="I1755" s="9">
        <v>150000</v>
      </c>
      <c r="J1755">
        <v>6</v>
      </c>
      <c r="K1755" t="s">
        <v>33</v>
      </c>
      <c r="L1755" s="9">
        <f t="shared" si="27"/>
        <v>120000</v>
      </c>
      <c r="M1755" s="9">
        <f>Table1[[#This Row],[Unit Price]]*Table1[[#This Row],[Quantity]]</f>
        <v>900000</v>
      </c>
      <c r="N1755" s="9">
        <f>Table1[[#This Row],[Cost Price]]*Table1[[#This Row],[Quantity]]</f>
        <v>720000</v>
      </c>
      <c r="O1755" s="9">
        <f>Table1[[#This Row],[Revenue]]-Table1[[#This Row],[COGS]]</f>
        <v>180000</v>
      </c>
      <c r="P1755" s="6">
        <v>1754</v>
      </c>
    </row>
    <row r="1756" spans="1:16">
      <c r="A1756" s="7" t="s">
        <v>86</v>
      </c>
      <c r="B1756" s="7" t="str">
        <f>TEXT(Table1[[#This Row],[Date]],"MMM")</f>
        <v>Feb</v>
      </c>
      <c r="C1756" t="s">
        <v>44</v>
      </c>
      <c r="D1756" t="s">
        <v>53</v>
      </c>
      <c r="E1756" t="s">
        <v>29</v>
      </c>
      <c r="F1756" t="s">
        <v>37</v>
      </c>
      <c r="G1756" t="s">
        <v>38</v>
      </c>
      <c r="H1756" t="s">
        <v>39</v>
      </c>
      <c r="I1756" s="9">
        <v>30000</v>
      </c>
      <c r="J1756">
        <v>4</v>
      </c>
      <c r="K1756" t="s">
        <v>33</v>
      </c>
      <c r="L1756" s="9">
        <f t="shared" si="27"/>
        <v>24000</v>
      </c>
      <c r="M1756" s="9">
        <f>Table1[[#This Row],[Unit Price]]*Table1[[#This Row],[Quantity]]</f>
        <v>120000</v>
      </c>
      <c r="N1756" s="9">
        <f>Table1[[#This Row],[Cost Price]]*Table1[[#This Row],[Quantity]]</f>
        <v>96000</v>
      </c>
      <c r="O1756" s="9">
        <f>Table1[[#This Row],[Revenue]]-Table1[[#This Row],[COGS]]</f>
        <v>24000</v>
      </c>
      <c r="P1756" s="6">
        <v>1755</v>
      </c>
    </row>
    <row r="1757" spans="1:16">
      <c r="A1757" s="7" t="s">
        <v>125</v>
      </c>
      <c r="B1757" s="7" t="str">
        <f>TEXT(Table1[[#This Row],[Date]],"MMM")</f>
        <v>Feb</v>
      </c>
      <c r="C1757" t="s">
        <v>44</v>
      </c>
      <c r="D1757" t="s">
        <v>45</v>
      </c>
      <c r="E1757" t="s">
        <v>41</v>
      </c>
      <c r="F1757" t="s">
        <v>30</v>
      </c>
      <c r="G1757" t="s">
        <v>73</v>
      </c>
      <c r="H1757" t="s">
        <v>39</v>
      </c>
      <c r="I1757" s="9">
        <v>220000</v>
      </c>
      <c r="J1757">
        <v>1</v>
      </c>
      <c r="K1757" t="s">
        <v>47</v>
      </c>
      <c r="L1757" s="9">
        <f t="shared" si="27"/>
        <v>176000</v>
      </c>
      <c r="M1757" s="9">
        <f>Table1[[#This Row],[Unit Price]]*Table1[[#This Row],[Quantity]]</f>
        <v>220000</v>
      </c>
      <c r="N1757" s="9">
        <f>Table1[[#This Row],[Cost Price]]*Table1[[#This Row],[Quantity]]</f>
        <v>176000</v>
      </c>
      <c r="O1757" s="9">
        <f>Table1[[#This Row],[Revenue]]-Table1[[#This Row],[COGS]]</f>
        <v>44000</v>
      </c>
      <c r="P1757" s="6">
        <v>1756</v>
      </c>
    </row>
    <row r="1758" spans="1:16">
      <c r="A1758" s="7" t="s">
        <v>161</v>
      </c>
      <c r="B1758" s="7" t="str">
        <f>TEXT(Table1[[#This Row],[Date]],"MMM")</f>
        <v>Mar</v>
      </c>
      <c r="C1758" t="s">
        <v>44</v>
      </c>
      <c r="D1758" t="s">
        <v>36</v>
      </c>
      <c r="E1758" t="s">
        <v>29</v>
      </c>
      <c r="F1758" t="s">
        <v>30</v>
      </c>
      <c r="G1758" t="s">
        <v>46</v>
      </c>
      <c r="H1758" t="s">
        <v>39</v>
      </c>
      <c r="I1758" s="9">
        <v>60000</v>
      </c>
      <c r="J1758">
        <v>6</v>
      </c>
      <c r="K1758" t="s">
        <v>42</v>
      </c>
      <c r="L1758" s="9">
        <f t="shared" si="27"/>
        <v>48000</v>
      </c>
      <c r="M1758" s="9">
        <f>Table1[[#This Row],[Unit Price]]*Table1[[#This Row],[Quantity]]</f>
        <v>360000</v>
      </c>
      <c r="N1758" s="9">
        <f>Table1[[#This Row],[Cost Price]]*Table1[[#This Row],[Quantity]]</f>
        <v>288000</v>
      </c>
      <c r="O1758" s="9">
        <f>Table1[[#This Row],[Revenue]]-Table1[[#This Row],[COGS]]</f>
        <v>72000</v>
      </c>
      <c r="P1758" s="6">
        <v>1757</v>
      </c>
    </row>
    <row r="1759" spans="1:16">
      <c r="A1759" s="7" t="s">
        <v>173</v>
      </c>
      <c r="B1759" s="7" t="str">
        <f>TEXT(Table1[[#This Row],[Date]],"MMM")</f>
        <v>Mar</v>
      </c>
      <c r="C1759" t="s">
        <v>44</v>
      </c>
      <c r="D1759" t="s">
        <v>28</v>
      </c>
      <c r="E1759" t="s">
        <v>41</v>
      </c>
      <c r="F1759" t="s">
        <v>37</v>
      </c>
      <c r="G1759" t="s">
        <v>71</v>
      </c>
      <c r="H1759" t="s">
        <v>51</v>
      </c>
      <c r="I1759" s="9">
        <v>250000</v>
      </c>
      <c r="J1759">
        <v>7</v>
      </c>
      <c r="K1759" t="s">
        <v>69</v>
      </c>
      <c r="L1759" s="9">
        <f t="shared" si="27"/>
        <v>200000</v>
      </c>
      <c r="M1759" s="9">
        <f>Table1[[#This Row],[Unit Price]]*Table1[[#This Row],[Quantity]]</f>
        <v>1750000</v>
      </c>
      <c r="N1759" s="9">
        <f>Table1[[#This Row],[Cost Price]]*Table1[[#This Row],[Quantity]]</f>
        <v>1400000</v>
      </c>
      <c r="O1759" s="9">
        <f>Table1[[#This Row],[Revenue]]-Table1[[#This Row],[COGS]]</f>
        <v>350000</v>
      </c>
      <c r="P1759" s="6">
        <v>1758</v>
      </c>
    </row>
    <row r="1760" spans="1:16">
      <c r="A1760" s="7" t="s">
        <v>149</v>
      </c>
      <c r="B1760" s="7" t="str">
        <f>TEXT(Table1[[#This Row],[Date]],"MMM")</f>
        <v>Apr</v>
      </c>
      <c r="C1760" t="s">
        <v>35</v>
      </c>
      <c r="D1760" t="s">
        <v>45</v>
      </c>
      <c r="E1760" t="s">
        <v>41</v>
      </c>
      <c r="F1760" t="s">
        <v>30</v>
      </c>
      <c r="G1760" t="s">
        <v>73</v>
      </c>
      <c r="H1760" t="s">
        <v>39</v>
      </c>
      <c r="I1760" s="9">
        <v>220000</v>
      </c>
      <c r="J1760">
        <v>9</v>
      </c>
      <c r="K1760" t="s">
        <v>58</v>
      </c>
      <c r="L1760" s="9">
        <f t="shared" si="27"/>
        <v>176000</v>
      </c>
      <c r="M1760" s="9">
        <f>Table1[[#This Row],[Unit Price]]*Table1[[#This Row],[Quantity]]</f>
        <v>1980000</v>
      </c>
      <c r="N1760" s="9">
        <f>Table1[[#This Row],[Cost Price]]*Table1[[#This Row],[Quantity]]</f>
        <v>1584000</v>
      </c>
      <c r="O1760" s="9">
        <f>Table1[[#This Row],[Revenue]]-Table1[[#This Row],[COGS]]</f>
        <v>396000</v>
      </c>
      <c r="P1760" s="6">
        <v>1759</v>
      </c>
    </row>
    <row r="1761" spans="1:16">
      <c r="A1761" s="7" t="s">
        <v>167</v>
      </c>
      <c r="B1761" s="7" t="str">
        <f>TEXT(Table1[[#This Row],[Date]],"MMM")</f>
        <v>Apr</v>
      </c>
      <c r="C1761" t="s">
        <v>44</v>
      </c>
      <c r="D1761" t="s">
        <v>45</v>
      </c>
      <c r="E1761" t="s">
        <v>41</v>
      </c>
      <c r="F1761" t="s">
        <v>30</v>
      </c>
      <c r="G1761" t="s">
        <v>38</v>
      </c>
      <c r="H1761" t="s">
        <v>39</v>
      </c>
      <c r="I1761" s="9">
        <v>30000</v>
      </c>
      <c r="J1761">
        <v>10</v>
      </c>
      <c r="K1761" t="s">
        <v>47</v>
      </c>
      <c r="L1761" s="9">
        <f t="shared" si="27"/>
        <v>24000</v>
      </c>
      <c r="M1761" s="9">
        <f>Table1[[#This Row],[Unit Price]]*Table1[[#This Row],[Quantity]]</f>
        <v>300000</v>
      </c>
      <c r="N1761" s="9">
        <f>Table1[[#This Row],[Cost Price]]*Table1[[#This Row],[Quantity]]</f>
        <v>240000</v>
      </c>
      <c r="O1761" s="9">
        <f>Table1[[#This Row],[Revenue]]-Table1[[#This Row],[COGS]]</f>
        <v>60000</v>
      </c>
      <c r="P1761" s="6">
        <v>1760</v>
      </c>
    </row>
    <row r="1762" spans="1:16">
      <c r="A1762" s="7" t="s">
        <v>114</v>
      </c>
      <c r="B1762" s="7" t="str">
        <f>TEXT(Table1[[#This Row],[Date]],"MMM")</f>
        <v>Apr</v>
      </c>
      <c r="C1762" t="s">
        <v>35</v>
      </c>
      <c r="D1762" t="s">
        <v>45</v>
      </c>
      <c r="E1762" t="s">
        <v>29</v>
      </c>
      <c r="F1762" t="s">
        <v>30</v>
      </c>
      <c r="G1762" t="s">
        <v>62</v>
      </c>
      <c r="H1762" t="s">
        <v>51</v>
      </c>
      <c r="I1762" s="9">
        <v>150000</v>
      </c>
      <c r="J1762">
        <v>1</v>
      </c>
      <c r="K1762" t="s">
        <v>42</v>
      </c>
      <c r="L1762" s="9">
        <f t="shared" si="27"/>
        <v>120000</v>
      </c>
      <c r="M1762" s="9">
        <f>Table1[[#This Row],[Unit Price]]*Table1[[#This Row],[Quantity]]</f>
        <v>150000</v>
      </c>
      <c r="N1762" s="9">
        <f>Table1[[#This Row],[Cost Price]]*Table1[[#This Row],[Quantity]]</f>
        <v>120000</v>
      </c>
      <c r="O1762" s="9">
        <f>Table1[[#This Row],[Revenue]]-Table1[[#This Row],[COGS]]</f>
        <v>30000</v>
      </c>
      <c r="P1762" s="6">
        <v>1761</v>
      </c>
    </row>
    <row r="1763" spans="1:16">
      <c r="A1763" s="7" t="s">
        <v>117</v>
      </c>
      <c r="B1763" s="7" t="str">
        <f>TEXT(Table1[[#This Row],[Date]],"MMM")</f>
        <v>Jan</v>
      </c>
      <c r="C1763" t="s">
        <v>49</v>
      </c>
      <c r="D1763" t="s">
        <v>28</v>
      </c>
      <c r="E1763" t="s">
        <v>29</v>
      </c>
      <c r="F1763" t="s">
        <v>30</v>
      </c>
      <c r="G1763" t="s">
        <v>54</v>
      </c>
      <c r="H1763" t="s">
        <v>39</v>
      </c>
      <c r="I1763" s="9">
        <v>180000</v>
      </c>
      <c r="J1763">
        <v>3</v>
      </c>
      <c r="K1763" t="s">
        <v>58</v>
      </c>
      <c r="L1763" s="9">
        <f t="shared" si="27"/>
        <v>144000</v>
      </c>
      <c r="M1763" s="9">
        <f>Table1[[#This Row],[Unit Price]]*Table1[[#This Row],[Quantity]]</f>
        <v>540000</v>
      </c>
      <c r="N1763" s="9">
        <f>Table1[[#This Row],[Cost Price]]*Table1[[#This Row],[Quantity]]</f>
        <v>432000</v>
      </c>
      <c r="O1763" s="9">
        <f>Table1[[#This Row],[Revenue]]-Table1[[#This Row],[COGS]]</f>
        <v>108000</v>
      </c>
      <c r="P1763" s="6">
        <v>1762</v>
      </c>
    </row>
    <row r="1764" spans="1:16">
      <c r="A1764" s="7" t="s">
        <v>161</v>
      </c>
      <c r="B1764" s="7" t="str">
        <f>TEXT(Table1[[#This Row],[Date]],"MMM")</f>
        <v>Mar</v>
      </c>
      <c r="C1764" t="s">
        <v>44</v>
      </c>
      <c r="D1764" t="s">
        <v>28</v>
      </c>
      <c r="E1764" t="s">
        <v>41</v>
      </c>
      <c r="F1764" t="s">
        <v>30</v>
      </c>
      <c r="G1764" t="s">
        <v>67</v>
      </c>
      <c r="H1764" t="s">
        <v>51</v>
      </c>
      <c r="I1764" s="9">
        <v>420000</v>
      </c>
      <c r="J1764">
        <v>10</v>
      </c>
      <c r="K1764" t="s">
        <v>58</v>
      </c>
      <c r="L1764" s="9">
        <f t="shared" si="27"/>
        <v>336000</v>
      </c>
      <c r="M1764" s="9">
        <f>Table1[[#This Row],[Unit Price]]*Table1[[#This Row],[Quantity]]</f>
        <v>4200000</v>
      </c>
      <c r="N1764" s="9">
        <f>Table1[[#This Row],[Cost Price]]*Table1[[#This Row],[Quantity]]</f>
        <v>3360000</v>
      </c>
      <c r="O1764" s="9">
        <f>Table1[[#This Row],[Revenue]]-Table1[[#This Row],[COGS]]</f>
        <v>840000</v>
      </c>
      <c r="P1764" s="6">
        <v>1763</v>
      </c>
    </row>
    <row r="1765" spans="1:16">
      <c r="A1765" s="7" t="s">
        <v>76</v>
      </c>
      <c r="B1765" s="7" t="str">
        <f>TEXT(Table1[[#This Row],[Date]],"MMM")</f>
        <v>May</v>
      </c>
      <c r="C1765" t="s">
        <v>49</v>
      </c>
      <c r="D1765" t="s">
        <v>28</v>
      </c>
      <c r="E1765" t="s">
        <v>41</v>
      </c>
      <c r="F1765" t="s">
        <v>30</v>
      </c>
      <c r="G1765" t="s">
        <v>31</v>
      </c>
      <c r="H1765" t="s">
        <v>32</v>
      </c>
      <c r="I1765" s="9">
        <v>85000</v>
      </c>
      <c r="J1765">
        <v>2</v>
      </c>
      <c r="K1765" t="s">
        <v>65</v>
      </c>
      <c r="L1765" s="9">
        <f t="shared" si="27"/>
        <v>68000</v>
      </c>
      <c r="M1765" s="9">
        <f>Table1[[#This Row],[Unit Price]]*Table1[[#This Row],[Quantity]]</f>
        <v>170000</v>
      </c>
      <c r="N1765" s="9">
        <f>Table1[[#This Row],[Cost Price]]*Table1[[#This Row],[Quantity]]</f>
        <v>136000</v>
      </c>
      <c r="O1765" s="9">
        <f>Table1[[#This Row],[Revenue]]-Table1[[#This Row],[COGS]]</f>
        <v>34000</v>
      </c>
      <c r="P1765" s="6">
        <v>1764</v>
      </c>
    </row>
    <row r="1766" spans="1:16">
      <c r="A1766" s="7" t="s">
        <v>131</v>
      </c>
      <c r="B1766" s="7" t="str">
        <f>TEXT(Table1[[#This Row],[Date]],"MMM")</f>
        <v>Mar</v>
      </c>
      <c r="C1766" t="s">
        <v>27</v>
      </c>
      <c r="D1766" t="s">
        <v>45</v>
      </c>
      <c r="E1766" t="s">
        <v>41</v>
      </c>
      <c r="F1766" t="s">
        <v>30</v>
      </c>
      <c r="G1766" t="s">
        <v>46</v>
      </c>
      <c r="H1766" t="s">
        <v>39</v>
      </c>
      <c r="I1766" s="9">
        <v>60000</v>
      </c>
      <c r="J1766">
        <v>4</v>
      </c>
      <c r="K1766" t="s">
        <v>65</v>
      </c>
      <c r="L1766" s="9">
        <f t="shared" si="27"/>
        <v>48000</v>
      </c>
      <c r="M1766" s="9">
        <f>Table1[[#This Row],[Unit Price]]*Table1[[#This Row],[Quantity]]</f>
        <v>240000</v>
      </c>
      <c r="N1766" s="9">
        <f>Table1[[#This Row],[Cost Price]]*Table1[[#This Row],[Quantity]]</f>
        <v>192000</v>
      </c>
      <c r="O1766" s="9">
        <f>Table1[[#This Row],[Revenue]]-Table1[[#This Row],[COGS]]</f>
        <v>48000</v>
      </c>
      <c r="P1766" s="6">
        <v>1765</v>
      </c>
    </row>
    <row r="1767" spans="1:16">
      <c r="A1767" s="7" t="s">
        <v>150</v>
      </c>
      <c r="B1767" s="7" t="str">
        <f>TEXT(Table1[[#This Row],[Date]],"MMM")</f>
        <v>Jan</v>
      </c>
      <c r="C1767" t="s">
        <v>49</v>
      </c>
      <c r="D1767" t="s">
        <v>36</v>
      </c>
      <c r="E1767" t="s">
        <v>41</v>
      </c>
      <c r="F1767" t="s">
        <v>30</v>
      </c>
      <c r="G1767" t="s">
        <v>62</v>
      </c>
      <c r="H1767" t="s">
        <v>51</v>
      </c>
      <c r="I1767" s="9">
        <v>150000</v>
      </c>
      <c r="J1767">
        <v>9</v>
      </c>
      <c r="K1767" t="s">
        <v>65</v>
      </c>
      <c r="L1767" s="9">
        <f t="shared" si="27"/>
        <v>120000</v>
      </c>
      <c r="M1767" s="9">
        <f>Table1[[#This Row],[Unit Price]]*Table1[[#This Row],[Quantity]]</f>
        <v>1350000</v>
      </c>
      <c r="N1767" s="9">
        <f>Table1[[#This Row],[Cost Price]]*Table1[[#This Row],[Quantity]]</f>
        <v>1080000</v>
      </c>
      <c r="O1767" s="9">
        <f>Table1[[#This Row],[Revenue]]-Table1[[#This Row],[COGS]]</f>
        <v>270000</v>
      </c>
      <c r="P1767" s="6">
        <v>1766</v>
      </c>
    </row>
    <row r="1768" spans="1:16">
      <c r="A1768" s="7" t="s">
        <v>83</v>
      </c>
      <c r="B1768" s="7" t="str">
        <f>TEXT(Table1[[#This Row],[Date]],"MMM")</f>
        <v>Jan</v>
      </c>
      <c r="C1768" t="s">
        <v>44</v>
      </c>
      <c r="D1768" t="s">
        <v>53</v>
      </c>
      <c r="E1768" t="s">
        <v>29</v>
      </c>
      <c r="F1768" t="s">
        <v>37</v>
      </c>
      <c r="G1768" t="s">
        <v>67</v>
      </c>
      <c r="H1768" t="s">
        <v>51</v>
      </c>
      <c r="I1768" s="9">
        <v>420000</v>
      </c>
      <c r="J1768">
        <v>1</v>
      </c>
      <c r="K1768" t="s">
        <v>58</v>
      </c>
      <c r="L1768" s="9">
        <f t="shared" si="27"/>
        <v>336000</v>
      </c>
      <c r="M1768" s="9">
        <f>Table1[[#This Row],[Unit Price]]*Table1[[#This Row],[Quantity]]</f>
        <v>420000</v>
      </c>
      <c r="N1768" s="9">
        <f>Table1[[#This Row],[Cost Price]]*Table1[[#This Row],[Quantity]]</f>
        <v>336000</v>
      </c>
      <c r="O1768" s="9">
        <f>Table1[[#This Row],[Revenue]]-Table1[[#This Row],[COGS]]</f>
        <v>84000</v>
      </c>
      <c r="P1768" s="6">
        <v>1767</v>
      </c>
    </row>
    <row r="1769" spans="1:16">
      <c r="A1769" s="7" t="s">
        <v>149</v>
      </c>
      <c r="B1769" s="7" t="str">
        <f>TEXT(Table1[[#This Row],[Date]],"MMM")</f>
        <v>Apr</v>
      </c>
      <c r="C1769" t="s">
        <v>35</v>
      </c>
      <c r="D1769" t="s">
        <v>36</v>
      </c>
      <c r="E1769" t="s">
        <v>29</v>
      </c>
      <c r="F1769" t="s">
        <v>30</v>
      </c>
      <c r="G1769" t="s">
        <v>67</v>
      </c>
      <c r="H1769" t="s">
        <v>51</v>
      </c>
      <c r="I1769" s="9">
        <v>420000</v>
      </c>
      <c r="J1769">
        <v>9</v>
      </c>
      <c r="K1769" t="s">
        <v>65</v>
      </c>
      <c r="L1769" s="9">
        <f t="shared" si="27"/>
        <v>336000</v>
      </c>
      <c r="M1769" s="9">
        <f>Table1[[#This Row],[Unit Price]]*Table1[[#This Row],[Quantity]]</f>
        <v>3780000</v>
      </c>
      <c r="N1769" s="9">
        <f>Table1[[#This Row],[Cost Price]]*Table1[[#This Row],[Quantity]]</f>
        <v>3024000</v>
      </c>
      <c r="O1769" s="9">
        <f>Table1[[#This Row],[Revenue]]-Table1[[#This Row],[COGS]]</f>
        <v>756000</v>
      </c>
      <c r="P1769" s="6">
        <v>1768</v>
      </c>
    </row>
    <row r="1770" spans="1:16">
      <c r="A1770" s="7" t="s">
        <v>63</v>
      </c>
      <c r="B1770" s="7" t="str">
        <f>TEXT(Table1[[#This Row],[Date]],"MMM")</f>
        <v>Jan</v>
      </c>
      <c r="C1770" t="s">
        <v>27</v>
      </c>
      <c r="D1770" t="s">
        <v>53</v>
      </c>
      <c r="E1770" t="s">
        <v>41</v>
      </c>
      <c r="F1770" t="s">
        <v>37</v>
      </c>
      <c r="G1770" t="s">
        <v>67</v>
      </c>
      <c r="H1770" t="s">
        <v>51</v>
      </c>
      <c r="I1770" s="9">
        <v>420000</v>
      </c>
      <c r="J1770">
        <v>9</v>
      </c>
      <c r="K1770" t="s">
        <v>69</v>
      </c>
      <c r="L1770" s="9">
        <f t="shared" si="27"/>
        <v>336000</v>
      </c>
      <c r="M1770" s="9">
        <f>Table1[[#This Row],[Unit Price]]*Table1[[#This Row],[Quantity]]</f>
        <v>3780000</v>
      </c>
      <c r="N1770" s="9">
        <f>Table1[[#This Row],[Cost Price]]*Table1[[#This Row],[Quantity]]</f>
        <v>3024000</v>
      </c>
      <c r="O1770" s="9">
        <f>Table1[[#This Row],[Revenue]]-Table1[[#This Row],[COGS]]</f>
        <v>756000</v>
      </c>
      <c r="P1770" s="6">
        <v>1769</v>
      </c>
    </row>
    <row r="1771" spans="1:16">
      <c r="A1771" s="7" t="s">
        <v>160</v>
      </c>
      <c r="B1771" s="7" t="str">
        <f>TEXT(Table1[[#This Row],[Date]],"MMM")</f>
        <v>Jan</v>
      </c>
      <c r="C1771" t="s">
        <v>27</v>
      </c>
      <c r="D1771" t="s">
        <v>53</v>
      </c>
      <c r="E1771" t="s">
        <v>29</v>
      </c>
      <c r="F1771" t="s">
        <v>37</v>
      </c>
      <c r="G1771" t="s">
        <v>31</v>
      </c>
      <c r="H1771" t="s">
        <v>32</v>
      </c>
      <c r="I1771" s="9">
        <v>85000</v>
      </c>
      <c r="J1771">
        <v>6</v>
      </c>
      <c r="K1771" t="s">
        <v>42</v>
      </c>
      <c r="L1771" s="9">
        <f t="shared" si="27"/>
        <v>68000</v>
      </c>
      <c r="M1771" s="9">
        <f>Table1[[#This Row],[Unit Price]]*Table1[[#This Row],[Quantity]]</f>
        <v>510000</v>
      </c>
      <c r="N1771" s="9">
        <f>Table1[[#This Row],[Cost Price]]*Table1[[#This Row],[Quantity]]</f>
        <v>408000</v>
      </c>
      <c r="O1771" s="9">
        <f>Table1[[#This Row],[Revenue]]-Table1[[#This Row],[COGS]]</f>
        <v>102000</v>
      </c>
      <c r="P1771" s="6">
        <v>1770</v>
      </c>
    </row>
    <row r="1772" spans="1:16">
      <c r="A1772" s="7" t="s">
        <v>68</v>
      </c>
      <c r="B1772" s="7" t="str">
        <f>TEXT(Table1[[#This Row],[Date]],"MMM")</f>
        <v>Mar</v>
      </c>
      <c r="C1772" t="s">
        <v>49</v>
      </c>
      <c r="D1772" t="s">
        <v>53</v>
      </c>
      <c r="E1772" t="s">
        <v>41</v>
      </c>
      <c r="F1772" t="s">
        <v>30</v>
      </c>
      <c r="G1772" t="s">
        <v>56</v>
      </c>
      <c r="H1772" t="s">
        <v>32</v>
      </c>
      <c r="I1772" s="9">
        <v>320000</v>
      </c>
      <c r="J1772">
        <v>3</v>
      </c>
      <c r="K1772" t="s">
        <v>58</v>
      </c>
      <c r="L1772" s="9">
        <f t="shared" si="27"/>
        <v>256000</v>
      </c>
      <c r="M1772" s="9">
        <f>Table1[[#This Row],[Unit Price]]*Table1[[#This Row],[Quantity]]</f>
        <v>960000</v>
      </c>
      <c r="N1772" s="9">
        <f>Table1[[#This Row],[Cost Price]]*Table1[[#This Row],[Quantity]]</f>
        <v>768000</v>
      </c>
      <c r="O1772" s="9">
        <f>Table1[[#This Row],[Revenue]]-Table1[[#This Row],[COGS]]</f>
        <v>192000</v>
      </c>
      <c r="P1772" s="6">
        <v>1771</v>
      </c>
    </row>
    <row r="1773" spans="1:16">
      <c r="A1773" s="7" t="s">
        <v>57</v>
      </c>
      <c r="B1773" s="7" t="str">
        <f>TEXT(Table1[[#This Row],[Date]],"MMM")</f>
        <v>Feb</v>
      </c>
      <c r="C1773" t="s">
        <v>49</v>
      </c>
      <c r="D1773" t="s">
        <v>36</v>
      </c>
      <c r="E1773" t="s">
        <v>41</v>
      </c>
      <c r="F1773" t="s">
        <v>30</v>
      </c>
      <c r="G1773" t="s">
        <v>54</v>
      </c>
      <c r="H1773" t="s">
        <v>39</v>
      </c>
      <c r="I1773" s="9">
        <v>180000</v>
      </c>
      <c r="J1773">
        <v>8</v>
      </c>
      <c r="K1773" t="s">
        <v>47</v>
      </c>
      <c r="L1773" s="9">
        <f t="shared" si="27"/>
        <v>144000</v>
      </c>
      <c r="M1773" s="9">
        <f>Table1[[#This Row],[Unit Price]]*Table1[[#This Row],[Quantity]]</f>
        <v>1440000</v>
      </c>
      <c r="N1773" s="9">
        <f>Table1[[#This Row],[Cost Price]]*Table1[[#This Row],[Quantity]]</f>
        <v>1152000</v>
      </c>
      <c r="O1773" s="9">
        <f>Table1[[#This Row],[Revenue]]-Table1[[#This Row],[COGS]]</f>
        <v>288000</v>
      </c>
      <c r="P1773" s="6">
        <v>1772</v>
      </c>
    </row>
    <row r="1774" spans="1:16">
      <c r="A1774" s="7" t="s">
        <v>158</v>
      </c>
      <c r="B1774" s="7" t="str">
        <f>TEXT(Table1[[#This Row],[Date]],"MMM")</f>
        <v>Jan</v>
      </c>
      <c r="C1774" t="s">
        <v>27</v>
      </c>
      <c r="D1774" t="s">
        <v>28</v>
      </c>
      <c r="E1774" t="s">
        <v>29</v>
      </c>
      <c r="F1774" t="s">
        <v>30</v>
      </c>
      <c r="G1774" t="s">
        <v>31</v>
      </c>
      <c r="H1774" t="s">
        <v>32</v>
      </c>
      <c r="I1774" s="9">
        <v>85000</v>
      </c>
      <c r="J1774">
        <v>6</v>
      </c>
      <c r="K1774" t="s">
        <v>58</v>
      </c>
      <c r="L1774" s="9">
        <f t="shared" si="27"/>
        <v>68000</v>
      </c>
      <c r="M1774" s="9">
        <f>Table1[[#This Row],[Unit Price]]*Table1[[#This Row],[Quantity]]</f>
        <v>510000</v>
      </c>
      <c r="N1774" s="9">
        <f>Table1[[#This Row],[Cost Price]]*Table1[[#This Row],[Quantity]]</f>
        <v>408000</v>
      </c>
      <c r="O1774" s="9">
        <f>Table1[[#This Row],[Revenue]]-Table1[[#This Row],[COGS]]</f>
        <v>102000</v>
      </c>
      <c r="P1774" s="6">
        <v>1773</v>
      </c>
    </row>
    <row r="1775" spans="1:16">
      <c r="A1775" s="7" t="s">
        <v>139</v>
      </c>
      <c r="B1775" s="7" t="str">
        <f>TEXT(Table1[[#This Row],[Date]],"MMM")</f>
        <v>Jan</v>
      </c>
      <c r="C1775" t="s">
        <v>27</v>
      </c>
      <c r="D1775" t="s">
        <v>53</v>
      </c>
      <c r="E1775" t="s">
        <v>29</v>
      </c>
      <c r="F1775" t="s">
        <v>30</v>
      </c>
      <c r="G1775" t="s">
        <v>50</v>
      </c>
      <c r="H1775" t="s">
        <v>51</v>
      </c>
      <c r="I1775" s="9">
        <v>300000</v>
      </c>
      <c r="J1775">
        <v>3</v>
      </c>
      <c r="K1775" t="s">
        <v>33</v>
      </c>
      <c r="L1775" s="9">
        <f t="shared" si="27"/>
        <v>240000</v>
      </c>
      <c r="M1775" s="9">
        <f>Table1[[#This Row],[Unit Price]]*Table1[[#This Row],[Quantity]]</f>
        <v>900000</v>
      </c>
      <c r="N1775" s="9">
        <f>Table1[[#This Row],[Cost Price]]*Table1[[#This Row],[Quantity]]</f>
        <v>720000</v>
      </c>
      <c r="O1775" s="9">
        <f>Table1[[#This Row],[Revenue]]-Table1[[#This Row],[COGS]]</f>
        <v>180000</v>
      </c>
      <c r="P1775" s="6">
        <v>1774</v>
      </c>
    </row>
    <row r="1776" spans="1:16">
      <c r="A1776" s="7" t="s">
        <v>128</v>
      </c>
      <c r="B1776" s="7" t="str">
        <f>TEXT(Table1[[#This Row],[Date]],"MMM")</f>
        <v>Mar</v>
      </c>
      <c r="C1776" t="s">
        <v>49</v>
      </c>
      <c r="D1776" t="s">
        <v>28</v>
      </c>
      <c r="E1776" t="s">
        <v>41</v>
      </c>
      <c r="F1776" t="s">
        <v>37</v>
      </c>
      <c r="G1776" t="s">
        <v>54</v>
      </c>
      <c r="H1776" t="s">
        <v>39</v>
      </c>
      <c r="I1776" s="9">
        <v>180000</v>
      </c>
      <c r="J1776">
        <v>1</v>
      </c>
      <c r="K1776" t="s">
        <v>47</v>
      </c>
      <c r="L1776" s="9">
        <f t="shared" si="27"/>
        <v>144000</v>
      </c>
      <c r="M1776" s="9">
        <f>Table1[[#This Row],[Unit Price]]*Table1[[#This Row],[Quantity]]</f>
        <v>180000</v>
      </c>
      <c r="N1776" s="9">
        <f>Table1[[#This Row],[Cost Price]]*Table1[[#This Row],[Quantity]]</f>
        <v>144000</v>
      </c>
      <c r="O1776" s="9">
        <f>Table1[[#This Row],[Revenue]]-Table1[[#This Row],[COGS]]</f>
        <v>36000</v>
      </c>
      <c r="P1776" s="6">
        <v>1775</v>
      </c>
    </row>
    <row r="1777" spans="1:16">
      <c r="A1777" s="7" t="s">
        <v>146</v>
      </c>
      <c r="B1777" s="7" t="str">
        <f>TEXT(Table1[[#This Row],[Date]],"MMM")</f>
        <v>Jan</v>
      </c>
      <c r="C1777" t="s">
        <v>35</v>
      </c>
      <c r="D1777" t="s">
        <v>45</v>
      </c>
      <c r="E1777" t="s">
        <v>29</v>
      </c>
      <c r="F1777" t="s">
        <v>30</v>
      </c>
      <c r="G1777" t="s">
        <v>73</v>
      </c>
      <c r="H1777" t="s">
        <v>39</v>
      </c>
      <c r="I1777" s="9">
        <v>220000</v>
      </c>
      <c r="J1777">
        <v>1</v>
      </c>
      <c r="K1777" t="s">
        <v>65</v>
      </c>
      <c r="L1777" s="9">
        <f t="shared" si="27"/>
        <v>176000</v>
      </c>
      <c r="M1777" s="9">
        <f>Table1[[#This Row],[Unit Price]]*Table1[[#This Row],[Quantity]]</f>
        <v>220000</v>
      </c>
      <c r="N1777" s="9">
        <f>Table1[[#This Row],[Cost Price]]*Table1[[#This Row],[Quantity]]</f>
        <v>176000</v>
      </c>
      <c r="O1777" s="9">
        <f>Table1[[#This Row],[Revenue]]-Table1[[#This Row],[COGS]]</f>
        <v>44000</v>
      </c>
      <c r="P1777" s="6">
        <v>1776</v>
      </c>
    </row>
    <row r="1778" spans="1:16">
      <c r="A1778" s="7" t="s">
        <v>61</v>
      </c>
      <c r="B1778" s="7" t="str">
        <f>TEXT(Table1[[#This Row],[Date]],"MMM")</f>
        <v>Jan</v>
      </c>
      <c r="C1778" t="s">
        <v>44</v>
      </c>
      <c r="D1778" t="s">
        <v>53</v>
      </c>
      <c r="E1778" t="s">
        <v>29</v>
      </c>
      <c r="F1778" t="s">
        <v>37</v>
      </c>
      <c r="G1778" t="s">
        <v>38</v>
      </c>
      <c r="H1778" t="s">
        <v>39</v>
      </c>
      <c r="I1778" s="9">
        <v>30000</v>
      </c>
      <c r="J1778">
        <v>1</v>
      </c>
      <c r="K1778" t="s">
        <v>65</v>
      </c>
      <c r="L1778" s="9">
        <f t="shared" si="27"/>
        <v>24000</v>
      </c>
      <c r="M1778" s="9">
        <f>Table1[[#This Row],[Unit Price]]*Table1[[#This Row],[Quantity]]</f>
        <v>30000</v>
      </c>
      <c r="N1778" s="9">
        <f>Table1[[#This Row],[Cost Price]]*Table1[[#This Row],[Quantity]]</f>
        <v>24000</v>
      </c>
      <c r="O1778" s="9">
        <f>Table1[[#This Row],[Revenue]]-Table1[[#This Row],[COGS]]</f>
        <v>6000</v>
      </c>
      <c r="P1778" s="6">
        <v>1777</v>
      </c>
    </row>
    <row r="1779" spans="1:16">
      <c r="A1779" s="7" t="s">
        <v>150</v>
      </c>
      <c r="B1779" s="7" t="str">
        <f>TEXT(Table1[[#This Row],[Date]],"MMM")</f>
        <v>Jan</v>
      </c>
      <c r="C1779" t="s">
        <v>35</v>
      </c>
      <c r="D1779" t="s">
        <v>28</v>
      </c>
      <c r="E1779" t="s">
        <v>41</v>
      </c>
      <c r="F1779" t="s">
        <v>37</v>
      </c>
      <c r="G1779" t="s">
        <v>46</v>
      </c>
      <c r="H1779" t="s">
        <v>39</v>
      </c>
      <c r="I1779" s="9">
        <v>60000</v>
      </c>
      <c r="J1779">
        <v>2</v>
      </c>
      <c r="K1779" t="s">
        <v>69</v>
      </c>
      <c r="L1779" s="9">
        <f t="shared" si="27"/>
        <v>48000</v>
      </c>
      <c r="M1779" s="9">
        <f>Table1[[#This Row],[Unit Price]]*Table1[[#This Row],[Quantity]]</f>
        <v>120000</v>
      </c>
      <c r="N1779" s="9">
        <f>Table1[[#This Row],[Cost Price]]*Table1[[#This Row],[Quantity]]</f>
        <v>96000</v>
      </c>
      <c r="O1779" s="9">
        <f>Table1[[#This Row],[Revenue]]-Table1[[#This Row],[COGS]]</f>
        <v>24000</v>
      </c>
      <c r="P1779" s="6">
        <v>1778</v>
      </c>
    </row>
    <row r="1780" spans="1:16">
      <c r="A1780" s="7" t="s">
        <v>75</v>
      </c>
      <c r="B1780" s="7" t="str">
        <f>TEXT(Table1[[#This Row],[Date]],"MMM")</f>
        <v>Mar</v>
      </c>
      <c r="C1780" t="s">
        <v>27</v>
      </c>
      <c r="D1780" t="s">
        <v>36</v>
      </c>
      <c r="E1780" t="s">
        <v>29</v>
      </c>
      <c r="F1780" t="s">
        <v>37</v>
      </c>
      <c r="G1780" t="s">
        <v>71</v>
      </c>
      <c r="H1780" t="s">
        <v>51</v>
      </c>
      <c r="I1780" s="9">
        <v>250000</v>
      </c>
      <c r="J1780">
        <v>7</v>
      </c>
      <c r="K1780" t="s">
        <v>65</v>
      </c>
      <c r="L1780" s="9">
        <f t="shared" si="27"/>
        <v>200000</v>
      </c>
      <c r="M1780" s="9">
        <f>Table1[[#This Row],[Unit Price]]*Table1[[#This Row],[Quantity]]</f>
        <v>1750000</v>
      </c>
      <c r="N1780" s="9">
        <f>Table1[[#This Row],[Cost Price]]*Table1[[#This Row],[Quantity]]</f>
        <v>1400000</v>
      </c>
      <c r="O1780" s="9">
        <f>Table1[[#This Row],[Revenue]]-Table1[[#This Row],[COGS]]</f>
        <v>350000</v>
      </c>
      <c r="P1780" s="6">
        <v>1779</v>
      </c>
    </row>
    <row r="1781" spans="1:16">
      <c r="A1781" s="7" t="s">
        <v>176</v>
      </c>
      <c r="B1781" s="7" t="str">
        <f>TEXT(Table1[[#This Row],[Date]],"MMM")</f>
        <v>Jan</v>
      </c>
      <c r="C1781" t="s">
        <v>27</v>
      </c>
      <c r="D1781" t="s">
        <v>45</v>
      </c>
      <c r="E1781" t="s">
        <v>41</v>
      </c>
      <c r="F1781" t="s">
        <v>30</v>
      </c>
      <c r="G1781" t="s">
        <v>67</v>
      </c>
      <c r="H1781" t="s">
        <v>51</v>
      </c>
      <c r="I1781" s="9">
        <v>420000</v>
      </c>
      <c r="J1781">
        <v>10</v>
      </c>
      <c r="K1781" t="s">
        <v>47</v>
      </c>
      <c r="L1781" s="9">
        <f t="shared" si="27"/>
        <v>336000</v>
      </c>
      <c r="M1781" s="9">
        <f>Table1[[#This Row],[Unit Price]]*Table1[[#This Row],[Quantity]]</f>
        <v>4200000</v>
      </c>
      <c r="N1781" s="9">
        <f>Table1[[#This Row],[Cost Price]]*Table1[[#This Row],[Quantity]]</f>
        <v>3360000</v>
      </c>
      <c r="O1781" s="9">
        <f>Table1[[#This Row],[Revenue]]-Table1[[#This Row],[COGS]]</f>
        <v>840000</v>
      </c>
      <c r="P1781" s="6">
        <v>1780</v>
      </c>
    </row>
    <row r="1782" spans="1:16">
      <c r="A1782" s="7" t="s">
        <v>60</v>
      </c>
      <c r="B1782" s="7" t="str">
        <f>TEXT(Table1[[#This Row],[Date]],"MMM")</f>
        <v>Mar</v>
      </c>
      <c r="C1782" t="s">
        <v>27</v>
      </c>
      <c r="D1782" t="s">
        <v>28</v>
      </c>
      <c r="E1782" t="s">
        <v>41</v>
      </c>
      <c r="F1782" t="s">
        <v>30</v>
      </c>
      <c r="G1782" t="s">
        <v>56</v>
      </c>
      <c r="H1782" t="s">
        <v>32</v>
      </c>
      <c r="I1782" s="9">
        <v>320000</v>
      </c>
      <c r="J1782">
        <v>10</v>
      </c>
      <c r="K1782" t="s">
        <v>58</v>
      </c>
      <c r="L1782" s="9">
        <f t="shared" si="27"/>
        <v>256000</v>
      </c>
      <c r="M1782" s="9">
        <f>Table1[[#This Row],[Unit Price]]*Table1[[#This Row],[Quantity]]</f>
        <v>3200000</v>
      </c>
      <c r="N1782" s="9">
        <f>Table1[[#This Row],[Cost Price]]*Table1[[#This Row],[Quantity]]</f>
        <v>2560000</v>
      </c>
      <c r="O1782" s="9">
        <f>Table1[[#This Row],[Revenue]]-Table1[[#This Row],[COGS]]</f>
        <v>640000</v>
      </c>
      <c r="P1782" s="6">
        <v>1781</v>
      </c>
    </row>
    <row r="1783" spans="1:16">
      <c r="A1783" s="7" t="s">
        <v>130</v>
      </c>
      <c r="B1783" s="7" t="str">
        <f>TEXT(Table1[[#This Row],[Date]],"MMM")</f>
        <v>Jan</v>
      </c>
      <c r="C1783" t="s">
        <v>44</v>
      </c>
      <c r="D1783" t="s">
        <v>53</v>
      </c>
      <c r="E1783" t="s">
        <v>29</v>
      </c>
      <c r="F1783" t="s">
        <v>30</v>
      </c>
      <c r="G1783" t="s">
        <v>50</v>
      </c>
      <c r="H1783" t="s">
        <v>51</v>
      </c>
      <c r="I1783" s="9">
        <v>300000</v>
      </c>
      <c r="J1783">
        <v>1</v>
      </c>
      <c r="K1783" t="s">
        <v>47</v>
      </c>
      <c r="L1783" s="9">
        <f t="shared" si="27"/>
        <v>240000</v>
      </c>
      <c r="M1783" s="9">
        <f>Table1[[#This Row],[Unit Price]]*Table1[[#This Row],[Quantity]]</f>
        <v>300000</v>
      </c>
      <c r="N1783" s="9">
        <f>Table1[[#This Row],[Cost Price]]*Table1[[#This Row],[Quantity]]</f>
        <v>240000</v>
      </c>
      <c r="O1783" s="9">
        <f>Table1[[#This Row],[Revenue]]-Table1[[#This Row],[COGS]]</f>
        <v>60000</v>
      </c>
      <c r="P1783" s="6">
        <v>1782</v>
      </c>
    </row>
    <row r="1784" spans="1:16">
      <c r="A1784" s="7" t="s">
        <v>171</v>
      </c>
      <c r="B1784" s="7" t="str">
        <f>TEXT(Table1[[#This Row],[Date]],"MMM")</f>
        <v>Mar</v>
      </c>
      <c r="C1784" t="s">
        <v>44</v>
      </c>
      <c r="D1784" t="s">
        <v>45</v>
      </c>
      <c r="E1784" t="s">
        <v>41</v>
      </c>
      <c r="F1784" t="s">
        <v>37</v>
      </c>
      <c r="G1784" t="s">
        <v>62</v>
      </c>
      <c r="H1784" t="s">
        <v>51</v>
      </c>
      <c r="I1784" s="9">
        <v>150000</v>
      </c>
      <c r="J1784">
        <v>3</v>
      </c>
      <c r="K1784" t="s">
        <v>42</v>
      </c>
      <c r="L1784" s="9">
        <f t="shared" si="27"/>
        <v>120000</v>
      </c>
      <c r="M1784" s="9">
        <f>Table1[[#This Row],[Unit Price]]*Table1[[#This Row],[Quantity]]</f>
        <v>450000</v>
      </c>
      <c r="N1784" s="9">
        <f>Table1[[#This Row],[Cost Price]]*Table1[[#This Row],[Quantity]]</f>
        <v>360000</v>
      </c>
      <c r="O1784" s="9">
        <f>Table1[[#This Row],[Revenue]]-Table1[[#This Row],[COGS]]</f>
        <v>90000</v>
      </c>
      <c r="P1784" s="6">
        <v>1783</v>
      </c>
    </row>
    <row r="1785" spans="1:16">
      <c r="A1785" s="7" t="s">
        <v>83</v>
      </c>
      <c r="B1785" s="7" t="str">
        <f>TEXT(Table1[[#This Row],[Date]],"MMM")</f>
        <v>Jan</v>
      </c>
      <c r="C1785" t="s">
        <v>27</v>
      </c>
      <c r="D1785" t="s">
        <v>45</v>
      </c>
      <c r="E1785" t="s">
        <v>41</v>
      </c>
      <c r="F1785" t="s">
        <v>30</v>
      </c>
      <c r="G1785" t="s">
        <v>71</v>
      </c>
      <c r="H1785" t="s">
        <v>51</v>
      </c>
      <c r="I1785" s="9">
        <v>250000</v>
      </c>
      <c r="J1785">
        <v>3</v>
      </c>
      <c r="K1785" t="s">
        <v>65</v>
      </c>
      <c r="L1785" s="9">
        <f t="shared" si="27"/>
        <v>200000</v>
      </c>
      <c r="M1785" s="9">
        <f>Table1[[#This Row],[Unit Price]]*Table1[[#This Row],[Quantity]]</f>
        <v>750000</v>
      </c>
      <c r="N1785" s="9">
        <f>Table1[[#This Row],[Cost Price]]*Table1[[#This Row],[Quantity]]</f>
        <v>600000</v>
      </c>
      <c r="O1785" s="9">
        <f>Table1[[#This Row],[Revenue]]-Table1[[#This Row],[COGS]]</f>
        <v>150000</v>
      </c>
      <c r="P1785" s="6">
        <v>1784</v>
      </c>
    </row>
    <row r="1786" spans="1:16">
      <c r="A1786" s="7" t="s">
        <v>63</v>
      </c>
      <c r="B1786" s="7" t="str">
        <f>TEXT(Table1[[#This Row],[Date]],"MMM")</f>
        <v>Jan</v>
      </c>
      <c r="C1786" t="s">
        <v>49</v>
      </c>
      <c r="D1786" t="s">
        <v>36</v>
      </c>
      <c r="E1786" t="s">
        <v>29</v>
      </c>
      <c r="F1786" t="s">
        <v>37</v>
      </c>
      <c r="G1786" t="s">
        <v>67</v>
      </c>
      <c r="H1786" t="s">
        <v>51</v>
      </c>
      <c r="I1786" s="9">
        <v>420000</v>
      </c>
      <c r="J1786">
        <v>4</v>
      </c>
      <c r="K1786" t="s">
        <v>42</v>
      </c>
      <c r="L1786" s="9">
        <f t="shared" si="27"/>
        <v>336000</v>
      </c>
      <c r="M1786" s="9">
        <f>Table1[[#This Row],[Unit Price]]*Table1[[#This Row],[Quantity]]</f>
        <v>1680000</v>
      </c>
      <c r="N1786" s="9">
        <f>Table1[[#This Row],[Cost Price]]*Table1[[#This Row],[Quantity]]</f>
        <v>1344000</v>
      </c>
      <c r="O1786" s="9">
        <f>Table1[[#This Row],[Revenue]]-Table1[[#This Row],[COGS]]</f>
        <v>336000</v>
      </c>
      <c r="P1786" s="6">
        <v>1785</v>
      </c>
    </row>
    <row r="1787" spans="1:16">
      <c r="A1787" s="7" t="s">
        <v>148</v>
      </c>
      <c r="B1787" s="7" t="str">
        <f>TEXT(Table1[[#This Row],[Date]],"MMM")</f>
        <v>Feb</v>
      </c>
      <c r="C1787" t="s">
        <v>49</v>
      </c>
      <c r="D1787" t="s">
        <v>36</v>
      </c>
      <c r="E1787" t="s">
        <v>41</v>
      </c>
      <c r="F1787" t="s">
        <v>30</v>
      </c>
      <c r="G1787" t="s">
        <v>54</v>
      </c>
      <c r="H1787" t="s">
        <v>39</v>
      </c>
      <c r="I1787" s="9">
        <v>180000</v>
      </c>
      <c r="J1787">
        <v>1</v>
      </c>
      <c r="K1787" t="s">
        <v>33</v>
      </c>
      <c r="L1787" s="9">
        <f t="shared" si="27"/>
        <v>144000</v>
      </c>
      <c r="M1787" s="9">
        <f>Table1[[#This Row],[Unit Price]]*Table1[[#This Row],[Quantity]]</f>
        <v>180000</v>
      </c>
      <c r="N1787" s="9">
        <f>Table1[[#This Row],[Cost Price]]*Table1[[#This Row],[Quantity]]</f>
        <v>144000</v>
      </c>
      <c r="O1787" s="9">
        <f>Table1[[#This Row],[Revenue]]-Table1[[#This Row],[COGS]]</f>
        <v>36000</v>
      </c>
      <c r="P1787" s="6">
        <v>1786</v>
      </c>
    </row>
    <row r="1788" spans="1:16">
      <c r="A1788" s="7" t="s">
        <v>52</v>
      </c>
      <c r="B1788" s="7" t="str">
        <f>TEXT(Table1[[#This Row],[Date]],"MMM")</f>
        <v>Mar</v>
      </c>
      <c r="C1788" t="s">
        <v>49</v>
      </c>
      <c r="D1788" t="s">
        <v>28</v>
      </c>
      <c r="E1788" t="s">
        <v>41</v>
      </c>
      <c r="F1788" t="s">
        <v>37</v>
      </c>
      <c r="G1788" t="s">
        <v>62</v>
      </c>
      <c r="H1788" t="s">
        <v>51</v>
      </c>
      <c r="I1788" s="9">
        <v>150000</v>
      </c>
      <c r="J1788">
        <v>3</v>
      </c>
      <c r="K1788" t="s">
        <v>58</v>
      </c>
      <c r="L1788" s="9">
        <f t="shared" si="27"/>
        <v>120000</v>
      </c>
      <c r="M1788" s="9">
        <f>Table1[[#This Row],[Unit Price]]*Table1[[#This Row],[Quantity]]</f>
        <v>450000</v>
      </c>
      <c r="N1788" s="9">
        <f>Table1[[#This Row],[Cost Price]]*Table1[[#This Row],[Quantity]]</f>
        <v>360000</v>
      </c>
      <c r="O1788" s="9">
        <f>Table1[[#This Row],[Revenue]]-Table1[[#This Row],[COGS]]</f>
        <v>90000</v>
      </c>
      <c r="P1788" s="6">
        <v>1787</v>
      </c>
    </row>
    <row r="1789" spans="1:16">
      <c r="A1789" s="7" t="s">
        <v>101</v>
      </c>
      <c r="B1789" s="7" t="str">
        <f>TEXT(Table1[[#This Row],[Date]],"MMM")</f>
        <v>Jan</v>
      </c>
      <c r="C1789" t="s">
        <v>44</v>
      </c>
      <c r="D1789" t="s">
        <v>53</v>
      </c>
      <c r="E1789" t="s">
        <v>41</v>
      </c>
      <c r="F1789" t="s">
        <v>30</v>
      </c>
      <c r="G1789" t="s">
        <v>73</v>
      </c>
      <c r="H1789" t="s">
        <v>39</v>
      </c>
      <c r="I1789" s="9">
        <v>220000</v>
      </c>
      <c r="J1789">
        <v>9</v>
      </c>
      <c r="K1789" t="s">
        <v>47</v>
      </c>
      <c r="L1789" s="9">
        <f t="shared" si="27"/>
        <v>176000</v>
      </c>
      <c r="M1789" s="9">
        <f>Table1[[#This Row],[Unit Price]]*Table1[[#This Row],[Quantity]]</f>
        <v>1980000</v>
      </c>
      <c r="N1789" s="9">
        <f>Table1[[#This Row],[Cost Price]]*Table1[[#This Row],[Quantity]]</f>
        <v>1584000</v>
      </c>
      <c r="O1789" s="9">
        <f>Table1[[#This Row],[Revenue]]-Table1[[#This Row],[COGS]]</f>
        <v>396000</v>
      </c>
      <c r="P1789" s="6">
        <v>1788</v>
      </c>
    </row>
    <row r="1790" spans="1:16">
      <c r="A1790" s="7" t="s">
        <v>89</v>
      </c>
      <c r="B1790" s="7" t="str">
        <f>TEXT(Table1[[#This Row],[Date]],"MMM")</f>
        <v>Feb</v>
      </c>
      <c r="C1790" t="s">
        <v>49</v>
      </c>
      <c r="D1790" t="s">
        <v>45</v>
      </c>
      <c r="E1790" t="s">
        <v>41</v>
      </c>
      <c r="F1790" t="s">
        <v>30</v>
      </c>
      <c r="G1790" t="s">
        <v>67</v>
      </c>
      <c r="H1790" t="s">
        <v>51</v>
      </c>
      <c r="I1790" s="9">
        <v>420000</v>
      </c>
      <c r="J1790">
        <v>4</v>
      </c>
      <c r="K1790" t="s">
        <v>47</v>
      </c>
      <c r="L1790" s="9">
        <f t="shared" si="27"/>
        <v>336000</v>
      </c>
      <c r="M1790" s="9">
        <f>Table1[[#This Row],[Unit Price]]*Table1[[#This Row],[Quantity]]</f>
        <v>1680000</v>
      </c>
      <c r="N1790" s="9">
        <f>Table1[[#This Row],[Cost Price]]*Table1[[#This Row],[Quantity]]</f>
        <v>1344000</v>
      </c>
      <c r="O1790" s="9">
        <f>Table1[[#This Row],[Revenue]]-Table1[[#This Row],[COGS]]</f>
        <v>336000</v>
      </c>
      <c r="P1790" s="6">
        <v>1789</v>
      </c>
    </row>
    <row r="1791" spans="1:16">
      <c r="A1791" s="7" t="s">
        <v>174</v>
      </c>
      <c r="B1791" s="7" t="str">
        <f>TEXT(Table1[[#This Row],[Date]],"MMM")</f>
        <v>Feb</v>
      </c>
      <c r="C1791" t="s">
        <v>49</v>
      </c>
      <c r="D1791" t="s">
        <v>45</v>
      </c>
      <c r="E1791" t="s">
        <v>41</v>
      </c>
      <c r="F1791" t="s">
        <v>37</v>
      </c>
      <c r="G1791" t="s">
        <v>50</v>
      </c>
      <c r="H1791" t="s">
        <v>51</v>
      </c>
      <c r="I1791" s="9">
        <v>300000</v>
      </c>
      <c r="J1791">
        <v>2</v>
      </c>
      <c r="K1791" t="s">
        <v>69</v>
      </c>
      <c r="L1791" s="9">
        <f t="shared" si="27"/>
        <v>240000</v>
      </c>
      <c r="M1791" s="9">
        <f>Table1[[#This Row],[Unit Price]]*Table1[[#This Row],[Quantity]]</f>
        <v>600000</v>
      </c>
      <c r="N1791" s="9">
        <f>Table1[[#This Row],[Cost Price]]*Table1[[#This Row],[Quantity]]</f>
        <v>480000</v>
      </c>
      <c r="O1791" s="9">
        <f>Table1[[#This Row],[Revenue]]-Table1[[#This Row],[COGS]]</f>
        <v>120000</v>
      </c>
      <c r="P1791" s="6">
        <v>1790</v>
      </c>
    </row>
    <row r="1792" spans="1:16">
      <c r="A1792" s="7" t="s">
        <v>167</v>
      </c>
      <c r="B1792" s="7" t="str">
        <f>TEXT(Table1[[#This Row],[Date]],"MMM")</f>
        <v>Apr</v>
      </c>
      <c r="C1792" t="s">
        <v>35</v>
      </c>
      <c r="D1792" t="s">
        <v>36</v>
      </c>
      <c r="E1792" t="s">
        <v>41</v>
      </c>
      <c r="F1792" t="s">
        <v>37</v>
      </c>
      <c r="G1792" t="s">
        <v>31</v>
      </c>
      <c r="H1792" t="s">
        <v>32</v>
      </c>
      <c r="I1792" s="9">
        <v>85000</v>
      </c>
      <c r="J1792">
        <v>8</v>
      </c>
      <c r="K1792" t="s">
        <v>42</v>
      </c>
      <c r="L1792" s="9">
        <f t="shared" si="27"/>
        <v>68000</v>
      </c>
      <c r="M1792" s="9">
        <f>Table1[[#This Row],[Unit Price]]*Table1[[#This Row],[Quantity]]</f>
        <v>680000</v>
      </c>
      <c r="N1792" s="9">
        <f>Table1[[#This Row],[Cost Price]]*Table1[[#This Row],[Quantity]]</f>
        <v>544000</v>
      </c>
      <c r="O1792" s="9">
        <f>Table1[[#This Row],[Revenue]]-Table1[[#This Row],[COGS]]</f>
        <v>136000</v>
      </c>
      <c r="P1792" s="6">
        <v>1791</v>
      </c>
    </row>
    <row r="1793" spans="1:16">
      <c r="A1793" s="7" t="s">
        <v>172</v>
      </c>
      <c r="B1793" s="7" t="str">
        <f>TEXT(Table1[[#This Row],[Date]],"MMM")</f>
        <v>Mar</v>
      </c>
      <c r="C1793" t="s">
        <v>44</v>
      </c>
      <c r="D1793" t="s">
        <v>53</v>
      </c>
      <c r="E1793" t="s">
        <v>29</v>
      </c>
      <c r="F1793" t="s">
        <v>37</v>
      </c>
      <c r="G1793" t="s">
        <v>73</v>
      </c>
      <c r="H1793" t="s">
        <v>39</v>
      </c>
      <c r="I1793" s="9">
        <v>220000</v>
      </c>
      <c r="J1793">
        <v>10</v>
      </c>
      <c r="K1793" t="s">
        <v>47</v>
      </c>
      <c r="L1793" s="9">
        <f t="shared" si="27"/>
        <v>176000</v>
      </c>
      <c r="M1793" s="9">
        <f>Table1[[#This Row],[Unit Price]]*Table1[[#This Row],[Quantity]]</f>
        <v>2200000</v>
      </c>
      <c r="N1793" s="9">
        <f>Table1[[#This Row],[Cost Price]]*Table1[[#This Row],[Quantity]]</f>
        <v>1760000</v>
      </c>
      <c r="O1793" s="9">
        <f>Table1[[#This Row],[Revenue]]-Table1[[#This Row],[COGS]]</f>
        <v>440000</v>
      </c>
      <c r="P1793" s="6">
        <v>1792</v>
      </c>
    </row>
    <row r="1794" spans="1:16">
      <c r="A1794" s="7" t="s">
        <v>175</v>
      </c>
      <c r="B1794" s="7" t="str">
        <f>TEXT(Table1[[#This Row],[Date]],"MMM")</f>
        <v>Jan</v>
      </c>
      <c r="C1794" t="s">
        <v>27</v>
      </c>
      <c r="D1794" t="s">
        <v>28</v>
      </c>
      <c r="E1794" t="s">
        <v>29</v>
      </c>
      <c r="F1794" t="s">
        <v>37</v>
      </c>
      <c r="G1794" t="s">
        <v>73</v>
      </c>
      <c r="H1794" t="s">
        <v>39</v>
      </c>
      <c r="I1794" s="9">
        <v>220000</v>
      </c>
      <c r="J1794">
        <v>7</v>
      </c>
      <c r="K1794" t="s">
        <v>47</v>
      </c>
      <c r="L1794" s="9">
        <f t="shared" ref="L1794:L1857" si="28">I1794-I1794*0.2</f>
        <v>176000</v>
      </c>
      <c r="M1794" s="9">
        <f>Table1[[#This Row],[Unit Price]]*Table1[[#This Row],[Quantity]]</f>
        <v>1540000</v>
      </c>
      <c r="N1794" s="9">
        <f>Table1[[#This Row],[Cost Price]]*Table1[[#This Row],[Quantity]]</f>
        <v>1232000</v>
      </c>
      <c r="O1794" s="9">
        <f>Table1[[#This Row],[Revenue]]-Table1[[#This Row],[COGS]]</f>
        <v>308000</v>
      </c>
      <c r="P1794" s="6">
        <v>1793</v>
      </c>
    </row>
    <row r="1795" spans="1:16">
      <c r="A1795" s="7" t="s">
        <v>99</v>
      </c>
      <c r="B1795" s="7" t="str">
        <f>TEXT(Table1[[#This Row],[Date]],"MMM")</f>
        <v>Apr</v>
      </c>
      <c r="C1795" t="s">
        <v>35</v>
      </c>
      <c r="D1795" t="s">
        <v>45</v>
      </c>
      <c r="E1795" t="s">
        <v>29</v>
      </c>
      <c r="F1795" t="s">
        <v>37</v>
      </c>
      <c r="G1795" t="s">
        <v>56</v>
      </c>
      <c r="H1795" t="s">
        <v>32</v>
      </c>
      <c r="I1795" s="9">
        <v>320000</v>
      </c>
      <c r="J1795">
        <v>10</v>
      </c>
      <c r="K1795" t="s">
        <v>47</v>
      </c>
      <c r="L1795" s="9">
        <f t="shared" si="28"/>
        <v>256000</v>
      </c>
      <c r="M1795" s="9">
        <f>Table1[[#This Row],[Unit Price]]*Table1[[#This Row],[Quantity]]</f>
        <v>3200000</v>
      </c>
      <c r="N1795" s="9">
        <f>Table1[[#This Row],[Cost Price]]*Table1[[#This Row],[Quantity]]</f>
        <v>2560000</v>
      </c>
      <c r="O1795" s="9">
        <f>Table1[[#This Row],[Revenue]]-Table1[[#This Row],[COGS]]</f>
        <v>640000</v>
      </c>
      <c r="P1795" s="6">
        <v>1794</v>
      </c>
    </row>
    <row r="1796" spans="1:16">
      <c r="A1796" s="7" t="s">
        <v>144</v>
      </c>
      <c r="B1796" s="7" t="str">
        <f>TEXT(Table1[[#This Row],[Date]],"MMM")</f>
        <v>Feb</v>
      </c>
      <c r="C1796" t="s">
        <v>27</v>
      </c>
      <c r="D1796" t="s">
        <v>36</v>
      </c>
      <c r="E1796" t="s">
        <v>41</v>
      </c>
      <c r="F1796" t="s">
        <v>30</v>
      </c>
      <c r="G1796" t="s">
        <v>54</v>
      </c>
      <c r="H1796" t="s">
        <v>39</v>
      </c>
      <c r="I1796" s="9">
        <v>180000</v>
      </c>
      <c r="J1796">
        <v>9</v>
      </c>
      <c r="K1796" t="s">
        <v>65</v>
      </c>
      <c r="L1796" s="9">
        <f t="shared" si="28"/>
        <v>144000</v>
      </c>
      <c r="M1796" s="9">
        <f>Table1[[#This Row],[Unit Price]]*Table1[[#This Row],[Quantity]]</f>
        <v>1620000</v>
      </c>
      <c r="N1796" s="9">
        <f>Table1[[#This Row],[Cost Price]]*Table1[[#This Row],[Quantity]]</f>
        <v>1296000</v>
      </c>
      <c r="O1796" s="9">
        <f>Table1[[#This Row],[Revenue]]-Table1[[#This Row],[COGS]]</f>
        <v>324000</v>
      </c>
      <c r="P1796" s="6">
        <v>1795</v>
      </c>
    </row>
    <row r="1797" spans="1:16">
      <c r="A1797" s="7" t="s">
        <v>157</v>
      </c>
      <c r="B1797" s="7" t="str">
        <f>TEXT(Table1[[#This Row],[Date]],"MMM")</f>
        <v>Apr</v>
      </c>
      <c r="C1797" t="s">
        <v>49</v>
      </c>
      <c r="D1797" t="s">
        <v>45</v>
      </c>
      <c r="E1797" t="s">
        <v>41</v>
      </c>
      <c r="F1797" t="s">
        <v>30</v>
      </c>
      <c r="G1797" t="s">
        <v>46</v>
      </c>
      <c r="H1797" t="s">
        <v>39</v>
      </c>
      <c r="I1797" s="9">
        <v>60000</v>
      </c>
      <c r="J1797">
        <v>4</v>
      </c>
      <c r="K1797" t="s">
        <v>69</v>
      </c>
      <c r="L1797" s="9">
        <f t="shared" si="28"/>
        <v>48000</v>
      </c>
      <c r="M1797" s="9">
        <f>Table1[[#This Row],[Unit Price]]*Table1[[#This Row],[Quantity]]</f>
        <v>240000</v>
      </c>
      <c r="N1797" s="9">
        <f>Table1[[#This Row],[Cost Price]]*Table1[[#This Row],[Quantity]]</f>
        <v>192000</v>
      </c>
      <c r="O1797" s="9">
        <f>Table1[[#This Row],[Revenue]]-Table1[[#This Row],[COGS]]</f>
        <v>48000</v>
      </c>
      <c r="P1797" s="6">
        <v>1796</v>
      </c>
    </row>
    <row r="1798" spans="1:16">
      <c r="A1798" s="7" t="s">
        <v>151</v>
      </c>
      <c r="B1798" s="7" t="str">
        <f>TEXT(Table1[[#This Row],[Date]],"MMM")</f>
        <v>Feb</v>
      </c>
      <c r="C1798" t="s">
        <v>44</v>
      </c>
      <c r="D1798" t="s">
        <v>45</v>
      </c>
      <c r="E1798" t="s">
        <v>41</v>
      </c>
      <c r="F1798" t="s">
        <v>37</v>
      </c>
      <c r="G1798" t="s">
        <v>71</v>
      </c>
      <c r="H1798" t="s">
        <v>51</v>
      </c>
      <c r="I1798" s="9">
        <v>250000</v>
      </c>
      <c r="J1798">
        <v>10</v>
      </c>
      <c r="K1798" t="s">
        <v>69</v>
      </c>
      <c r="L1798" s="9">
        <f t="shared" si="28"/>
        <v>200000</v>
      </c>
      <c r="M1798" s="9">
        <f>Table1[[#This Row],[Unit Price]]*Table1[[#This Row],[Quantity]]</f>
        <v>2500000</v>
      </c>
      <c r="N1798" s="9">
        <f>Table1[[#This Row],[Cost Price]]*Table1[[#This Row],[Quantity]]</f>
        <v>2000000</v>
      </c>
      <c r="O1798" s="9">
        <f>Table1[[#This Row],[Revenue]]-Table1[[#This Row],[COGS]]</f>
        <v>500000</v>
      </c>
      <c r="P1798" s="6">
        <v>1797</v>
      </c>
    </row>
    <row r="1799" spans="1:16">
      <c r="A1799" s="7" t="s">
        <v>168</v>
      </c>
      <c r="B1799" s="7" t="str">
        <f>TEXT(Table1[[#This Row],[Date]],"MMM")</f>
        <v>Apr</v>
      </c>
      <c r="C1799" t="s">
        <v>49</v>
      </c>
      <c r="D1799" t="s">
        <v>45</v>
      </c>
      <c r="E1799" t="s">
        <v>41</v>
      </c>
      <c r="F1799" t="s">
        <v>30</v>
      </c>
      <c r="G1799" t="s">
        <v>56</v>
      </c>
      <c r="H1799" t="s">
        <v>32</v>
      </c>
      <c r="I1799" s="9">
        <v>320000</v>
      </c>
      <c r="J1799">
        <v>2</v>
      </c>
      <c r="K1799" t="s">
        <v>47</v>
      </c>
      <c r="L1799" s="9">
        <f t="shared" si="28"/>
        <v>256000</v>
      </c>
      <c r="M1799" s="9">
        <f>Table1[[#This Row],[Unit Price]]*Table1[[#This Row],[Quantity]]</f>
        <v>640000</v>
      </c>
      <c r="N1799" s="9">
        <f>Table1[[#This Row],[Cost Price]]*Table1[[#This Row],[Quantity]]</f>
        <v>512000</v>
      </c>
      <c r="O1799" s="9">
        <f>Table1[[#This Row],[Revenue]]-Table1[[#This Row],[COGS]]</f>
        <v>128000</v>
      </c>
      <c r="P1799" s="6">
        <v>1798</v>
      </c>
    </row>
    <row r="1800" spans="1:16">
      <c r="A1800" s="7" t="s">
        <v>164</v>
      </c>
      <c r="B1800" s="7" t="str">
        <f>TEXT(Table1[[#This Row],[Date]],"MMM")</f>
        <v>Mar</v>
      </c>
      <c r="C1800" t="s">
        <v>44</v>
      </c>
      <c r="D1800" t="s">
        <v>53</v>
      </c>
      <c r="E1800" t="s">
        <v>41</v>
      </c>
      <c r="F1800" t="s">
        <v>37</v>
      </c>
      <c r="G1800" t="s">
        <v>67</v>
      </c>
      <c r="H1800" t="s">
        <v>51</v>
      </c>
      <c r="I1800" s="9">
        <v>420000</v>
      </c>
      <c r="J1800">
        <v>7</v>
      </c>
      <c r="K1800" t="s">
        <v>58</v>
      </c>
      <c r="L1800" s="9">
        <f t="shared" si="28"/>
        <v>336000</v>
      </c>
      <c r="M1800" s="9">
        <f>Table1[[#This Row],[Unit Price]]*Table1[[#This Row],[Quantity]]</f>
        <v>2940000</v>
      </c>
      <c r="N1800" s="9">
        <f>Table1[[#This Row],[Cost Price]]*Table1[[#This Row],[Quantity]]</f>
        <v>2352000</v>
      </c>
      <c r="O1800" s="9">
        <f>Table1[[#This Row],[Revenue]]-Table1[[#This Row],[COGS]]</f>
        <v>588000</v>
      </c>
      <c r="P1800" s="6">
        <v>1799</v>
      </c>
    </row>
    <row r="1801" spans="1:16">
      <c r="A1801" s="7" t="s">
        <v>160</v>
      </c>
      <c r="B1801" s="7" t="str">
        <f>TEXT(Table1[[#This Row],[Date]],"MMM")</f>
        <v>Jan</v>
      </c>
      <c r="C1801" t="s">
        <v>49</v>
      </c>
      <c r="D1801" t="s">
        <v>45</v>
      </c>
      <c r="E1801" t="s">
        <v>41</v>
      </c>
      <c r="F1801" t="s">
        <v>37</v>
      </c>
      <c r="G1801" t="s">
        <v>50</v>
      </c>
      <c r="H1801" t="s">
        <v>51</v>
      </c>
      <c r="I1801" s="9">
        <v>300000</v>
      </c>
      <c r="J1801">
        <v>5</v>
      </c>
      <c r="K1801" t="s">
        <v>58</v>
      </c>
      <c r="L1801" s="9">
        <f t="shared" si="28"/>
        <v>240000</v>
      </c>
      <c r="M1801" s="9">
        <f>Table1[[#This Row],[Unit Price]]*Table1[[#This Row],[Quantity]]</f>
        <v>1500000</v>
      </c>
      <c r="N1801" s="9">
        <f>Table1[[#This Row],[Cost Price]]*Table1[[#This Row],[Quantity]]</f>
        <v>1200000</v>
      </c>
      <c r="O1801" s="9">
        <f>Table1[[#This Row],[Revenue]]-Table1[[#This Row],[COGS]]</f>
        <v>300000</v>
      </c>
      <c r="P1801" s="6">
        <v>1800</v>
      </c>
    </row>
    <row r="1802" spans="1:16">
      <c r="A1802" s="7" t="s">
        <v>77</v>
      </c>
      <c r="B1802" s="7" t="str">
        <f>TEXT(Table1[[#This Row],[Date]],"MMM")</f>
        <v>Apr</v>
      </c>
      <c r="C1802" t="s">
        <v>44</v>
      </c>
      <c r="D1802" t="s">
        <v>28</v>
      </c>
      <c r="E1802" t="s">
        <v>41</v>
      </c>
      <c r="F1802" t="s">
        <v>37</v>
      </c>
      <c r="G1802" t="s">
        <v>46</v>
      </c>
      <c r="H1802" t="s">
        <v>39</v>
      </c>
      <c r="I1802" s="9">
        <v>60000</v>
      </c>
      <c r="J1802">
        <v>5</v>
      </c>
      <c r="K1802" t="s">
        <v>65</v>
      </c>
      <c r="L1802" s="9">
        <f t="shared" si="28"/>
        <v>48000</v>
      </c>
      <c r="M1802" s="9">
        <f>Table1[[#This Row],[Unit Price]]*Table1[[#This Row],[Quantity]]</f>
        <v>300000</v>
      </c>
      <c r="N1802" s="9">
        <f>Table1[[#This Row],[Cost Price]]*Table1[[#This Row],[Quantity]]</f>
        <v>240000</v>
      </c>
      <c r="O1802" s="9">
        <f>Table1[[#This Row],[Revenue]]-Table1[[#This Row],[COGS]]</f>
        <v>60000</v>
      </c>
      <c r="P1802" s="6">
        <v>1801</v>
      </c>
    </row>
    <row r="1803" spans="1:16">
      <c r="A1803" s="7" t="s">
        <v>153</v>
      </c>
      <c r="B1803" s="7" t="str">
        <f>TEXT(Table1[[#This Row],[Date]],"MMM")</f>
        <v>Mar</v>
      </c>
      <c r="C1803" t="s">
        <v>35</v>
      </c>
      <c r="D1803" t="s">
        <v>28</v>
      </c>
      <c r="E1803" t="s">
        <v>29</v>
      </c>
      <c r="F1803" t="s">
        <v>37</v>
      </c>
      <c r="G1803" t="s">
        <v>67</v>
      </c>
      <c r="H1803" t="s">
        <v>51</v>
      </c>
      <c r="I1803" s="9">
        <v>420000</v>
      </c>
      <c r="J1803">
        <v>9</v>
      </c>
      <c r="K1803" t="s">
        <v>47</v>
      </c>
      <c r="L1803" s="9">
        <f t="shared" si="28"/>
        <v>336000</v>
      </c>
      <c r="M1803" s="9">
        <f>Table1[[#This Row],[Unit Price]]*Table1[[#This Row],[Quantity]]</f>
        <v>3780000</v>
      </c>
      <c r="N1803" s="9">
        <f>Table1[[#This Row],[Cost Price]]*Table1[[#This Row],[Quantity]]</f>
        <v>3024000</v>
      </c>
      <c r="O1803" s="9">
        <f>Table1[[#This Row],[Revenue]]-Table1[[#This Row],[COGS]]</f>
        <v>756000</v>
      </c>
      <c r="P1803" s="6">
        <v>1802</v>
      </c>
    </row>
    <row r="1804" spans="1:16">
      <c r="A1804" s="7" t="s">
        <v>158</v>
      </c>
      <c r="B1804" s="7" t="str">
        <f>TEXT(Table1[[#This Row],[Date]],"MMM")</f>
        <v>Jan</v>
      </c>
      <c r="C1804" t="s">
        <v>44</v>
      </c>
      <c r="D1804" t="s">
        <v>28</v>
      </c>
      <c r="E1804" t="s">
        <v>29</v>
      </c>
      <c r="F1804" t="s">
        <v>37</v>
      </c>
      <c r="G1804" t="s">
        <v>71</v>
      </c>
      <c r="H1804" t="s">
        <v>51</v>
      </c>
      <c r="I1804" s="9">
        <v>250000</v>
      </c>
      <c r="J1804">
        <v>9</v>
      </c>
      <c r="K1804" t="s">
        <v>69</v>
      </c>
      <c r="L1804" s="9">
        <f t="shared" si="28"/>
        <v>200000</v>
      </c>
      <c r="M1804" s="9">
        <f>Table1[[#This Row],[Unit Price]]*Table1[[#This Row],[Quantity]]</f>
        <v>2250000</v>
      </c>
      <c r="N1804" s="9">
        <f>Table1[[#This Row],[Cost Price]]*Table1[[#This Row],[Quantity]]</f>
        <v>1800000</v>
      </c>
      <c r="O1804" s="9">
        <f>Table1[[#This Row],[Revenue]]-Table1[[#This Row],[COGS]]</f>
        <v>450000</v>
      </c>
      <c r="P1804" s="6">
        <v>1803</v>
      </c>
    </row>
    <row r="1805" spans="1:16">
      <c r="A1805" s="7" t="s">
        <v>112</v>
      </c>
      <c r="B1805" s="7" t="str">
        <f>TEXT(Table1[[#This Row],[Date]],"MMM")</f>
        <v>Feb</v>
      </c>
      <c r="C1805" t="s">
        <v>27</v>
      </c>
      <c r="D1805" t="s">
        <v>53</v>
      </c>
      <c r="E1805" t="s">
        <v>29</v>
      </c>
      <c r="F1805" t="s">
        <v>37</v>
      </c>
      <c r="G1805" t="s">
        <v>73</v>
      </c>
      <c r="H1805" t="s">
        <v>39</v>
      </c>
      <c r="I1805" s="9">
        <v>220000</v>
      </c>
      <c r="J1805">
        <v>1</v>
      </c>
      <c r="K1805" t="s">
        <v>69</v>
      </c>
      <c r="L1805" s="9">
        <f t="shared" si="28"/>
        <v>176000</v>
      </c>
      <c r="M1805" s="9">
        <f>Table1[[#This Row],[Unit Price]]*Table1[[#This Row],[Quantity]]</f>
        <v>220000</v>
      </c>
      <c r="N1805" s="9">
        <f>Table1[[#This Row],[Cost Price]]*Table1[[#This Row],[Quantity]]</f>
        <v>176000</v>
      </c>
      <c r="O1805" s="9">
        <f>Table1[[#This Row],[Revenue]]-Table1[[#This Row],[COGS]]</f>
        <v>44000</v>
      </c>
      <c r="P1805" s="6">
        <v>1804</v>
      </c>
    </row>
    <row r="1806" spans="1:16">
      <c r="A1806" s="7" t="s">
        <v>26</v>
      </c>
      <c r="B1806" s="7" t="str">
        <f>TEXT(Table1[[#This Row],[Date]],"MMM")</f>
        <v>Jan</v>
      </c>
      <c r="C1806" t="s">
        <v>27</v>
      </c>
      <c r="D1806" t="s">
        <v>36</v>
      </c>
      <c r="E1806" t="s">
        <v>29</v>
      </c>
      <c r="F1806" t="s">
        <v>37</v>
      </c>
      <c r="G1806" t="s">
        <v>73</v>
      </c>
      <c r="H1806" t="s">
        <v>39</v>
      </c>
      <c r="I1806" s="9">
        <v>220000</v>
      </c>
      <c r="J1806">
        <v>3</v>
      </c>
      <c r="K1806" t="s">
        <v>69</v>
      </c>
      <c r="L1806" s="9">
        <f t="shared" si="28"/>
        <v>176000</v>
      </c>
      <c r="M1806" s="9">
        <f>Table1[[#This Row],[Unit Price]]*Table1[[#This Row],[Quantity]]</f>
        <v>660000</v>
      </c>
      <c r="N1806" s="9">
        <f>Table1[[#This Row],[Cost Price]]*Table1[[#This Row],[Quantity]]</f>
        <v>528000</v>
      </c>
      <c r="O1806" s="9">
        <f>Table1[[#This Row],[Revenue]]-Table1[[#This Row],[COGS]]</f>
        <v>132000</v>
      </c>
      <c r="P1806" s="6">
        <v>1805</v>
      </c>
    </row>
    <row r="1807" spans="1:16">
      <c r="A1807" s="7" t="s">
        <v>171</v>
      </c>
      <c r="B1807" s="7" t="str">
        <f>TEXT(Table1[[#This Row],[Date]],"MMM")</f>
        <v>Mar</v>
      </c>
      <c r="C1807" t="s">
        <v>27</v>
      </c>
      <c r="D1807" t="s">
        <v>36</v>
      </c>
      <c r="E1807" t="s">
        <v>41</v>
      </c>
      <c r="F1807" t="s">
        <v>37</v>
      </c>
      <c r="G1807" t="s">
        <v>71</v>
      </c>
      <c r="H1807" t="s">
        <v>51</v>
      </c>
      <c r="I1807" s="9">
        <v>250000</v>
      </c>
      <c r="J1807">
        <v>8</v>
      </c>
      <c r="K1807" t="s">
        <v>47</v>
      </c>
      <c r="L1807" s="9">
        <f t="shared" si="28"/>
        <v>200000</v>
      </c>
      <c r="M1807" s="9">
        <f>Table1[[#This Row],[Unit Price]]*Table1[[#This Row],[Quantity]]</f>
        <v>2000000</v>
      </c>
      <c r="N1807" s="9">
        <f>Table1[[#This Row],[Cost Price]]*Table1[[#This Row],[Quantity]]</f>
        <v>1600000</v>
      </c>
      <c r="O1807" s="9">
        <f>Table1[[#This Row],[Revenue]]-Table1[[#This Row],[COGS]]</f>
        <v>400000</v>
      </c>
      <c r="P1807" s="6">
        <v>1806</v>
      </c>
    </row>
    <row r="1808" spans="1:16">
      <c r="A1808" s="7" t="s">
        <v>162</v>
      </c>
      <c r="B1808" s="7" t="str">
        <f>TEXT(Table1[[#This Row],[Date]],"MMM")</f>
        <v>Apr</v>
      </c>
      <c r="C1808" t="s">
        <v>27</v>
      </c>
      <c r="D1808" t="s">
        <v>45</v>
      </c>
      <c r="E1808" t="s">
        <v>29</v>
      </c>
      <c r="F1808" t="s">
        <v>37</v>
      </c>
      <c r="G1808" t="s">
        <v>38</v>
      </c>
      <c r="H1808" t="s">
        <v>39</v>
      </c>
      <c r="I1808" s="9">
        <v>30000</v>
      </c>
      <c r="J1808">
        <v>1</v>
      </c>
      <c r="K1808" t="s">
        <v>58</v>
      </c>
      <c r="L1808" s="9">
        <f t="shared" si="28"/>
        <v>24000</v>
      </c>
      <c r="M1808" s="9">
        <f>Table1[[#This Row],[Unit Price]]*Table1[[#This Row],[Quantity]]</f>
        <v>30000</v>
      </c>
      <c r="N1808" s="9">
        <f>Table1[[#This Row],[Cost Price]]*Table1[[#This Row],[Quantity]]</f>
        <v>24000</v>
      </c>
      <c r="O1808" s="9">
        <f>Table1[[#This Row],[Revenue]]-Table1[[#This Row],[COGS]]</f>
        <v>6000</v>
      </c>
      <c r="P1808" s="6">
        <v>1807</v>
      </c>
    </row>
    <row r="1809" spans="1:16">
      <c r="A1809" s="7" t="s">
        <v>94</v>
      </c>
      <c r="B1809" s="7" t="str">
        <f>TEXT(Table1[[#This Row],[Date]],"MMM")</f>
        <v>Jan</v>
      </c>
      <c r="C1809" t="s">
        <v>27</v>
      </c>
      <c r="D1809" t="s">
        <v>53</v>
      </c>
      <c r="E1809" t="s">
        <v>41</v>
      </c>
      <c r="F1809" t="s">
        <v>37</v>
      </c>
      <c r="G1809" t="s">
        <v>38</v>
      </c>
      <c r="H1809" t="s">
        <v>39</v>
      </c>
      <c r="I1809" s="9">
        <v>30000</v>
      </c>
      <c r="J1809">
        <v>1</v>
      </c>
      <c r="K1809" t="s">
        <v>65</v>
      </c>
      <c r="L1809" s="9">
        <f t="shared" si="28"/>
        <v>24000</v>
      </c>
      <c r="M1809" s="9">
        <f>Table1[[#This Row],[Unit Price]]*Table1[[#This Row],[Quantity]]</f>
        <v>30000</v>
      </c>
      <c r="N1809" s="9">
        <f>Table1[[#This Row],[Cost Price]]*Table1[[#This Row],[Quantity]]</f>
        <v>24000</v>
      </c>
      <c r="O1809" s="9">
        <f>Table1[[#This Row],[Revenue]]-Table1[[#This Row],[COGS]]</f>
        <v>6000</v>
      </c>
      <c r="P1809" s="6">
        <v>1808</v>
      </c>
    </row>
    <row r="1810" spans="1:16">
      <c r="A1810" s="7" t="s">
        <v>124</v>
      </c>
      <c r="B1810" s="7" t="str">
        <f>TEXT(Table1[[#This Row],[Date]],"MMM")</f>
        <v>Feb</v>
      </c>
      <c r="C1810" t="s">
        <v>49</v>
      </c>
      <c r="D1810" t="s">
        <v>45</v>
      </c>
      <c r="E1810" t="s">
        <v>29</v>
      </c>
      <c r="F1810" t="s">
        <v>37</v>
      </c>
      <c r="G1810" t="s">
        <v>38</v>
      </c>
      <c r="H1810" t="s">
        <v>39</v>
      </c>
      <c r="I1810" s="9">
        <v>30000</v>
      </c>
      <c r="J1810">
        <v>8</v>
      </c>
      <c r="K1810" t="s">
        <v>33</v>
      </c>
      <c r="L1810" s="9">
        <f t="shared" si="28"/>
        <v>24000</v>
      </c>
      <c r="M1810" s="9">
        <f>Table1[[#This Row],[Unit Price]]*Table1[[#This Row],[Quantity]]</f>
        <v>240000</v>
      </c>
      <c r="N1810" s="9">
        <f>Table1[[#This Row],[Cost Price]]*Table1[[#This Row],[Quantity]]</f>
        <v>192000</v>
      </c>
      <c r="O1810" s="9">
        <f>Table1[[#This Row],[Revenue]]-Table1[[#This Row],[COGS]]</f>
        <v>48000</v>
      </c>
      <c r="P1810" s="6">
        <v>1809</v>
      </c>
    </row>
    <row r="1811" spans="1:16">
      <c r="A1811" s="7" t="s">
        <v>171</v>
      </c>
      <c r="B1811" s="7" t="str">
        <f>TEXT(Table1[[#This Row],[Date]],"MMM")</f>
        <v>Mar</v>
      </c>
      <c r="C1811" t="s">
        <v>27</v>
      </c>
      <c r="D1811" t="s">
        <v>28</v>
      </c>
      <c r="E1811" t="s">
        <v>29</v>
      </c>
      <c r="F1811" t="s">
        <v>37</v>
      </c>
      <c r="G1811" t="s">
        <v>46</v>
      </c>
      <c r="H1811" t="s">
        <v>39</v>
      </c>
      <c r="I1811" s="9">
        <v>60000</v>
      </c>
      <c r="J1811">
        <v>6</v>
      </c>
      <c r="K1811" t="s">
        <v>58</v>
      </c>
      <c r="L1811" s="9">
        <f t="shared" si="28"/>
        <v>48000</v>
      </c>
      <c r="M1811" s="9">
        <f>Table1[[#This Row],[Unit Price]]*Table1[[#This Row],[Quantity]]</f>
        <v>360000</v>
      </c>
      <c r="N1811" s="9">
        <f>Table1[[#This Row],[Cost Price]]*Table1[[#This Row],[Quantity]]</f>
        <v>288000</v>
      </c>
      <c r="O1811" s="9">
        <f>Table1[[#This Row],[Revenue]]-Table1[[#This Row],[COGS]]</f>
        <v>72000</v>
      </c>
      <c r="P1811" s="6">
        <v>1810</v>
      </c>
    </row>
    <row r="1812" spans="1:16">
      <c r="A1812" s="7" t="s">
        <v>98</v>
      </c>
      <c r="B1812" s="7" t="str">
        <f>TEXT(Table1[[#This Row],[Date]],"MMM")</f>
        <v>Jan</v>
      </c>
      <c r="C1812" t="s">
        <v>27</v>
      </c>
      <c r="D1812" t="s">
        <v>28</v>
      </c>
      <c r="E1812" t="s">
        <v>41</v>
      </c>
      <c r="F1812" t="s">
        <v>37</v>
      </c>
      <c r="G1812" t="s">
        <v>71</v>
      </c>
      <c r="H1812" t="s">
        <v>51</v>
      </c>
      <c r="I1812" s="9">
        <v>250000</v>
      </c>
      <c r="J1812">
        <v>5</v>
      </c>
      <c r="K1812" t="s">
        <v>42</v>
      </c>
      <c r="L1812" s="9">
        <f t="shared" si="28"/>
        <v>200000</v>
      </c>
      <c r="M1812" s="9">
        <f>Table1[[#This Row],[Unit Price]]*Table1[[#This Row],[Quantity]]</f>
        <v>1250000</v>
      </c>
      <c r="N1812" s="9">
        <f>Table1[[#This Row],[Cost Price]]*Table1[[#This Row],[Quantity]]</f>
        <v>1000000</v>
      </c>
      <c r="O1812" s="9">
        <f>Table1[[#This Row],[Revenue]]-Table1[[#This Row],[COGS]]</f>
        <v>250000</v>
      </c>
      <c r="P1812" s="6">
        <v>1811</v>
      </c>
    </row>
    <row r="1813" spans="1:16">
      <c r="A1813" s="7" t="s">
        <v>176</v>
      </c>
      <c r="B1813" s="7" t="str">
        <f>TEXT(Table1[[#This Row],[Date]],"MMM")</f>
        <v>Jan</v>
      </c>
      <c r="C1813" t="s">
        <v>44</v>
      </c>
      <c r="D1813" t="s">
        <v>53</v>
      </c>
      <c r="E1813" t="s">
        <v>29</v>
      </c>
      <c r="F1813" t="s">
        <v>37</v>
      </c>
      <c r="G1813" t="s">
        <v>38</v>
      </c>
      <c r="H1813" t="s">
        <v>39</v>
      </c>
      <c r="I1813" s="9">
        <v>30000</v>
      </c>
      <c r="J1813">
        <v>1</v>
      </c>
      <c r="K1813" t="s">
        <v>65</v>
      </c>
      <c r="L1813" s="9">
        <f t="shared" si="28"/>
        <v>24000</v>
      </c>
      <c r="M1813" s="9">
        <f>Table1[[#This Row],[Unit Price]]*Table1[[#This Row],[Quantity]]</f>
        <v>30000</v>
      </c>
      <c r="N1813" s="9">
        <f>Table1[[#This Row],[Cost Price]]*Table1[[#This Row],[Quantity]]</f>
        <v>24000</v>
      </c>
      <c r="O1813" s="9">
        <f>Table1[[#This Row],[Revenue]]-Table1[[#This Row],[COGS]]</f>
        <v>6000</v>
      </c>
      <c r="P1813" s="6">
        <v>1812</v>
      </c>
    </row>
    <row r="1814" spans="1:16">
      <c r="A1814" s="7" t="s">
        <v>137</v>
      </c>
      <c r="B1814" s="7" t="str">
        <f>TEXT(Table1[[#This Row],[Date]],"MMM")</f>
        <v>Apr</v>
      </c>
      <c r="C1814" t="s">
        <v>44</v>
      </c>
      <c r="D1814" t="s">
        <v>45</v>
      </c>
      <c r="E1814" t="s">
        <v>41</v>
      </c>
      <c r="F1814" t="s">
        <v>37</v>
      </c>
      <c r="G1814" t="s">
        <v>62</v>
      </c>
      <c r="H1814" t="s">
        <v>51</v>
      </c>
      <c r="I1814" s="9">
        <v>150000</v>
      </c>
      <c r="J1814">
        <v>9</v>
      </c>
      <c r="K1814" t="s">
        <v>65</v>
      </c>
      <c r="L1814" s="9">
        <f t="shared" si="28"/>
        <v>120000</v>
      </c>
      <c r="M1814" s="9">
        <f>Table1[[#This Row],[Unit Price]]*Table1[[#This Row],[Quantity]]</f>
        <v>1350000</v>
      </c>
      <c r="N1814" s="9">
        <f>Table1[[#This Row],[Cost Price]]*Table1[[#This Row],[Quantity]]</f>
        <v>1080000</v>
      </c>
      <c r="O1814" s="9">
        <f>Table1[[#This Row],[Revenue]]-Table1[[#This Row],[COGS]]</f>
        <v>270000</v>
      </c>
      <c r="P1814" s="6">
        <v>1813</v>
      </c>
    </row>
    <row r="1815" spans="1:16">
      <c r="A1815" s="7" t="s">
        <v>134</v>
      </c>
      <c r="B1815" s="7" t="str">
        <f>TEXT(Table1[[#This Row],[Date]],"MMM")</f>
        <v>Jan</v>
      </c>
      <c r="C1815" t="s">
        <v>35</v>
      </c>
      <c r="D1815" t="s">
        <v>53</v>
      </c>
      <c r="E1815" t="s">
        <v>29</v>
      </c>
      <c r="F1815" t="s">
        <v>37</v>
      </c>
      <c r="G1815" t="s">
        <v>54</v>
      </c>
      <c r="H1815" t="s">
        <v>39</v>
      </c>
      <c r="I1815" s="9">
        <v>180000</v>
      </c>
      <c r="J1815">
        <v>2</v>
      </c>
      <c r="K1815" t="s">
        <v>65</v>
      </c>
      <c r="L1815" s="9">
        <f t="shared" si="28"/>
        <v>144000</v>
      </c>
      <c r="M1815" s="9">
        <f>Table1[[#This Row],[Unit Price]]*Table1[[#This Row],[Quantity]]</f>
        <v>360000</v>
      </c>
      <c r="N1815" s="9">
        <f>Table1[[#This Row],[Cost Price]]*Table1[[#This Row],[Quantity]]</f>
        <v>288000</v>
      </c>
      <c r="O1815" s="9">
        <f>Table1[[#This Row],[Revenue]]-Table1[[#This Row],[COGS]]</f>
        <v>72000</v>
      </c>
      <c r="P1815" s="6">
        <v>1814</v>
      </c>
    </row>
    <row r="1816" spans="1:16">
      <c r="A1816" s="7" t="s">
        <v>59</v>
      </c>
      <c r="B1816" s="7" t="str">
        <f>TEXT(Table1[[#This Row],[Date]],"MMM")</f>
        <v>Mar</v>
      </c>
      <c r="C1816" t="s">
        <v>35</v>
      </c>
      <c r="D1816" t="s">
        <v>53</v>
      </c>
      <c r="E1816" t="s">
        <v>29</v>
      </c>
      <c r="F1816" t="s">
        <v>37</v>
      </c>
      <c r="G1816" t="s">
        <v>67</v>
      </c>
      <c r="H1816" t="s">
        <v>51</v>
      </c>
      <c r="I1816" s="9">
        <v>420000</v>
      </c>
      <c r="J1816">
        <v>10</v>
      </c>
      <c r="K1816" t="s">
        <v>47</v>
      </c>
      <c r="L1816" s="9">
        <f t="shared" si="28"/>
        <v>336000</v>
      </c>
      <c r="M1816" s="9">
        <f>Table1[[#This Row],[Unit Price]]*Table1[[#This Row],[Quantity]]</f>
        <v>4200000</v>
      </c>
      <c r="N1816" s="9">
        <f>Table1[[#This Row],[Cost Price]]*Table1[[#This Row],[Quantity]]</f>
        <v>3360000</v>
      </c>
      <c r="O1816" s="9">
        <f>Table1[[#This Row],[Revenue]]-Table1[[#This Row],[COGS]]</f>
        <v>840000</v>
      </c>
      <c r="P1816" s="6">
        <v>1815</v>
      </c>
    </row>
    <row r="1817" spans="1:16">
      <c r="A1817" s="7" t="s">
        <v>48</v>
      </c>
      <c r="B1817" s="7" t="str">
        <f>TEXT(Table1[[#This Row],[Date]],"MMM")</f>
        <v>Apr</v>
      </c>
      <c r="C1817" t="s">
        <v>27</v>
      </c>
      <c r="D1817" t="s">
        <v>45</v>
      </c>
      <c r="E1817" t="s">
        <v>41</v>
      </c>
      <c r="F1817" t="s">
        <v>37</v>
      </c>
      <c r="G1817" t="s">
        <v>50</v>
      </c>
      <c r="H1817" t="s">
        <v>51</v>
      </c>
      <c r="I1817" s="9">
        <v>300000</v>
      </c>
      <c r="J1817">
        <v>4</v>
      </c>
      <c r="K1817" t="s">
        <v>69</v>
      </c>
      <c r="L1817" s="9">
        <f t="shared" si="28"/>
        <v>240000</v>
      </c>
      <c r="M1817" s="9">
        <f>Table1[[#This Row],[Unit Price]]*Table1[[#This Row],[Quantity]]</f>
        <v>1200000</v>
      </c>
      <c r="N1817" s="9">
        <f>Table1[[#This Row],[Cost Price]]*Table1[[#This Row],[Quantity]]</f>
        <v>960000</v>
      </c>
      <c r="O1817" s="9">
        <f>Table1[[#This Row],[Revenue]]-Table1[[#This Row],[COGS]]</f>
        <v>240000</v>
      </c>
      <c r="P1817" s="6">
        <v>1816</v>
      </c>
    </row>
    <row r="1818" spans="1:16">
      <c r="A1818" s="7" t="s">
        <v>169</v>
      </c>
      <c r="B1818" s="7" t="str">
        <f>TEXT(Table1[[#This Row],[Date]],"MMM")</f>
        <v>Feb</v>
      </c>
      <c r="C1818" t="s">
        <v>27</v>
      </c>
      <c r="D1818" t="s">
        <v>28</v>
      </c>
      <c r="E1818" t="s">
        <v>29</v>
      </c>
      <c r="F1818" t="s">
        <v>37</v>
      </c>
      <c r="G1818" t="s">
        <v>54</v>
      </c>
      <c r="H1818" t="s">
        <v>39</v>
      </c>
      <c r="I1818" s="9">
        <v>180000</v>
      </c>
      <c r="J1818">
        <v>8</v>
      </c>
      <c r="K1818" t="s">
        <v>65</v>
      </c>
      <c r="L1818" s="9">
        <f t="shared" si="28"/>
        <v>144000</v>
      </c>
      <c r="M1818" s="9">
        <f>Table1[[#This Row],[Unit Price]]*Table1[[#This Row],[Quantity]]</f>
        <v>1440000</v>
      </c>
      <c r="N1818" s="9">
        <f>Table1[[#This Row],[Cost Price]]*Table1[[#This Row],[Quantity]]</f>
        <v>1152000</v>
      </c>
      <c r="O1818" s="9">
        <f>Table1[[#This Row],[Revenue]]-Table1[[#This Row],[COGS]]</f>
        <v>288000</v>
      </c>
      <c r="P1818" s="6">
        <v>1817</v>
      </c>
    </row>
    <row r="1819" spans="1:16">
      <c r="A1819" s="7" t="s">
        <v>125</v>
      </c>
      <c r="B1819" s="7" t="str">
        <f>TEXT(Table1[[#This Row],[Date]],"MMM")</f>
        <v>Feb</v>
      </c>
      <c r="C1819" t="s">
        <v>35</v>
      </c>
      <c r="D1819" t="s">
        <v>53</v>
      </c>
      <c r="E1819" t="s">
        <v>29</v>
      </c>
      <c r="F1819" t="s">
        <v>37</v>
      </c>
      <c r="G1819" t="s">
        <v>67</v>
      </c>
      <c r="H1819" t="s">
        <v>51</v>
      </c>
      <c r="I1819" s="9">
        <v>420000</v>
      </c>
      <c r="J1819">
        <v>5</v>
      </c>
      <c r="K1819" t="s">
        <v>65</v>
      </c>
      <c r="L1819" s="9">
        <f t="shared" si="28"/>
        <v>336000</v>
      </c>
      <c r="M1819" s="9">
        <f>Table1[[#This Row],[Unit Price]]*Table1[[#This Row],[Quantity]]</f>
        <v>2100000</v>
      </c>
      <c r="N1819" s="9">
        <f>Table1[[#This Row],[Cost Price]]*Table1[[#This Row],[Quantity]]</f>
        <v>1680000</v>
      </c>
      <c r="O1819" s="9">
        <f>Table1[[#This Row],[Revenue]]-Table1[[#This Row],[COGS]]</f>
        <v>420000</v>
      </c>
      <c r="P1819" s="6">
        <v>1818</v>
      </c>
    </row>
    <row r="1820" spans="1:16">
      <c r="A1820" s="7" t="s">
        <v>174</v>
      </c>
      <c r="B1820" s="7" t="str">
        <f>TEXT(Table1[[#This Row],[Date]],"MMM")</f>
        <v>Feb</v>
      </c>
      <c r="C1820" t="s">
        <v>44</v>
      </c>
      <c r="D1820" t="s">
        <v>36</v>
      </c>
      <c r="E1820" t="s">
        <v>41</v>
      </c>
      <c r="F1820" t="s">
        <v>37</v>
      </c>
      <c r="G1820" t="s">
        <v>54</v>
      </c>
      <c r="H1820" t="s">
        <v>39</v>
      </c>
      <c r="I1820" s="9">
        <v>180000</v>
      </c>
      <c r="J1820">
        <v>5</v>
      </c>
      <c r="K1820" t="s">
        <v>33</v>
      </c>
      <c r="L1820" s="9">
        <f t="shared" si="28"/>
        <v>144000</v>
      </c>
      <c r="M1820" s="9">
        <f>Table1[[#This Row],[Unit Price]]*Table1[[#This Row],[Quantity]]</f>
        <v>900000</v>
      </c>
      <c r="N1820" s="9">
        <f>Table1[[#This Row],[Cost Price]]*Table1[[#This Row],[Quantity]]</f>
        <v>720000</v>
      </c>
      <c r="O1820" s="9">
        <f>Table1[[#This Row],[Revenue]]-Table1[[#This Row],[COGS]]</f>
        <v>180000</v>
      </c>
      <c r="P1820" s="6">
        <v>1819</v>
      </c>
    </row>
    <row r="1821" spans="1:16">
      <c r="A1821" s="7" t="s">
        <v>55</v>
      </c>
      <c r="B1821" s="7" t="str">
        <f>TEXT(Table1[[#This Row],[Date]],"MMM")</f>
        <v>Mar</v>
      </c>
      <c r="C1821" t="s">
        <v>27</v>
      </c>
      <c r="D1821" t="s">
        <v>28</v>
      </c>
      <c r="E1821" t="s">
        <v>41</v>
      </c>
      <c r="F1821" t="s">
        <v>37</v>
      </c>
      <c r="G1821" t="s">
        <v>50</v>
      </c>
      <c r="H1821" t="s">
        <v>51</v>
      </c>
      <c r="I1821" s="9">
        <v>300000</v>
      </c>
      <c r="J1821">
        <v>1</v>
      </c>
      <c r="K1821" t="s">
        <v>65</v>
      </c>
      <c r="L1821" s="9">
        <f t="shared" si="28"/>
        <v>240000</v>
      </c>
      <c r="M1821" s="9">
        <f>Table1[[#This Row],[Unit Price]]*Table1[[#This Row],[Quantity]]</f>
        <v>300000</v>
      </c>
      <c r="N1821" s="9">
        <f>Table1[[#This Row],[Cost Price]]*Table1[[#This Row],[Quantity]]</f>
        <v>240000</v>
      </c>
      <c r="O1821" s="9">
        <f>Table1[[#This Row],[Revenue]]-Table1[[#This Row],[COGS]]</f>
        <v>60000</v>
      </c>
      <c r="P1821" s="6">
        <v>1820</v>
      </c>
    </row>
    <row r="1822" spans="1:16">
      <c r="A1822" s="7" t="s">
        <v>175</v>
      </c>
      <c r="B1822" s="7" t="str">
        <f>TEXT(Table1[[#This Row],[Date]],"MMM")</f>
        <v>Jan</v>
      </c>
      <c r="C1822" t="s">
        <v>44</v>
      </c>
      <c r="D1822" t="s">
        <v>28</v>
      </c>
      <c r="E1822" t="s">
        <v>29</v>
      </c>
      <c r="F1822" t="s">
        <v>37</v>
      </c>
      <c r="G1822" t="s">
        <v>54</v>
      </c>
      <c r="H1822" t="s">
        <v>39</v>
      </c>
      <c r="I1822" s="9">
        <v>180000</v>
      </c>
      <c r="J1822">
        <v>7</v>
      </c>
      <c r="K1822" t="s">
        <v>65</v>
      </c>
      <c r="L1822" s="9">
        <f t="shared" si="28"/>
        <v>144000</v>
      </c>
      <c r="M1822" s="9">
        <f>Table1[[#This Row],[Unit Price]]*Table1[[#This Row],[Quantity]]</f>
        <v>1260000</v>
      </c>
      <c r="N1822" s="9">
        <f>Table1[[#This Row],[Cost Price]]*Table1[[#This Row],[Quantity]]</f>
        <v>1008000</v>
      </c>
      <c r="O1822" s="9">
        <f>Table1[[#This Row],[Revenue]]-Table1[[#This Row],[COGS]]</f>
        <v>252000</v>
      </c>
      <c r="P1822" s="6">
        <v>1821</v>
      </c>
    </row>
    <row r="1823" spans="1:16">
      <c r="A1823" s="7" t="s">
        <v>160</v>
      </c>
      <c r="B1823" s="7" t="str">
        <f>TEXT(Table1[[#This Row],[Date]],"MMM")</f>
        <v>Jan</v>
      </c>
      <c r="C1823" t="s">
        <v>35</v>
      </c>
      <c r="D1823" t="s">
        <v>45</v>
      </c>
      <c r="E1823" t="s">
        <v>41</v>
      </c>
      <c r="F1823" t="s">
        <v>37</v>
      </c>
      <c r="G1823" t="s">
        <v>38</v>
      </c>
      <c r="H1823" t="s">
        <v>39</v>
      </c>
      <c r="I1823" s="9">
        <v>30000</v>
      </c>
      <c r="J1823">
        <v>8</v>
      </c>
      <c r="K1823" t="s">
        <v>65</v>
      </c>
      <c r="L1823" s="9">
        <f t="shared" si="28"/>
        <v>24000</v>
      </c>
      <c r="M1823" s="9">
        <f>Table1[[#This Row],[Unit Price]]*Table1[[#This Row],[Quantity]]</f>
        <v>240000</v>
      </c>
      <c r="N1823" s="9">
        <f>Table1[[#This Row],[Cost Price]]*Table1[[#This Row],[Quantity]]</f>
        <v>192000</v>
      </c>
      <c r="O1823" s="9">
        <f>Table1[[#This Row],[Revenue]]-Table1[[#This Row],[COGS]]</f>
        <v>48000</v>
      </c>
      <c r="P1823" s="6">
        <v>1822</v>
      </c>
    </row>
    <row r="1824" spans="1:16">
      <c r="A1824" s="7" t="s">
        <v>92</v>
      </c>
      <c r="B1824" s="7" t="str">
        <f>TEXT(Table1[[#This Row],[Date]],"MMM")</f>
        <v>Jan</v>
      </c>
      <c r="C1824" t="s">
        <v>49</v>
      </c>
      <c r="D1824" t="s">
        <v>28</v>
      </c>
      <c r="E1824" t="s">
        <v>29</v>
      </c>
      <c r="F1824" t="s">
        <v>37</v>
      </c>
      <c r="G1824" t="s">
        <v>31</v>
      </c>
      <c r="H1824" t="s">
        <v>32</v>
      </c>
      <c r="I1824" s="9">
        <v>85000</v>
      </c>
      <c r="J1824">
        <v>10</v>
      </c>
      <c r="K1824" t="s">
        <v>47</v>
      </c>
      <c r="L1824" s="9">
        <f t="shared" si="28"/>
        <v>68000</v>
      </c>
      <c r="M1824" s="9">
        <f>Table1[[#This Row],[Unit Price]]*Table1[[#This Row],[Quantity]]</f>
        <v>850000</v>
      </c>
      <c r="N1824" s="9">
        <f>Table1[[#This Row],[Cost Price]]*Table1[[#This Row],[Quantity]]</f>
        <v>680000</v>
      </c>
      <c r="O1824" s="9">
        <f>Table1[[#This Row],[Revenue]]-Table1[[#This Row],[COGS]]</f>
        <v>170000</v>
      </c>
      <c r="P1824" s="6">
        <v>1823</v>
      </c>
    </row>
    <row r="1825" spans="1:16">
      <c r="A1825" s="7" t="s">
        <v>26</v>
      </c>
      <c r="B1825" s="7" t="str">
        <f>TEXT(Table1[[#This Row],[Date]],"MMM")</f>
        <v>Jan</v>
      </c>
      <c r="C1825" t="s">
        <v>35</v>
      </c>
      <c r="D1825" t="s">
        <v>45</v>
      </c>
      <c r="E1825" t="s">
        <v>29</v>
      </c>
      <c r="F1825" t="s">
        <v>37</v>
      </c>
      <c r="G1825" t="s">
        <v>31</v>
      </c>
      <c r="H1825" t="s">
        <v>32</v>
      </c>
      <c r="I1825" s="9">
        <v>85000</v>
      </c>
      <c r="J1825">
        <v>1</v>
      </c>
      <c r="K1825" t="s">
        <v>33</v>
      </c>
      <c r="L1825" s="9">
        <f t="shared" si="28"/>
        <v>68000</v>
      </c>
      <c r="M1825" s="9">
        <f>Table1[[#This Row],[Unit Price]]*Table1[[#This Row],[Quantity]]</f>
        <v>85000</v>
      </c>
      <c r="N1825" s="9">
        <f>Table1[[#This Row],[Cost Price]]*Table1[[#This Row],[Quantity]]</f>
        <v>68000</v>
      </c>
      <c r="O1825" s="9">
        <f>Table1[[#This Row],[Revenue]]-Table1[[#This Row],[COGS]]</f>
        <v>17000</v>
      </c>
      <c r="P1825" s="6">
        <v>1824</v>
      </c>
    </row>
    <row r="1826" spans="1:16">
      <c r="A1826" s="7" t="s">
        <v>72</v>
      </c>
      <c r="B1826" s="7" t="str">
        <f>TEXT(Table1[[#This Row],[Date]],"MMM")</f>
        <v>Feb</v>
      </c>
      <c r="C1826" t="s">
        <v>49</v>
      </c>
      <c r="D1826" t="s">
        <v>36</v>
      </c>
      <c r="E1826" t="s">
        <v>41</v>
      </c>
      <c r="F1826" t="s">
        <v>37</v>
      </c>
      <c r="G1826" t="s">
        <v>62</v>
      </c>
      <c r="H1826" t="s">
        <v>51</v>
      </c>
      <c r="I1826" s="9">
        <v>150000</v>
      </c>
      <c r="J1826">
        <v>8</v>
      </c>
      <c r="K1826" t="s">
        <v>65</v>
      </c>
      <c r="L1826" s="9">
        <f t="shared" si="28"/>
        <v>120000</v>
      </c>
      <c r="M1826" s="9">
        <f>Table1[[#This Row],[Unit Price]]*Table1[[#This Row],[Quantity]]</f>
        <v>1200000</v>
      </c>
      <c r="N1826" s="9">
        <f>Table1[[#This Row],[Cost Price]]*Table1[[#This Row],[Quantity]]</f>
        <v>960000</v>
      </c>
      <c r="O1826" s="9">
        <f>Table1[[#This Row],[Revenue]]-Table1[[#This Row],[COGS]]</f>
        <v>240000</v>
      </c>
      <c r="P1826" s="6">
        <v>1825</v>
      </c>
    </row>
    <row r="1827" spans="1:16">
      <c r="A1827" s="7" t="s">
        <v>128</v>
      </c>
      <c r="B1827" s="7" t="str">
        <f>TEXT(Table1[[#This Row],[Date]],"MMM")</f>
        <v>Mar</v>
      </c>
      <c r="C1827" t="s">
        <v>27</v>
      </c>
      <c r="D1827" t="s">
        <v>36</v>
      </c>
      <c r="E1827" t="s">
        <v>41</v>
      </c>
      <c r="F1827" t="s">
        <v>37</v>
      </c>
      <c r="G1827" t="s">
        <v>67</v>
      </c>
      <c r="H1827" t="s">
        <v>51</v>
      </c>
      <c r="I1827" s="9">
        <v>420000</v>
      </c>
      <c r="J1827">
        <v>6</v>
      </c>
      <c r="K1827" t="s">
        <v>58</v>
      </c>
      <c r="L1827" s="9">
        <f t="shared" si="28"/>
        <v>336000</v>
      </c>
      <c r="M1827" s="9">
        <f>Table1[[#This Row],[Unit Price]]*Table1[[#This Row],[Quantity]]</f>
        <v>2520000</v>
      </c>
      <c r="N1827" s="9">
        <f>Table1[[#This Row],[Cost Price]]*Table1[[#This Row],[Quantity]]</f>
        <v>2016000</v>
      </c>
      <c r="O1827" s="9">
        <f>Table1[[#This Row],[Revenue]]-Table1[[#This Row],[COGS]]</f>
        <v>504000</v>
      </c>
      <c r="P1827" s="6">
        <v>1826</v>
      </c>
    </row>
    <row r="1828" spans="1:16">
      <c r="A1828" s="7" t="s">
        <v>172</v>
      </c>
      <c r="B1828" s="7" t="str">
        <f>TEXT(Table1[[#This Row],[Date]],"MMM")</f>
        <v>Mar</v>
      </c>
      <c r="C1828" t="s">
        <v>44</v>
      </c>
      <c r="D1828" t="s">
        <v>53</v>
      </c>
      <c r="E1828" t="s">
        <v>29</v>
      </c>
      <c r="F1828" t="s">
        <v>37</v>
      </c>
      <c r="G1828" t="s">
        <v>46</v>
      </c>
      <c r="H1828" t="s">
        <v>39</v>
      </c>
      <c r="I1828" s="9">
        <v>60000</v>
      </c>
      <c r="J1828">
        <v>8</v>
      </c>
      <c r="K1828" t="s">
        <v>58</v>
      </c>
      <c r="L1828" s="9">
        <f t="shared" si="28"/>
        <v>48000</v>
      </c>
      <c r="M1828" s="9">
        <f>Table1[[#This Row],[Unit Price]]*Table1[[#This Row],[Quantity]]</f>
        <v>480000</v>
      </c>
      <c r="N1828" s="9">
        <f>Table1[[#This Row],[Cost Price]]*Table1[[#This Row],[Quantity]]</f>
        <v>384000</v>
      </c>
      <c r="O1828" s="9">
        <f>Table1[[#This Row],[Revenue]]-Table1[[#This Row],[COGS]]</f>
        <v>96000</v>
      </c>
      <c r="P1828" s="6">
        <v>1827</v>
      </c>
    </row>
    <row r="1829" spans="1:16">
      <c r="A1829" s="7" t="s">
        <v>34</v>
      </c>
      <c r="B1829" s="7" t="str">
        <f>TEXT(Table1[[#This Row],[Date]],"MMM")</f>
        <v>Apr</v>
      </c>
      <c r="C1829" t="s">
        <v>44</v>
      </c>
      <c r="D1829" t="s">
        <v>28</v>
      </c>
      <c r="E1829" t="s">
        <v>29</v>
      </c>
      <c r="F1829" t="s">
        <v>37</v>
      </c>
      <c r="G1829" t="s">
        <v>50</v>
      </c>
      <c r="H1829" t="s">
        <v>51</v>
      </c>
      <c r="I1829" s="9">
        <v>300000</v>
      </c>
      <c r="J1829">
        <v>7</v>
      </c>
      <c r="K1829" t="s">
        <v>47</v>
      </c>
      <c r="L1829" s="9">
        <f t="shared" si="28"/>
        <v>240000</v>
      </c>
      <c r="M1829" s="9">
        <f>Table1[[#This Row],[Unit Price]]*Table1[[#This Row],[Quantity]]</f>
        <v>2100000</v>
      </c>
      <c r="N1829" s="9">
        <f>Table1[[#This Row],[Cost Price]]*Table1[[#This Row],[Quantity]]</f>
        <v>1680000</v>
      </c>
      <c r="O1829" s="9">
        <f>Table1[[#This Row],[Revenue]]-Table1[[#This Row],[COGS]]</f>
        <v>420000</v>
      </c>
      <c r="P1829" s="6">
        <v>1828</v>
      </c>
    </row>
    <row r="1830" spans="1:16">
      <c r="A1830" s="7" t="s">
        <v>74</v>
      </c>
      <c r="B1830" s="7" t="str">
        <f>TEXT(Table1[[#This Row],[Date]],"MMM")</f>
        <v>Feb</v>
      </c>
      <c r="C1830" t="s">
        <v>35</v>
      </c>
      <c r="D1830" t="s">
        <v>36</v>
      </c>
      <c r="E1830" t="s">
        <v>41</v>
      </c>
      <c r="F1830" t="s">
        <v>37</v>
      </c>
      <c r="G1830" t="s">
        <v>62</v>
      </c>
      <c r="H1830" t="s">
        <v>51</v>
      </c>
      <c r="I1830" s="9">
        <v>150000</v>
      </c>
      <c r="J1830">
        <v>8</v>
      </c>
      <c r="K1830" t="s">
        <v>65</v>
      </c>
      <c r="L1830" s="9">
        <f t="shared" si="28"/>
        <v>120000</v>
      </c>
      <c r="M1830" s="9">
        <f>Table1[[#This Row],[Unit Price]]*Table1[[#This Row],[Quantity]]</f>
        <v>1200000</v>
      </c>
      <c r="N1830" s="9">
        <f>Table1[[#This Row],[Cost Price]]*Table1[[#This Row],[Quantity]]</f>
        <v>960000</v>
      </c>
      <c r="O1830" s="9">
        <f>Table1[[#This Row],[Revenue]]-Table1[[#This Row],[COGS]]</f>
        <v>240000</v>
      </c>
      <c r="P1830" s="6">
        <v>1829</v>
      </c>
    </row>
    <row r="1831" spans="1:16">
      <c r="A1831" s="7" t="s">
        <v>114</v>
      </c>
      <c r="B1831" s="7" t="str">
        <f>TEXT(Table1[[#This Row],[Date]],"MMM")</f>
        <v>Apr</v>
      </c>
      <c r="C1831" t="s">
        <v>35</v>
      </c>
      <c r="D1831" t="s">
        <v>28</v>
      </c>
      <c r="E1831" t="s">
        <v>41</v>
      </c>
      <c r="F1831" t="s">
        <v>37</v>
      </c>
      <c r="G1831" t="s">
        <v>46</v>
      </c>
      <c r="H1831" t="s">
        <v>39</v>
      </c>
      <c r="I1831" s="9">
        <v>60000</v>
      </c>
      <c r="J1831">
        <v>10</v>
      </c>
      <c r="K1831" t="s">
        <v>33</v>
      </c>
      <c r="L1831" s="9">
        <f t="shared" si="28"/>
        <v>48000</v>
      </c>
      <c r="M1831" s="9">
        <f>Table1[[#This Row],[Unit Price]]*Table1[[#This Row],[Quantity]]</f>
        <v>600000</v>
      </c>
      <c r="N1831" s="9">
        <f>Table1[[#This Row],[Cost Price]]*Table1[[#This Row],[Quantity]]</f>
        <v>480000</v>
      </c>
      <c r="O1831" s="9">
        <f>Table1[[#This Row],[Revenue]]-Table1[[#This Row],[COGS]]</f>
        <v>120000</v>
      </c>
      <c r="P1831" s="6">
        <v>1830</v>
      </c>
    </row>
    <row r="1832" spans="1:16">
      <c r="A1832" s="7" t="s">
        <v>52</v>
      </c>
      <c r="B1832" s="7" t="str">
        <f>TEXT(Table1[[#This Row],[Date]],"MMM")</f>
        <v>Mar</v>
      </c>
      <c r="C1832" t="s">
        <v>49</v>
      </c>
      <c r="D1832" t="s">
        <v>45</v>
      </c>
      <c r="E1832" t="s">
        <v>29</v>
      </c>
      <c r="F1832" t="s">
        <v>37</v>
      </c>
      <c r="G1832" t="s">
        <v>56</v>
      </c>
      <c r="H1832" t="s">
        <v>32</v>
      </c>
      <c r="I1832" s="9">
        <v>320000</v>
      </c>
      <c r="J1832">
        <v>9</v>
      </c>
      <c r="K1832" t="s">
        <v>58</v>
      </c>
      <c r="L1832" s="9">
        <f t="shared" si="28"/>
        <v>256000</v>
      </c>
      <c r="M1832" s="9">
        <f>Table1[[#This Row],[Unit Price]]*Table1[[#This Row],[Quantity]]</f>
        <v>2880000</v>
      </c>
      <c r="N1832" s="9">
        <f>Table1[[#This Row],[Cost Price]]*Table1[[#This Row],[Quantity]]</f>
        <v>2304000</v>
      </c>
      <c r="O1832" s="9">
        <f>Table1[[#This Row],[Revenue]]-Table1[[#This Row],[COGS]]</f>
        <v>576000</v>
      </c>
      <c r="P1832" s="6">
        <v>1831</v>
      </c>
    </row>
    <row r="1833" spans="1:16">
      <c r="A1833" s="7" t="s">
        <v>161</v>
      </c>
      <c r="B1833" s="7" t="str">
        <f>TEXT(Table1[[#This Row],[Date]],"MMM")</f>
        <v>Mar</v>
      </c>
      <c r="C1833" t="s">
        <v>27</v>
      </c>
      <c r="D1833" t="s">
        <v>28</v>
      </c>
      <c r="E1833" t="s">
        <v>29</v>
      </c>
      <c r="F1833" t="s">
        <v>37</v>
      </c>
      <c r="G1833" t="s">
        <v>71</v>
      </c>
      <c r="H1833" t="s">
        <v>51</v>
      </c>
      <c r="I1833" s="9">
        <v>250000</v>
      </c>
      <c r="J1833">
        <v>9</v>
      </c>
      <c r="K1833" t="s">
        <v>47</v>
      </c>
      <c r="L1833" s="9">
        <f t="shared" si="28"/>
        <v>200000</v>
      </c>
      <c r="M1833" s="9">
        <f>Table1[[#This Row],[Unit Price]]*Table1[[#This Row],[Quantity]]</f>
        <v>2250000</v>
      </c>
      <c r="N1833" s="9">
        <f>Table1[[#This Row],[Cost Price]]*Table1[[#This Row],[Quantity]]</f>
        <v>1800000</v>
      </c>
      <c r="O1833" s="9">
        <f>Table1[[#This Row],[Revenue]]-Table1[[#This Row],[COGS]]</f>
        <v>450000</v>
      </c>
      <c r="P1833" s="6">
        <v>1832</v>
      </c>
    </row>
    <row r="1834" spans="1:16">
      <c r="A1834" s="7" t="s">
        <v>145</v>
      </c>
      <c r="B1834" s="7" t="str">
        <f>TEXT(Table1[[#This Row],[Date]],"MMM")</f>
        <v>Jan</v>
      </c>
      <c r="C1834" t="s">
        <v>44</v>
      </c>
      <c r="D1834" t="s">
        <v>45</v>
      </c>
      <c r="E1834" t="s">
        <v>29</v>
      </c>
      <c r="F1834" t="s">
        <v>37</v>
      </c>
      <c r="G1834" t="s">
        <v>73</v>
      </c>
      <c r="H1834" t="s">
        <v>39</v>
      </c>
      <c r="I1834" s="9">
        <v>220000</v>
      </c>
      <c r="J1834">
        <v>7</v>
      </c>
      <c r="K1834" t="s">
        <v>58</v>
      </c>
      <c r="L1834" s="9">
        <f t="shared" si="28"/>
        <v>176000</v>
      </c>
      <c r="M1834" s="9">
        <f>Table1[[#This Row],[Unit Price]]*Table1[[#This Row],[Quantity]]</f>
        <v>1540000</v>
      </c>
      <c r="N1834" s="9">
        <f>Table1[[#This Row],[Cost Price]]*Table1[[#This Row],[Quantity]]</f>
        <v>1232000</v>
      </c>
      <c r="O1834" s="9">
        <f>Table1[[#This Row],[Revenue]]-Table1[[#This Row],[COGS]]</f>
        <v>308000</v>
      </c>
      <c r="P1834" s="6">
        <v>1833</v>
      </c>
    </row>
    <row r="1835" spans="1:16">
      <c r="A1835" s="7" t="s">
        <v>171</v>
      </c>
      <c r="B1835" s="7" t="str">
        <f>TEXT(Table1[[#This Row],[Date]],"MMM")</f>
        <v>Mar</v>
      </c>
      <c r="C1835" t="s">
        <v>44</v>
      </c>
      <c r="D1835" t="s">
        <v>36</v>
      </c>
      <c r="E1835" t="s">
        <v>29</v>
      </c>
      <c r="F1835" t="s">
        <v>37</v>
      </c>
      <c r="G1835" t="s">
        <v>56</v>
      </c>
      <c r="H1835" t="s">
        <v>32</v>
      </c>
      <c r="I1835" s="9">
        <v>320000</v>
      </c>
      <c r="J1835">
        <v>4</v>
      </c>
      <c r="K1835" t="s">
        <v>42</v>
      </c>
      <c r="L1835" s="9">
        <f t="shared" si="28"/>
        <v>256000</v>
      </c>
      <c r="M1835" s="9">
        <f>Table1[[#This Row],[Unit Price]]*Table1[[#This Row],[Quantity]]</f>
        <v>1280000</v>
      </c>
      <c r="N1835" s="9">
        <f>Table1[[#This Row],[Cost Price]]*Table1[[#This Row],[Quantity]]</f>
        <v>1024000</v>
      </c>
      <c r="O1835" s="9">
        <f>Table1[[#This Row],[Revenue]]-Table1[[#This Row],[COGS]]</f>
        <v>256000</v>
      </c>
      <c r="P1835" s="6">
        <v>1834</v>
      </c>
    </row>
    <row r="1836" spans="1:16">
      <c r="A1836" s="7" t="s">
        <v>106</v>
      </c>
      <c r="B1836" s="7" t="str">
        <f>TEXT(Table1[[#This Row],[Date]],"MMM")</f>
        <v>Apr</v>
      </c>
      <c r="C1836" t="s">
        <v>44</v>
      </c>
      <c r="D1836" t="s">
        <v>36</v>
      </c>
      <c r="E1836" t="s">
        <v>41</v>
      </c>
      <c r="F1836" t="s">
        <v>37</v>
      </c>
      <c r="G1836" t="s">
        <v>73</v>
      </c>
      <c r="H1836" t="s">
        <v>39</v>
      </c>
      <c r="I1836" s="9">
        <v>220000</v>
      </c>
      <c r="J1836">
        <v>1</v>
      </c>
      <c r="K1836" t="s">
        <v>65</v>
      </c>
      <c r="L1836" s="9">
        <f t="shared" si="28"/>
        <v>176000</v>
      </c>
      <c r="M1836" s="9">
        <f>Table1[[#This Row],[Unit Price]]*Table1[[#This Row],[Quantity]]</f>
        <v>220000</v>
      </c>
      <c r="N1836" s="9">
        <f>Table1[[#This Row],[Cost Price]]*Table1[[#This Row],[Quantity]]</f>
        <v>176000</v>
      </c>
      <c r="O1836" s="9">
        <f>Table1[[#This Row],[Revenue]]-Table1[[#This Row],[COGS]]</f>
        <v>44000</v>
      </c>
      <c r="P1836" s="6">
        <v>1835</v>
      </c>
    </row>
    <row r="1837" spans="1:16">
      <c r="A1837" s="7" t="s">
        <v>174</v>
      </c>
      <c r="B1837" s="7" t="str">
        <f>TEXT(Table1[[#This Row],[Date]],"MMM")</f>
        <v>Feb</v>
      </c>
      <c r="C1837" t="s">
        <v>27</v>
      </c>
      <c r="D1837" t="s">
        <v>36</v>
      </c>
      <c r="E1837" t="s">
        <v>29</v>
      </c>
      <c r="F1837" t="s">
        <v>37</v>
      </c>
      <c r="G1837" t="s">
        <v>38</v>
      </c>
      <c r="H1837" t="s">
        <v>39</v>
      </c>
      <c r="I1837" s="9">
        <v>30000</v>
      </c>
      <c r="J1837">
        <v>9</v>
      </c>
      <c r="K1837" t="s">
        <v>65</v>
      </c>
      <c r="L1837" s="9">
        <f t="shared" si="28"/>
        <v>24000</v>
      </c>
      <c r="M1837" s="9">
        <f>Table1[[#This Row],[Unit Price]]*Table1[[#This Row],[Quantity]]</f>
        <v>270000</v>
      </c>
      <c r="N1837" s="9">
        <f>Table1[[#This Row],[Cost Price]]*Table1[[#This Row],[Quantity]]</f>
        <v>216000</v>
      </c>
      <c r="O1837" s="9">
        <f>Table1[[#This Row],[Revenue]]-Table1[[#This Row],[COGS]]</f>
        <v>54000</v>
      </c>
      <c r="P1837" s="6">
        <v>1836</v>
      </c>
    </row>
    <row r="1838" spans="1:16">
      <c r="A1838" s="7" t="s">
        <v>123</v>
      </c>
      <c r="B1838" s="7" t="str">
        <f>TEXT(Table1[[#This Row],[Date]],"MMM")</f>
        <v>Apr</v>
      </c>
      <c r="C1838" t="s">
        <v>49</v>
      </c>
      <c r="D1838" t="s">
        <v>36</v>
      </c>
      <c r="E1838" t="s">
        <v>41</v>
      </c>
      <c r="F1838" t="s">
        <v>37</v>
      </c>
      <c r="G1838" t="s">
        <v>38</v>
      </c>
      <c r="H1838" t="s">
        <v>39</v>
      </c>
      <c r="I1838" s="9">
        <v>30000</v>
      </c>
      <c r="J1838">
        <v>8</v>
      </c>
      <c r="K1838" t="s">
        <v>65</v>
      </c>
      <c r="L1838" s="9">
        <f t="shared" si="28"/>
        <v>24000</v>
      </c>
      <c r="M1838" s="9">
        <f>Table1[[#This Row],[Unit Price]]*Table1[[#This Row],[Quantity]]</f>
        <v>240000</v>
      </c>
      <c r="N1838" s="9">
        <f>Table1[[#This Row],[Cost Price]]*Table1[[#This Row],[Quantity]]</f>
        <v>192000</v>
      </c>
      <c r="O1838" s="9">
        <f>Table1[[#This Row],[Revenue]]-Table1[[#This Row],[COGS]]</f>
        <v>48000</v>
      </c>
      <c r="P1838" s="6">
        <v>1837</v>
      </c>
    </row>
    <row r="1839" spans="1:16">
      <c r="A1839" s="7" t="s">
        <v>147</v>
      </c>
      <c r="B1839" s="7" t="str">
        <f>TEXT(Table1[[#This Row],[Date]],"MMM")</f>
        <v>Jan</v>
      </c>
      <c r="C1839" t="s">
        <v>44</v>
      </c>
      <c r="D1839" t="s">
        <v>36</v>
      </c>
      <c r="E1839" t="s">
        <v>41</v>
      </c>
      <c r="F1839" t="s">
        <v>37</v>
      </c>
      <c r="G1839" t="s">
        <v>46</v>
      </c>
      <c r="H1839" t="s">
        <v>39</v>
      </c>
      <c r="I1839" s="9">
        <v>60000</v>
      </c>
      <c r="J1839">
        <v>7</v>
      </c>
      <c r="K1839" t="s">
        <v>42</v>
      </c>
      <c r="L1839" s="9">
        <f t="shared" si="28"/>
        <v>48000</v>
      </c>
      <c r="M1839" s="9">
        <f>Table1[[#This Row],[Unit Price]]*Table1[[#This Row],[Quantity]]</f>
        <v>420000</v>
      </c>
      <c r="N1839" s="9">
        <f>Table1[[#This Row],[Cost Price]]*Table1[[#This Row],[Quantity]]</f>
        <v>336000</v>
      </c>
      <c r="O1839" s="9">
        <f>Table1[[#This Row],[Revenue]]-Table1[[#This Row],[COGS]]</f>
        <v>84000</v>
      </c>
      <c r="P1839" s="6">
        <v>1838</v>
      </c>
    </row>
    <row r="1840" spans="1:16">
      <c r="A1840" s="7" t="s">
        <v>153</v>
      </c>
      <c r="B1840" s="7" t="str">
        <f>TEXT(Table1[[#This Row],[Date]],"MMM")</f>
        <v>Mar</v>
      </c>
      <c r="C1840" t="s">
        <v>27</v>
      </c>
      <c r="D1840" t="s">
        <v>45</v>
      </c>
      <c r="E1840" t="s">
        <v>29</v>
      </c>
      <c r="F1840" t="s">
        <v>37</v>
      </c>
      <c r="G1840" t="s">
        <v>38</v>
      </c>
      <c r="H1840" t="s">
        <v>39</v>
      </c>
      <c r="I1840" s="9">
        <v>30000</v>
      </c>
      <c r="J1840">
        <v>7</v>
      </c>
      <c r="K1840" t="s">
        <v>69</v>
      </c>
      <c r="L1840" s="9">
        <f t="shared" si="28"/>
        <v>24000</v>
      </c>
      <c r="M1840" s="9">
        <f>Table1[[#This Row],[Unit Price]]*Table1[[#This Row],[Quantity]]</f>
        <v>210000</v>
      </c>
      <c r="N1840" s="9">
        <f>Table1[[#This Row],[Cost Price]]*Table1[[#This Row],[Quantity]]</f>
        <v>168000</v>
      </c>
      <c r="O1840" s="9">
        <f>Table1[[#This Row],[Revenue]]-Table1[[#This Row],[COGS]]</f>
        <v>42000</v>
      </c>
      <c r="P1840" s="6">
        <v>1839</v>
      </c>
    </row>
    <row r="1841" spans="1:16">
      <c r="A1841" s="7" t="s">
        <v>84</v>
      </c>
      <c r="B1841" s="7" t="str">
        <f>TEXT(Table1[[#This Row],[Date]],"MMM")</f>
        <v>Jan</v>
      </c>
      <c r="C1841" t="s">
        <v>27</v>
      </c>
      <c r="D1841" t="s">
        <v>28</v>
      </c>
      <c r="E1841" t="s">
        <v>29</v>
      </c>
      <c r="F1841" t="s">
        <v>37</v>
      </c>
      <c r="G1841" t="s">
        <v>50</v>
      </c>
      <c r="H1841" t="s">
        <v>51</v>
      </c>
      <c r="I1841" s="9">
        <v>300000</v>
      </c>
      <c r="J1841">
        <v>6</v>
      </c>
      <c r="K1841" t="s">
        <v>65</v>
      </c>
      <c r="L1841" s="9">
        <f t="shared" si="28"/>
        <v>240000</v>
      </c>
      <c r="M1841" s="9">
        <f>Table1[[#This Row],[Unit Price]]*Table1[[#This Row],[Quantity]]</f>
        <v>1800000</v>
      </c>
      <c r="N1841" s="9">
        <f>Table1[[#This Row],[Cost Price]]*Table1[[#This Row],[Quantity]]</f>
        <v>1440000</v>
      </c>
      <c r="O1841" s="9">
        <f>Table1[[#This Row],[Revenue]]-Table1[[#This Row],[COGS]]</f>
        <v>360000</v>
      </c>
      <c r="P1841" s="6">
        <v>1840</v>
      </c>
    </row>
    <row r="1842" spans="1:16">
      <c r="A1842" s="7" t="s">
        <v>79</v>
      </c>
      <c r="B1842" s="7" t="str">
        <f>TEXT(Table1[[#This Row],[Date]],"MMM")</f>
        <v>Feb</v>
      </c>
      <c r="C1842" t="s">
        <v>49</v>
      </c>
      <c r="D1842" t="s">
        <v>53</v>
      </c>
      <c r="E1842" t="s">
        <v>41</v>
      </c>
      <c r="F1842" t="s">
        <v>37</v>
      </c>
      <c r="G1842" t="s">
        <v>50</v>
      </c>
      <c r="H1842" t="s">
        <v>51</v>
      </c>
      <c r="I1842" s="9">
        <v>300000</v>
      </c>
      <c r="J1842">
        <v>4</v>
      </c>
      <c r="K1842" t="s">
        <v>69</v>
      </c>
      <c r="L1842" s="9">
        <f t="shared" si="28"/>
        <v>240000</v>
      </c>
      <c r="M1842" s="9">
        <f>Table1[[#This Row],[Unit Price]]*Table1[[#This Row],[Quantity]]</f>
        <v>1200000</v>
      </c>
      <c r="N1842" s="9">
        <f>Table1[[#This Row],[Cost Price]]*Table1[[#This Row],[Quantity]]</f>
        <v>960000</v>
      </c>
      <c r="O1842" s="9">
        <f>Table1[[#This Row],[Revenue]]-Table1[[#This Row],[COGS]]</f>
        <v>240000</v>
      </c>
      <c r="P1842" s="6">
        <v>1841</v>
      </c>
    </row>
    <row r="1843" spans="1:16">
      <c r="A1843" s="7" t="s">
        <v>156</v>
      </c>
      <c r="B1843" s="7" t="str">
        <f>TEXT(Table1[[#This Row],[Date]],"MMM")</f>
        <v>Feb</v>
      </c>
      <c r="C1843" t="s">
        <v>44</v>
      </c>
      <c r="D1843" t="s">
        <v>45</v>
      </c>
      <c r="E1843" t="s">
        <v>29</v>
      </c>
      <c r="F1843" t="s">
        <v>37</v>
      </c>
      <c r="G1843" t="s">
        <v>31</v>
      </c>
      <c r="H1843" t="s">
        <v>32</v>
      </c>
      <c r="I1843" s="9">
        <v>85000</v>
      </c>
      <c r="J1843">
        <v>2</v>
      </c>
      <c r="K1843" t="s">
        <v>33</v>
      </c>
      <c r="L1843" s="9">
        <f t="shared" si="28"/>
        <v>68000</v>
      </c>
      <c r="M1843" s="9">
        <f>Table1[[#This Row],[Unit Price]]*Table1[[#This Row],[Quantity]]</f>
        <v>170000</v>
      </c>
      <c r="N1843" s="9">
        <f>Table1[[#This Row],[Cost Price]]*Table1[[#This Row],[Quantity]]</f>
        <v>136000</v>
      </c>
      <c r="O1843" s="9">
        <f>Table1[[#This Row],[Revenue]]-Table1[[#This Row],[COGS]]</f>
        <v>34000</v>
      </c>
      <c r="P1843" s="6">
        <v>1842</v>
      </c>
    </row>
    <row r="1844" spans="1:16">
      <c r="A1844" s="7" t="s">
        <v>76</v>
      </c>
      <c r="B1844" s="7" t="str">
        <f>TEXT(Table1[[#This Row],[Date]],"MMM")</f>
        <v>May</v>
      </c>
      <c r="C1844" t="s">
        <v>49</v>
      </c>
      <c r="D1844" t="s">
        <v>45</v>
      </c>
      <c r="E1844" t="s">
        <v>41</v>
      </c>
      <c r="F1844" t="s">
        <v>37</v>
      </c>
      <c r="G1844" t="s">
        <v>62</v>
      </c>
      <c r="H1844" t="s">
        <v>51</v>
      </c>
      <c r="I1844" s="9">
        <v>150000</v>
      </c>
      <c r="J1844">
        <v>3</v>
      </c>
      <c r="K1844" t="s">
        <v>42</v>
      </c>
      <c r="L1844" s="9">
        <f t="shared" si="28"/>
        <v>120000</v>
      </c>
      <c r="M1844" s="9">
        <f>Table1[[#This Row],[Unit Price]]*Table1[[#This Row],[Quantity]]</f>
        <v>450000</v>
      </c>
      <c r="N1844" s="9">
        <f>Table1[[#This Row],[Cost Price]]*Table1[[#This Row],[Quantity]]</f>
        <v>360000</v>
      </c>
      <c r="O1844" s="9">
        <f>Table1[[#This Row],[Revenue]]-Table1[[#This Row],[COGS]]</f>
        <v>90000</v>
      </c>
      <c r="P1844" s="6">
        <v>1843</v>
      </c>
    </row>
    <row r="1845" spans="1:16">
      <c r="A1845" s="7" t="s">
        <v>173</v>
      </c>
      <c r="B1845" s="7" t="str">
        <f>TEXT(Table1[[#This Row],[Date]],"MMM")</f>
        <v>Mar</v>
      </c>
      <c r="C1845" t="s">
        <v>27</v>
      </c>
      <c r="D1845" t="s">
        <v>53</v>
      </c>
      <c r="E1845" t="s">
        <v>41</v>
      </c>
      <c r="F1845" t="s">
        <v>37</v>
      </c>
      <c r="G1845" t="s">
        <v>71</v>
      </c>
      <c r="H1845" t="s">
        <v>51</v>
      </c>
      <c r="I1845" s="9">
        <v>250000</v>
      </c>
      <c r="J1845">
        <v>4</v>
      </c>
      <c r="K1845" t="s">
        <v>47</v>
      </c>
      <c r="L1845" s="9">
        <f t="shared" si="28"/>
        <v>200000</v>
      </c>
      <c r="M1845" s="9">
        <f>Table1[[#This Row],[Unit Price]]*Table1[[#This Row],[Quantity]]</f>
        <v>1000000</v>
      </c>
      <c r="N1845" s="9">
        <f>Table1[[#This Row],[Cost Price]]*Table1[[#This Row],[Quantity]]</f>
        <v>800000</v>
      </c>
      <c r="O1845" s="9">
        <f>Table1[[#This Row],[Revenue]]-Table1[[#This Row],[COGS]]</f>
        <v>200000</v>
      </c>
      <c r="P1845" s="6">
        <v>1844</v>
      </c>
    </row>
    <row r="1846" spans="1:16">
      <c r="A1846" s="7" t="s">
        <v>63</v>
      </c>
      <c r="B1846" s="7" t="str">
        <f>TEXT(Table1[[#This Row],[Date]],"MMM")</f>
        <v>Jan</v>
      </c>
      <c r="C1846" t="s">
        <v>49</v>
      </c>
      <c r="D1846" t="s">
        <v>28</v>
      </c>
      <c r="E1846" t="s">
        <v>29</v>
      </c>
      <c r="F1846" t="s">
        <v>37</v>
      </c>
      <c r="G1846" t="s">
        <v>71</v>
      </c>
      <c r="H1846" t="s">
        <v>51</v>
      </c>
      <c r="I1846" s="9">
        <v>250000</v>
      </c>
      <c r="J1846">
        <v>7</v>
      </c>
      <c r="K1846" t="s">
        <v>33</v>
      </c>
      <c r="L1846" s="9">
        <f t="shared" si="28"/>
        <v>200000</v>
      </c>
      <c r="M1846" s="9">
        <f>Table1[[#This Row],[Unit Price]]*Table1[[#This Row],[Quantity]]</f>
        <v>1750000</v>
      </c>
      <c r="N1846" s="9">
        <f>Table1[[#This Row],[Cost Price]]*Table1[[#This Row],[Quantity]]</f>
        <v>1400000</v>
      </c>
      <c r="O1846" s="9">
        <f>Table1[[#This Row],[Revenue]]-Table1[[#This Row],[COGS]]</f>
        <v>350000</v>
      </c>
      <c r="P1846" s="6">
        <v>1845</v>
      </c>
    </row>
    <row r="1847" spans="1:16">
      <c r="A1847" s="7" t="s">
        <v>170</v>
      </c>
      <c r="B1847" s="7" t="str">
        <f>TEXT(Table1[[#This Row],[Date]],"MMM")</f>
        <v>Jan</v>
      </c>
      <c r="C1847" t="s">
        <v>27</v>
      </c>
      <c r="D1847" t="s">
        <v>36</v>
      </c>
      <c r="E1847" t="s">
        <v>29</v>
      </c>
      <c r="F1847" t="s">
        <v>37</v>
      </c>
      <c r="G1847" t="s">
        <v>71</v>
      </c>
      <c r="H1847" t="s">
        <v>51</v>
      </c>
      <c r="I1847" s="9">
        <v>250000</v>
      </c>
      <c r="J1847">
        <v>3</v>
      </c>
      <c r="K1847" t="s">
        <v>42</v>
      </c>
      <c r="L1847" s="9">
        <f t="shared" si="28"/>
        <v>200000</v>
      </c>
      <c r="M1847" s="9">
        <f>Table1[[#This Row],[Unit Price]]*Table1[[#This Row],[Quantity]]</f>
        <v>750000</v>
      </c>
      <c r="N1847" s="9">
        <f>Table1[[#This Row],[Cost Price]]*Table1[[#This Row],[Quantity]]</f>
        <v>600000</v>
      </c>
      <c r="O1847" s="9">
        <f>Table1[[#This Row],[Revenue]]-Table1[[#This Row],[COGS]]</f>
        <v>150000</v>
      </c>
      <c r="P1847" s="6">
        <v>1846</v>
      </c>
    </row>
    <row r="1848" spans="1:16">
      <c r="A1848" s="7" t="s">
        <v>128</v>
      </c>
      <c r="B1848" s="7" t="str">
        <f>TEXT(Table1[[#This Row],[Date]],"MMM")</f>
        <v>Mar</v>
      </c>
      <c r="C1848" t="s">
        <v>35</v>
      </c>
      <c r="D1848" t="s">
        <v>45</v>
      </c>
      <c r="E1848" t="s">
        <v>29</v>
      </c>
      <c r="F1848" t="s">
        <v>37</v>
      </c>
      <c r="G1848" t="s">
        <v>62</v>
      </c>
      <c r="H1848" t="s">
        <v>51</v>
      </c>
      <c r="I1848" s="9">
        <v>150000</v>
      </c>
      <c r="J1848">
        <v>8</v>
      </c>
      <c r="K1848" t="s">
        <v>33</v>
      </c>
      <c r="L1848" s="9">
        <f t="shared" si="28"/>
        <v>120000</v>
      </c>
      <c r="M1848" s="9">
        <f>Table1[[#This Row],[Unit Price]]*Table1[[#This Row],[Quantity]]</f>
        <v>1200000</v>
      </c>
      <c r="N1848" s="9">
        <f>Table1[[#This Row],[Cost Price]]*Table1[[#This Row],[Quantity]]</f>
        <v>960000</v>
      </c>
      <c r="O1848" s="9">
        <f>Table1[[#This Row],[Revenue]]-Table1[[#This Row],[COGS]]</f>
        <v>240000</v>
      </c>
      <c r="P1848" s="6">
        <v>1847</v>
      </c>
    </row>
    <row r="1849" spans="1:16">
      <c r="A1849" s="7" t="s">
        <v>156</v>
      </c>
      <c r="B1849" s="7" t="str">
        <f>TEXT(Table1[[#This Row],[Date]],"MMM")</f>
        <v>Feb</v>
      </c>
      <c r="C1849" t="s">
        <v>35</v>
      </c>
      <c r="D1849" t="s">
        <v>45</v>
      </c>
      <c r="E1849" t="s">
        <v>41</v>
      </c>
      <c r="F1849" t="s">
        <v>37</v>
      </c>
      <c r="G1849" t="s">
        <v>31</v>
      </c>
      <c r="H1849" t="s">
        <v>32</v>
      </c>
      <c r="I1849" s="9">
        <v>85000</v>
      </c>
      <c r="J1849">
        <v>1</v>
      </c>
      <c r="K1849" t="s">
        <v>65</v>
      </c>
      <c r="L1849" s="9">
        <f t="shared" si="28"/>
        <v>68000</v>
      </c>
      <c r="M1849" s="9">
        <f>Table1[[#This Row],[Unit Price]]*Table1[[#This Row],[Quantity]]</f>
        <v>85000</v>
      </c>
      <c r="N1849" s="9">
        <f>Table1[[#This Row],[Cost Price]]*Table1[[#This Row],[Quantity]]</f>
        <v>68000</v>
      </c>
      <c r="O1849" s="9">
        <f>Table1[[#This Row],[Revenue]]-Table1[[#This Row],[COGS]]</f>
        <v>17000</v>
      </c>
      <c r="P1849" s="6">
        <v>1848</v>
      </c>
    </row>
    <row r="1850" spans="1:16">
      <c r="A1850" s="7" t="s">
        <v>100</v>
      </c>
      <c r="B1850" s="7" t="str">
        <f>TEXT(Table1[[#This Row],[Date]],"MMM")</f>
        <v>Jan</v>
      </c>
      <c r="C1850" t="s">
        <v>35</v>
      </c>
      <c r="D1850" t="s">
        <v>53</v>
      </c>
      <c r="E1850" t="s">
        <v>29</v>
      </c>
      <c r="F1850" t="s">
        <v>37</v>
      </c>
      <c r="G1850" t="s">
        <v>73</v>
      </c>
      <c r="H1850" t="s">
        <v>39</v>
      </c>
      <c r="I1850" s="9">
        <v>220000</v>
      </c>
      <c r="J1850">
        <v>6</v>
      </c>
      <c r="K1850" t="s">
        <v>33</v>
      </c>
      <c r="L1850" s="9">
        <f t="shared" si="28"/>
        <v>176000</v>
      </c>
      <c r="M1850" s="9">
        <f>Table1[[#This Row],[Unit Price]]*Table1[[#This Row],[Quantity]]</f>
        <v>1320000</v>
      </c>
      <c r="N1850" s="9">
        <f>Table1[[#This Row],[Cost Price]]*Table1[[#This Row],[Quantity]]</f>
        <v>1056000</v>
      </c>
      <c r="O1850" s="9">
        <f>Table1[[#This Row],[Revenue]]-Table1[[#This Row],[COGS]]</f>
        <v>264000</v>
      </c>
      <c r="P1850" s="6">
        <v>1849</v>
      </c>
    </row>
    <row r="1851" spans="1:16">
      <c r="A1851" s="7" t="s">
        <v>156</v>
      </c>
      <c r="B1851" s="7" t="str">
        <f>TEXT(Table1[[#This Row],[Date]],"MMM")</f>
        <v>Feb</v>
      </c>
      <c r="C1851" t="s">
        <v>35</v>
      </c>
      <c r="D1851" t="s">
        <v>28</v>
      </c>
      <c r="E1851" t="s">
        <v>41</v>
      </c>
      <c r="F1851" t="s">
        <v>37</v>
      </c>
      <c r="G1851" t="s">
        <v>38</v>
      </c>
      <c r="H1851" t="s">
        <v>39</v>
      </c>
      <c r="I1851" s="9">
        <v>30000</v>
      </c>
      <c r="J1851">
        <v>3</v>
      </c>
      <c r="K1851" t="s">
        <v>33</v>
      </c>
      <c r="L1851" s="9">
        <f t="shared" si="28"/>
        <v>24000</v>
      </c>
      <c r="M1851" s="9">
        <f>Table1[[#This Row],[Unit Price]]*Table1[[#This Row],[Quantity]]</f>
        <v>90000</v>
      </c>
      <c r="N1851" s="9">
        <f>Table1[[#This Row],[Cost Price]]*Table1[[#This Row],[Quantity]]</f>
        <v>72000</v>
      </c>
      <c r="O1851" s="9">
        <f>Table1[[#This Row],[Revenue]]-Table1[[#This Row],[COGS]]</f>
        <v>18000</v>
      </c>
      <c r="P1851" s="6">
        <v>1850</v>
      </c>
    </row>
    <row r="1852" spans="1:16">
      <c r="A1852" s="7" t="s">
        <v>40</v>
      </c>
      <c r="B1852" s="7" t="str">
        <f>TEXT(Table1[[#This Row],[Date]],"MMM")</f>
        <v>Feb</v>
      </c>
      <c r="C1852" t="s">
        <v>49</v>
      </c>
      <c r="D1852" t="s">
        <v>53</v>
      </c>
      <c r="E1852" t="s">
        <v>41</v>
      </c>
      <c r="F1852" t="s">
        <v>37</v>
      </c>
      <c r="G1852" t="s">
        <v>50</v>
      </c>
      <c r="H1852" t="s">
        <v>51</v>
      </c>
      <c r="I1852" s="9">
        <v>300000</v>
      </c>
      <c r="J1852">
        <v>3</v>
      </c>
      <c r="K1852" t="s">
        <v>42</v>
      </c>
      <c r="L1852" s="9">
        <f t="shared" si="28"/>
        <v>240000</v>
      </c>
      <c r="M1852" s="9">
        <f>Table1[[#This Row],[Unit Price]]*Table1[[#This Row],[Quantity]]</f>
        <v>900000</v>
      </c>
      <c r="N1852" s="9">
        <f>Table1[[#This Row],[Cost Price]]*Table1[[#This Row],[Quantity]]</f>
        <v>720000</v>
      </c>
      <c r="O1852" s="9">
        <f>Table1[[#This Row],[Revenue]]-Table1[[#This Row],[COGS]]</f>
        <v>180000</v>
      </c>
      <c r="P1852" s="6">
        <v>1851</v>
      </c>
    </row>
    <row r="1853" spans="1:16">
      <c r="A1853" s="7" t="s">
        <v>64</v>
      </c>
      <c r="B1853" s="7" t="str">
        <f>TEXT(Table1[[#This Row],[Date]],"MMM")</f>
        <v>Apr</v>
      </c>
      <c r="C1853" t="s">
        <v>35</v>
      </c>
      <c r="D1853" t="s">
        <v>45</v>
      </c>
      <c r="E1853" t="s">
        <v>29</v>
      </c>
      <c r="F1853" t="s">
        <v>37</v>
      </c>
      <c r="G1853" t="s">
        <v>71</v>
      </c>
      <c r="H1853" t="s">
        <v>51</v>
      </c>
      <c r="I1853" s="9">
        <v>250000</v>
      </c>
      <c r="J1853">
        <v>10</v>
      </c>
      <c r="K1853" t="s">
        <v>65</v>
      </c>
      <c r="L1853" s="9">
        <f t="shared" si="28"/>
        <v>200000</v>
      </c>
      <c r="M1853" s="9">
        <f>Table1[[#This Row],[Unit Price]]*Table1[[#This Row],[Quantity]]</f>
        <v>2500000</v>
      </c>
      <c r="N1853" s="9">
        <f>Table1[[#This Row],[Cost Price]]*Table1[[#This Row],[Quantity]]</f>
        <v>2000000</v>
      </c>
      <c r="O1853" s="9">
        <f>Table1[[#This Row],[Revenue]]-Table1[[#This Row],[COGS]]</f>
        <v>500000</v>
      </c>
      <c r="P1853" s="6">
        <v>1852</v>
      </c>
    </row>
    <row r="1854" spans="1:16">
      <c r="A1854" s="7" t="s">
        <v>177</v>
      </c>
      <c r="B1854" s="7" t="str">
        <f>TEXT(Table1[[#This Row],[Date]],"MMM")</f>
        <v>Mar</v>
      </c>
      <c r="C1854" t="s">
        <v>35</v>
      </c>
      <c r="D1854" t="s">
        <v>36</v>
      </c>
      <c r="E1854" t="s">
        <v>29</v>
      </c>
      <c r="F1854" t="s">
        <v>37</v>
      </c>
      <c r="G1854" t="s">
        <v>50</v>
      </c>
      <c r="H1854" t="s">
        <v>51</v>
      </c>
      <c r="I1854" s="9">
        <v>300000</v>
      </c>
      <c r="J1854">
        <v>4</v>
      </c>
      <c r="K1854" t="s">
        <v>58</v>
      </c>
      <c r="L1854" s="9">
        <f t="shared" si="28"/>
        <v>240000</v>
      </c>
      <c r="M1854" s="9">
        <f>Table1[[#This Row],[Unit Price]]*Table1[[#This Row],[Quantity]]</f>
        <v>1200000</v>
      </c>
      <c r="N1854" s="9">
        <f>Table1[[#This Row],[Cost Price]]*Table1[[#This Row],[Quantity]]</f>
        <v>960000</v>
      </c>
      <c r="O1854" s="9">
        <f>Table1[[#This Row],[Revenue]]-Table1[[#This Row],[COGS]]</f>
        <v>240000</v>
      </c>
      <c r="P1854" s="6">
        <v>1853</v>
      </c>
    </row>
    <row r="1855" spans="1:16">
      <c r="A1855" s="7" t="s">
        <v>163</v>
      </c>
      <c r="B1855" s="7" t="str">
        <f>TEXT(Table1[[#This Row],[Date]],"MMM")</f>
        <v>Apr</v>
      </c>
      <c r="C1855" t="s">
        <v>44</v>
      </c>
      <c r="D1855" t="s">
        <v>45</v>
      </c>
      <c r="E1855" t="s">
        <v>29</v>
      </c>
      <c r="F1855" t="s">
        <v>37</v>
      </c>
      <c r="G1855" t="s">
        <v>56</v>
      </c>
      <c r="H1855" t="s">
        <v>32</v>
      </c>
      <c r="I1855" s="9">
        <v>320000</v>
      </c>
      <c r="J1855">
        <v>5</v>
      </c>
      <c r="K1855" t="s">
        <v>69</v>
      </c>
      <c r="L1855" s="9">
        <f t="shared" si="28"/>
        <v>256000</v>
      </c>
      <c r="M1855" s="9">
        <f>Table1[[#This Row],[Unit Price]]*Table1[[#This Row],[Quantity]]</f>
        <v>1600000</v>
      </c>
      <c r="N1855" s="9">
        <f>Table1[[#This Row],[Cost Price]]*Table1[[#This Row],[Quantity]]</f>
        <v>1280000</v>
      </c>
      <c r="O1855" s="9">
        <f>Table1[[#This Row],[Revenue]]-Table1[[#This Row],[COGS]]</f>
        <v>320000</v>
      </c>
      <c r="P1855" s="6">
        <v>1854</v>
      </c>
    </row>
    <row r="1856" spans="1:16">
      <c r="A1856" s="7" t="s">
        <v>167</v>
      </c>
      <c r="B1856" s="7" t="str">
        <f>TEXT(Table1[[#This Row],[Date]],"MMM")</f>
        <v>Apr</v>
      </c>
      <c r="C1856" t="s">
        <v>44</v>
      </c>
      <c r="D1856" t="s">
        <v>36</v>
      </c>
      <c r="E1856" t="s">
        <v>29</v>
      </c>
      <c r="F1856" t="s">
        <v>37</v>
      </c>
      <c r="G1856" t="s">
        <v>56</v>
      </c>
      <c r="H1856" t="s">
        <v>32</v>
      </c>
      <c r="I1856" s="9">
        <v>320000</v>
      </c>
      <c r="J1856">
        <v>1</v>
      </c>
      <c r="K1856" t="s">
        <v>42</v>
      </c>
      <c r="L1856" s="9">
        <f t="shared" si="28"/>
        <v>256000</v>
      </c>
      <c r="M1856" s="9">
        <f>Table1[[#This Row],[Unit Price]]*Table1[[#This Row],[Quantity]]</f>
        <v>320000</v>
      </c>
      <c r="N1856" s="9">
        <f>Table1[[#This Row],[Cost Price]]*Table1[[#This Row],[Quantity]]</f>
        <v>256000</v>
      </c>
      <c r="O1856" s="9">
        <f>Table1[[#This Row],[Revenue]]-Table1[[#This Row],[COGS]]</f>
        <v>64000</v>
      </c>
      <c r="P1856" s="6">
        <v>1855</v>
      </c>
    </row>
    <row r="1857" spans="1:16">
      <c r="A1857" s="7" t="s">
        <v>63</v>
      </c>
      <c r="B1857" s="7" t="str">
        <f>TEXT(Table1[[#This Row],[Date]],"MMM")</f>
        <v>Jan</v>
      </c>
      <c r="C1857" t="s">
        <v>49</v>
      </c>
      <c r="D1857" t="s">
        <v>28</v>
      </c>
      <c r="E1857" t="s">
        <v>29</v>
      </c>
      <c r="F1857" t="s">
        <v>37</v>
      </c>
      <c r="G1857" t="s">
        <v>67</v>
      </c>
      <c r="H1857" t="s">
        <v>51</v>
      </c>
      <c r="I1857" s="9">
        <v>420000</v>
      </c>
      <c r="J1857">
        <v>4</v>
      </c>
      <c r="K1857" t="s">
        <v>65</v>
      </c>
      <c r="L1857" s="9">
        <f t="shared" si="28"/>
        <v>336000</v>
      </c>
      <c r="M1857" s="9">
        <f>Table1[[#This Row],[Unit Price]]*Table1[[#This Row],[Quantity]]</f>
        <v>1680000</v>
      </c>
      <c r="N1857" s="9">
        <f>Table1[[#This Row],[Cost Price]]*Table1[[#This Row],[Quantity]]</f>
        <v>1344000</v>
      </c>
      <c r="O1857" s="9">
        <f>Table1[[#This Row],[Revenue]]-Table1[[#This Row],[COGS]]</f>
        <v>336000</v>
      </c>
      <c r="P1857" s="6">
        <v>1856</v>
      </c>
    </row>
    <row r="1858" spans="1:16">
      <c r="A1858" s="7" t="s">
        <v>132</v>
      </c>
      <c r="B1858" s="7" t="str">
        <f>TEXT(Table1[[#This Row],[Date]],"MMM")</f>
        <v>Apr</v>
      </c>
      <c r="C1858" t="s">
        <v>44</v>
      </c>
      <c r="D1858" t="s">
        <v>45</v>
      </c>
      <c r="E1858" t="s">
        <v>41</v>
      </c>
      <c r="F1858" t="s">
        <v>37</v>
      </c>
      <c r="G1858" t="s">
        <v>31</v>
      </c>
      <c r="H1858" t="s">
        <v>32</v>
      </c>
      <c r="I1858" s="9">
        <v>85000</v>
      </c>
      <c r="J1858">
        <v>5</v>
      </c>
      <c r="K1858" t="s">
        <v>47</v>
      </c>
      <c r="L1858" s="9">
        <f t="shared" ref="L1858:L1921" si="29">I1858-I1858*0.2</f>
        <v>68000</v>
      </c>
      <c r="M1858" s="9">
        <f>Table1[[#This Row],[Unit Price]]*Table1[[#This Row],[Quantity]]</f>
        <v>425000</v>
      </c>
      <c r="N1858" s="9">
        <f>Table1[[#This Row],[Cost Price]]*Table1[[#This Row],[Quantity]]</f>
        <v>340000</v>
      </c>
      <c r="O1858" s="9">
        <f>Table1[[#This Row],[Revenue]]-Table1[[#This Row],[COGS]]</f>
        <v>85000</v>
      </c>
      <c r="P1858" s="6">
        <v>1857</v>
      </c>
    </row>
    <row r="1859" spans="1:16">
      <c r="A1859" s="7" t="s">
        <v>87</v>
      </c>
      <c r="B1859" s="7" t="str">
        <f>TEXT(Table1[[#This Row],[Date]],"MMM")</f>
        <v>Mar</v>
      </c>
      <c r="C1859" t="s">
        <v>35</v>
      </c>
      <c r="D1859" t="s">
        <v>36</v>
      </c>
      <c r="E1859" t="s">
        <v>41</v>
      </c>
      <c r="F1859" t="s">
        <v>37</v>
      </c>
      <c r="G1859" t="s">
        <v>46</v>
      </c>
      <c r="H1859" t="s">
        <v>39</v>
      </c>
      <c r="I1859" s="9">
        <v>60000</v>
      </c>
      <c r="J1859">
        <v>3</v>
      </c>
      <c r="K1859" t="s">
        <v>33</v>
      </c>
      <c r="L1859" s="9">
        <f t="shared" si="29"/>
        <v>48000</v>
      </c>
      <c r="M1859" s="9">
        <f>Table1[[#This Row],[Unit Price]]*Table1[[#This Row],[Quantity]]</f>
        <v>180000</v>
      </c>
      <c r="N1859" s="9">
        <f>Table1[[#This Row],[Cost Price]]*Table1[[#This Row],[Quantity]]</f>
        <v>144000</v>
      </c>
      <c r="O1859" s="9">
        <f>Table1[[#This Row],[Revenue]]-Table1[[#This Row],[COGS]]</f>
        <v>36000</v>
      </c>
      <c r="P1859" s="6">
        <v>1858</v>
      </c>
    </row>
    <row r="1860" spans="1:16">
      <c r="A1860" s="7" t="s">
        <v>117</v>
      </c>
      <c r="B1860" s="7" t="str">
        <f>TEXT(Table1[[#This Row],[Date]],"MMM")</f>
        <v>Jan</v>
      </c>
      <c r="C1860" t="s">
        <v>27</v>
      </c>
      <c r="D1860" t="s">
        <v>53</v>
      </c>
      <c r="E1860" t="s">
        <v>29</v>
      </c>
      <c r="F1860" t="s">
        <v>37</v>
      </c>
      <c r="G1860" t="s">
        <v>71</v>
      </c>
      <c r="H1860" t="s">
        <v>51</v>
      </c>
      <c r="I1860" s="9">
        <v>250000</v>
      </c>
      <c r="J1860">
        <v>4</v>
      </c>
      <c r="K1860" t="s">
        <v>65</v>
      </c>
      <c r="L1860" s="9">
        <f t="shared" si="29"/>
        <v>200000</v>
      </c>
      <c r="M1860" s="9">
        <f>Table1[[#This Row],[Unit Price]]*Table1[[#This Row],[Quantity]]</f>
        <v>1000000</v>
      </c>
      <c r="N1860" s="9">
        <f>Table1[[#This Row],[Cost Price]]*Table1[[#This Row],[Quantity]]</f>
        <v>800000</v>
      </c>
      <c r="O1860" s="9">
        <f>Table1[[#This Row],[Revenue]]-Table1[[#This Row],[COGS]]</f>
        <v>200000</v>
      </c>
      <c r="P1860" s="6">
        <v>1859</v>
      </c>
    </row>
    <row r="1861" spans="1:16">
      <c r="A1861" s="7" t="s">
        <v>109</v>
      </c>
      <c r="B1861" s="7" t="str">
        <f>TEXT(Table1[[#This Row],[Date]],"MMM")</f>
        <v>Mar</v>
      </c>
      <c r="C1861" t="s">
        <v>35</v>
      </c>
      <c r="D1861" t="s">
        <v>28</v>
      </c>
      <c r="E1861" t="s">
        <v>29</v>
      </c>
      <c r="F1861" t="s">
        <v>37</v>
      </c>
      <c r="G1861" t="s">
        <v>67</v>
      </c>
      <c r="H1861" t="s">
        <v>51</v>
      </c>
      <c r="I1861" s="9">
        <v>420000</v>
      </c>
      <c r="J1861">
        <v>5</v>
      </c>
      <c r="K1861" t="s">
        <v>33</v>
      </c>
      <c r="L1861" s="9">
        <f t="shared" si="29"/>
        <v>336000</v>
      </c>
      <c r="M1861" s="9">
        <f>Table1[[#This Row],[Unit Price]]*Table1[[#This Row],[Quantity]]</f>
        <v>2100000</v>
      </c>
      <c r="N1861" s="9">
        <f>Table1[[#This Row],[Cost Price]]*Table1[[#This Row],[Quantity]]</f>
        <v>1680000</v>
      </c>
      <c r="O1861" s="9">
        <f>Table1[[#This Row],[Revenue]]-Table1[[#This Row],[COGS]]</f>
        <v>420000</v>
      </c>
      <c r="P1861" s="6">
        <v>1860</v>
      </c>
    </row>
    <row r="1862" spans="1:16">
      <c r="A1862" s="7" t="s">
        <v>60</v>
      </c>
      <c r="B1862" s="7" t="str">
        <f>TEXT(Table1[[#This Row],[Date]],"MMM")</f>
        <v>Mar</v>
      </c>
      <c r="C1862" t="s">
        <v>27</v>
      </c>
      <c r="D1862" t="s">
        <v>45</v>
      </c>
      <c r="E1862" t="s">
        <v>29</v>
      </c>
      <c r="F1862" t="s">
        <v>37</v>
      </c>
      <c r="G1862" t="s">
        <v>62</v>
      </c>
      <c r="H1862" t="s">
        <v>51</v>
      </c>
      <c r="I1862" s="9">
        <v>150000</v>
      </c>
      <c r="J1862">
        <v>5</v>
      </c>
      <c r="K1862" t="s">
        <v>47</v>
      </c>
      <c r="L1862" s="9">
        <f t="shared" si="29"/>
        <v>120000</v>
      </c>
      <c r="M1862" s="9">
        <f>Table1[[#This Row],[Unit Price]]*Table1[[#This Row],[Quantity]]</f>
        <v>750000</v>
      </c>
      <c r="N1862" s="9">
        <f>Table1[[#This Row],[Cost Price]]*Table1[[#This Row],[Quantity]]</f>
        <v>600000</v>
      </c>
      <c r="O1862" s="9">
        <f>Table1[[#This Row],[Revenue]]-Table1[[#This Row],[COGS]]</f>
        <v>150000</v>
      </c>
      <c r="P1862" s="6">
        <v>1861</v>
      </c>
    </row>
    <row r="1863" spans="1:16">
      <c r="A1863" s="7" t="s">
        <v>152</v>
      </c>
      <c r="B1863" s="7" t="str">
        <f>TEXT(Table1[[#This Row],[Date]],"MMM")</f>
        <v>Jan</v>
      </c>
      <c r="C1863" t="s">
        <v>49</v>
      </c>
      <c r="D1863" t="s">
        <v>36</v>
      </c>
      <c r="E1863" t="s">
        <v>41</v>
      </c>
      <c r="F1863" t="s">
        <v>37</v>
      </c>
      <c r="G1863" t="s">
        <v>54</v>
      </c>
      <c r="H1863" t="s">
        <v>39</v>
      </c>
      <c r="I1863" s="9">
        <v>180000</v>
      </c>
      <c r="J1863">
        <v>1</v>
      </c>
      <c r="K1863" t="s">
        <v>58</v>
      </c>
      <c r="L1863" s="9">
        <f t="shared" si="29"/>
        <v>144000</v>
      </c>
      <c r="M1863" s="9">
        <f>Table1[[#This Row],[Unit Price]]*Table1[[#This Row],[Quantity]]</f>
        <v>180000</v>
      </c>
      <c r="N1863" s="9">
        <f>Table1[[#This Row],[Cost Price]]*Table1[[#This Row],[Quantity]]</f>
        <v>144000</v>
      </c>
      <c r="O1863" s="9">
        <f>Table1[[#This Row],[Revenue]]-Table1[[#This Row],[COGS]]</f>
        <v>36000</v>
      </c>
      <c r="P1863" s="6">
        <v>1862</v>
      </c>
    </row>
    <row r="1864" spans="1:16">
      <c r="A1864" s="7" t="s">
        <v>165</v>
      </c>
      <c r="B1864" s="7" t="str">
        <f>TEXT(Table1[[#This Row],[Date]],"MMM")</f>
        <v>Apr</v>
      </c>
      <c r="C1864" t="s">
        <v>44</v>
      </c>
      <c r="D1864" t="s">
        <v>53</v>
      </c>
      <c r="E1864" t="s">
        <v>41</v>
      </c>
      <c r="F1864" t="s">
        <v>37</v>
      </c>
      <c r="G1864" t="s">
        <v>54</v>
      </c>
      <c r="H1864" t="s">
        <v>39</v>
      </c>
      <c r="I1864" s="9">
        <v>180000</v>
      </c>
      <c r="J1864">
        <v>1</v>
      </c>
      <c r="K1864" t="s">
        <v>47</v>
      </c>
      <c r="L1864" s="9">
        <f t="shared" si="29"/>
        <v>144000</v>
      </c>
      <c r="M1864" s="9">
        <f>Table1[[#This Row],[Unit Price]]*Table1[[#This Row],[Quantity]]</f>
        <v>180000</v>
      </c>
      <c r="N1864" s="9">
        <f>Table1[[#This Row],[Cost Price]]*Table1[[#This Row],[Quantity]]</f>
        <v>144000</v>
      </c>
      <c r="O1864" s="9">
        <f>Table1[[#This Row],[Revenue]]-Table1[[#This Row],[COGS]]</f>
        <v>36000</v>
      </c>
      <c r="P1864" s="6">
        <v>1863</v>
      </c>
    </row>
    <row r="1865" spans="1:16">
      <c r="A1865" s="7" t="s">
        <v>114</v>
      </c>
      <c r="B1865" s="7" t="str">
        <f>TEXT(Table1[[#This Row],[Date]],"MMM")</f>
        <v>Apr</v>
      </c>
      <c r="C1865" t="s">
        <v>27</v>
      </c>
      <c r="D1865" t="s">
        <v>36</v>
      </c>
      <c r="E1865" t="s">
        <v>29</v>
      </c>
      <c r="F1865" t="s">
        <v>37</v>
      </c>
      <c r="G1865" t="s">
        <v>71</v>
      </c>
      <c r="H1865" t="s">
        <v>51</v>
      </c>
      <c r="I1865" s="9">
        <v>250000</v>
      </c>
      <c r="J1865">
        <v>9</v>
      </c>
      <c r="K1865" t="s">
        <v>33</v>
      </c>
      <c r="L1865" s="9">
        <f t="shared" si="29"/>
        <v>200000</v>
      </c>
      <c r="M1865" s="9">
        <f>Table1[[#This Row],[Unit Price]]*Table1[[#This Row],[Quantity]]</f>
        <v>2250000</v>
      </c>
      <c r="N1865" s="9">
        <f>Table1[[#This Row],[Cost Price]]*Table1[[#This Row],[Quantity]]</f>
        <v>1800000</v>
      </c>
      <c r="O1865" s="9">
        <f>Table1[[#This Row],[Revenue]]-Table1[[#This Row],[COGS]]</f>
        <v>450000</v>
      </c>
      <c r="P1865" s="6">
        <v>1864</v>
      </c>
    </row>
    <row r="1866" spans="1:16">
      <c r="A1866" s="7" t="s">
        <v>147</v>
      </c>
      <c r="B1866" s="7" t="str">
        <f>TEXT(Table1[[#This Row],[Date]],"MMM")</f>
        <v>Jan</v>
      </c>
      <c r="C1866" t="s">
        <v>49</v>
      </c>
      <c r="D1866" t="s">
        <v>28</v>
      </c>
      <c r="E1866" t="s">
        <v>29</v>
      </c>
      <c r="F1866" t="s">
        <v>37</v>
      </c>
      <c r="G1866" t="s">
        <v>31</v>
      </c>
      <c r="H1866" t="s">
        <v>32</v>
      </c>
      <c r="I1866" s="9">
        <v>85000</v>
      </c>
      <c r="J1866">
        <v>4</v>
      </c>
      <c r="K1866" t="s">
        <v>58</v>
      </c>
      <c r="L1866" s="9">
        <f t="shared" si="29"/>
        <v>68000</v>
      </c>
      <c r="M1866" s="9">
        <f>Table1[[#This Row],[Unit Price]]*Table1[[#This Row],[Quantity]]</f>
        <v>340000</v>
      </c>
      <c r="N1866" s="9">
        <f>Table1[[#This Row],[Cost Price]]*Table1[[#This Row],[Quantity]]</f>
        <v>272000</v>
      </c>
      <c r="O1866" s="9">
        <f>Table1[[#This Row],[Revenue]]-Table1[[#This Row],[COGS]]</f>
        <v>68000</v>
      </c>
      <c r="P1866" s="6">
        <v>1865</v>
      </c>
    </row>
    <row r="1867" spans="1:16">
      <c r="A1867" s="7" t="s">
        <v>72</v>
      </c>
      <c r="B1867" s="7" t="str">
        <f>TEXT(Table1[[#This Row],[Date]],"MMM")</f>
        <v>Feb</v>
      </c>
      <c r="C1867" t="s">
        <v>27</v>
      </c>
      <c r="D1867" t="s">
        <v>53</v>
      </c>
      <c r="E1867" t="s">
        <v>41</v>
      </c>
      <c r="F1867" t="s">
        <v>37</v>
      </c>
      <c r="G1867" t="s">
        <v>67</v>
      </c>
      <c r="H1867" t="s">
        <v>51</v>
      </c>
      <c r="I1867" s="9">
        <v>420000</v>
      </c>
      <c r="J1867">
        <v>8</v>
      </c>
      <c r="K1867" t="s">
        <v>42</v>
      </c>
      <c r="L1867" s="9">
        <f t="shared" si="29"/>
        <v>336000</v>
      </c>
      <c r="M1867" s="9">
        <f>Table1[[#This Row],[Unit Price]]*Table1[[#This Row],[Quantity]]</f>
        <v>3360000</v>
      </c>
      <c r="N1867" s="9">
        <f>Table1[[#This Row],[Cost Price]]*Table1[[#This Row],[Quantity]]</f>
        <v>2688000</v>
      </c>
      <c r="O1867" s="9">
        <f>Table1[[#This Row],[Revenue]]-Table1[[#This Row],[COGS]]</f>
        <v>672000</v>
      </c>
      <c r="P1867" s="6">
        <v>1866</v>
      </c>
    </row>
    <row r="1868" spans="1:16">
      <c r="A1868" s="7" t="s">
        <v>52</v>
      </c>
      <c r="B1868" s="7" t="str">
        <f>TEXT(Table1[[#This Row],[Date]],"MMM")</f>
        <v>Mar</v>
      </c>
      <c r="C1868" t="s">
        <v>44</v>
      </c>
      <c r="D1868" t="s">
        <v>53</v>
      </c>
      <c r="E1868" t="s">
        <v>41</v>
      </c>
      <c r="F1868" t="s">
        <v>37</v>
      </c>
      <c r="G1868" t="s">
        <v>56</v>
      </c>
      <c r="H1868" t="s">
        <v>32</v>
      </c>
      <c r="I1868" s="9">
        <v>320000</v>
      </c>
      <c r="J1868">
        <v>6</v>
      </c>
      <c r="K1868" t="s">
        <v>42</v>
      </c>
      <c r="L1868" s="9">
        <f t="shared" si="29"/>
        <v>256000</v>
      </c>
      <c r="M1868" s="9">
        <f>Table1[[#This Row],[Unit Price]]*Table1[[#This Row],[Quantity]]</f>
        <v>1920000</v>
      </c>
      <c r="N1868" s="9">
        <f>Table1[[#This Row],[Cost Price]]*Table1[[#This Row],[Quantity]]</f>
        <v>1536000</v>
      </c>
      <c r="O1868" s="9">
        <f>Table1[[#This Row],[Revenue]]-Table1[[#This Row],[COGS]]</f>
        <v>384000</v>
      </c>
      <c r="P1868" s="6">
        <v>1867</v>
      </c>
    </row>
    <row r="1869" spans="1:16">
      <c r="A1869" s="7" t="s">
        <v>122</v>
      </c>
      <c r="B1869" s="7" t="str">
        <f>TEXT(Table1[[#This Row],[Date]],"MMM")</f>
        <v>Mar</v>
      </c>
      <c r="C1869" t="s">
        <v>49</v>
      </c>
      <c r="D1869" t="s">
        <v>36</v>
      </c>
      <c r="E1869" t="s">
        <v>29</v>
      </c>
      <c r="F1869" t="s">
        <v>37</v>
      </c>
      <c r="G1869" t="s">
        <v>62</v>
      </c>
      <c r="H1869" t="s">
        <v>51</v>
      </c>
      <c r="I1869" s="9">
        <v>150000</v>
      </c>
      <c r="J1869">
        <v>3</v>
      </c>
      <c r="K1869" t="s">
        <v>65</v>
      </c>
      <c r="L1869" s="9">
        <f t="shared" si="29"/>
        <v>120000</v>
      </c>
      <c r="M1869" s="9">
        <f>Table1[[#This Row],[Unit Price]]*Table1[[#This Row],[Quantity]]</f>
        <v>450000</v>
      </c>
      <c r="N1869" s="9">
        <f>Table1[[#This Row],[Cost Price]]*Table1[[#This Row],[Quantity]]</f>
        <v>360000</v>
      </c>
      <c r="O1869" s="9">
        <f>Table1[[#This Row],[Revenue]]-Table1[[#This Row],[COGS]]</f>
        <v>90000</v>
      </c>
      <c r="P1869" s="6">
        <v>1868</v>
      </c>
    </row>
    <row r="1870" spans="1:16">
      <c r="A1870" s="7" t="s">
        <v>63</v>
      </c>
      <c r="B1870" s="7" t="str">
        <f>TEXT(Table1[[#This Row],[Date]],"MMM")</f>
        <v>Jan</v>
      </c>
      <c r="C1870" t="s">
        <v>27</v>
      </c>
      <c r="D1870" t="s">
        <v>53</v>
      </c>
      <c r="E1870" t="s">
        <v>29</v>
      </c>
      <c r="F1870" t="s">
        <v>37</v>
      </c>
      <c r="G1870" t="s">
        <v>31</v>
      </c>
      <c r="H1870" t="s">
        <v>32</v>
      </c>
      <c r="I1870" s="9">
        <v>85000</v>
      </c>
      <c r="J1870">
        <v>3</v>
      </c>
      <c r="K1870" t="s">
        <v>47</v>
      </c>
      <c r="L1870" s="9">
        <f t="shared" si="29"/>
        <v>68000</v>
      </c>
      <c r="M1870" s="9">
        <f>Table1[[#This Row],[Unit Price]]*Table1[[#This Row],[Quantity]]</f>
        <v>255000</v>
      </c>
      <c r="N1870" s="9">
        <f>Table1[[#This Row],[Cost Price]]*Table1[[#This Row],[Quantity]]</f>
        <v>204000</v>
      </c>
      <c r="O1870" s="9">
        <f>Table1[[#This Row],[Revenue]]-Table1[[#This Row],[COGS]]</f>
        <v>51000</v>
      </c>
      <c r="P1870" s="6">
        <v>1869</v>
      </c>
    </row>
    <row r="1871" spans="1:16">
      <c r="A1871" s="7" t="s">
        <v>96</v>
      </c>
      <c r="B1871" s="7" t="str">
        <f>TEXT(Table1[[#This Row],[Date]],"MMM")</f>
        <v>Mar</v>
      </c>
      <c r="C1871" t="s">
        <v>49</v>
      </c>
      <c r="D1871" t="s">
        <v>36</v>
      </c>
      <c r="E1871" t="s">
        <v>29</v>
      </c>
      <c r="F1871" t="s">
        <v>37</v>
      </c>
      <c r="G1871" t="s">
        <v>50</v>
      </c>
      <c r="H1871" t="s">
        <v>51</v>
      </c>
      <c r="I1871" s="9">
        <v>300000</v>
      </c>
      <c r="J1871">
        <v>1</v>
      </c>
      <c r="K1871" t="s">
        <v>47</v>
      </c>
      <c r="L1871" s="9">
        <f t="shared" si="29"/>
        <v>240000</v>
      </c>
      <c r="M1871" s="9">
        <f>Table1[[#This Row],[Unit Price]]*Table1[[#This Row],[Quantity]]</f>
        <v>300000</v>
      </c>
      <c r="N1871" s="9">
        <f>Table1[[#This Row],[Cost Price]]*Table1[[#This Row],[Quantity]]</f>
        <v>240000</v>
      </c>
      <c r="O1871" s="9">
        <f>Table1[[#This Row],[Revenue]]-Table1[[#This Row],[COGS]]</f>
        <v>60000</v>
      </c>
      <c r="P1871" s="6">
        <v>1870</v>
      </c>
    </row>
    <row r="1872" spans="1:16">
      <c r="A1872" s="7" t="s">
        <v>173</v>
      </c>
      <c r="B1872" s="7" t="str">
        <f>TEXT(Table1[[#This Row],[Date]],"MMM")</f>
        <v>Mar</v>
      </c>
      <c r="C1872" t="s">
        <v>44</v>
      </c>
      <c r="D1872" t="s">
        <v>36</v>
      </c>
      <c r="E1872" t="s">
        <v>41</v>
      </c>
      <c r="F1872" t="s">
        <v>30</v>
      </c>
      <c r="G1872" t="s">
        <v>54</v>
      </c>
      <c r="H1872" t="s">
        <v>39</v>
      </c>
      <c r="I1872" s="9">
        <v>180000</v>
      </c>
      <c r="J1872">
        <v>4</v>
      </c>
      <c r="K1872" t="s">
        <v>65</v>
      </c>
      <c r="L1872" s="9">
        <f t="shared" si="29"/>
        <v>144000</v>
      </c>
      <c r="M1872" s="9">
        <f>Table1[[#This Row],[Unit Price]]*Table1[[#This Row],[Quantity]]</f>
        <v>720000</v>
      </c>
      <c r="N1872" s="9">
        <f>Table1[[#This Row],[Cost Price]]*Table1[[#This Row],[Quantity]]</f>
        <v>576000</v>
      </c>
      <c r="O1872" s="9">
        <f>Table1[[#This Row],[Revenue]]-Table1[[#This Row],[COGS]]</f>
        <v>144000</v>
      </c>
      <c r="P1872" s="6">
        <v>1871</v>
      </c>
    </row>
    <row r="1873" spans="1:16">
      <c r="A1873" s="7" t="s">
        <v>177</v>
      </c>
      <c r="B1873" s="7" t="str">
        <f>TEXT(Table1[[#This Row],[Date]],"MMM")</f>
        <v>Mar</v>
      </c>
      <c r="C1873" t="s">
        <v>27</v>
      </c>
      <c r="D1873" t="s">
        <v>36</v>
      </c>
      <c r="E1873" t="s">
        <v>29</v>
      </c>
      <c r="F1873" t="s">
        <v>30</v>
      </c>
      <c r="G1873" t="s">
        <v>67</v>
      </c>
      <c r="H1873" t="s">
        <v>51</v>
      </c>
      <c r="I1873" s="9">
        <v>420000</v>
      </c>
      <c r="J1873">
        <v>10</v>
      </c>
      <c r="K1873" t="s">
        <v>58</v>
      </c>
      <c r="L1873" s="9">
        <f t="shared" si="29"/>
        <v>336000</v>
      </c>
      <c r="M1873" s="9">
        <f>Table1[[#This Row],[Unit Price]]*Table1[[#This Row],[Quantity]]</f>
        <v>4200000</v>
      </c>
      <c r="N1873" s="9">
        <f>Table1[[#This Row],[Cost Price]]*Table1[[#This Row],[Quantity]]</f>
        <v>3360000</v>
      </c>
      <c r="O1873" s="9">
        <f>Table1[[#This Row],[Revenue]]-Table1[[#This Row],[COGS]]</f>
        <v>840000</v>
      </c>
      <c r="P1873" s="6">
        <v>1872</v>
      </c>
    </row>
    <row r="1874" spans="1:16">
      <c r="A1874" s="7" t="s">
        <v>143</v>
      </c>
      <c r="B1874" s="7" t="str">
        <f>TEXT(Table1[[#This Row],[Date]],"MMM")</f>
        <v>Apr</v>
      </c>
      <c r="C1874" t="s">
        <v>49</v>
      </c>
      <c r="D1874" t="s">
        <v>53</v>
      </c>
      <c r="E1874" t="s">
        <v>41</v>
      </c>
      <c r="F1874" t="s">
        <v>30</v>
      </c>
      <c r="G1874" t="s">
        <v>62</v>
      </c>
      <c r="H1874" t="s">
        <v>51</v>
      </c>
      <c r="I1874" s="9">
        <v>150000</v>
      </c>
      <c r="J1874">
        <v>4</v>
      </c>
      <c r="K1874" t="s">
        <v>69</v>
      </c>
      <c r="L1874" s="9">
        <f t="shared" si="29"/>
        <v>120000</v>
      </c>
      <c r="M1874" s="9">
        <f>Table1[[#This Row],[Unit Price]]*Table1[[#This Row],[Quantity]]</f>
        <v>600000</v>
      </c>
      <c r="N1874" s="9">
        <f>Table1[[#This Row],[Cost Price]]*Table1[[#This Row],[Quantity]]</f>
        <v>480000</v>
      </c>
      <c r="O1874" s="9">
        <f>Table1[[#This Row],[Revenue]]-Table1[[#This Row],[COGS]]</f>
        <v>120000</v>
      </c>
      <c r="P1874" s="6">
        <v>1873</v>
      </c>
    </row>
    <row r="1875" spans="1:16">
      <c r="A1875" s="7" t="s">
        <v>167</v>
      </c>
      <c r="B1875" s="7" t="str">
        <f>TEXT(Table1[[#This Row],[Date]],"MMM")</f>
        <v>Apr</v>
      </c>
      <c r="C1875" t="s">
        <v>35</v>
      </c>
      <c r="D1875" t="s">
        <v>45</v>
      </c>
      <c r="E1875" t="s">
        <v>29</v>
      </c>
      <c r="F1875" t="s">
        <v>30</v>
      </c>
      <c r="G1875" t="s">
        <v>31</v>
      </c>
      <c r="H1875" t="s">
        <v>32</v>
      </c>
      <c r="I1875" s="9">
        <v>85000</v>
      </c>
      <c r="J1875">
        <v>6</v>
      </c>
      <c r="K1875" t="s">
        <v>69</v>
      </c>
      <c r="L1875" s="9">
        <f t="shared" si="29"/>
        <v>68000</v>
      </c>
      <c r="M1875" s="9">
        <f>Table1[[#This Row],[Unit Price]]*Table1[[#This Row],[Quantity]]</f>
        <v>510000</v>
      </c>
      <c r="N1875" s="9">
        <f>Table1[[#This Row],[Cost Price]]*Table1[[#This Row],[Quantity]]</f>
        <v>408000</v>
      </c>
      <c r="O1875" s="9">
        <f>Table1[[#This Row],[Revenue]]-Table1[[#This Row],[COGS]]</f>
        <v>102000</v>
      </c>
      <c r="P1875" s="6">
        <v>1874</v>
      </c>
    </row>
    <row r="1876" spans="1:16">
      <c r="A1876" s="7" t="s">
        <v>134</v>
      </c>
      <c r="B1876" s="7" t="str">
        <f>TEXT(Table1[[#This Row],[Date]],"MMM")</f>
        <v>Jan</v>
      </c>
      <c r="C1876" t="s">
        <v>44</v>
      </c>
      <c r="D1876" t="s">
        <v>28</v>
      </c>
      <c r="E1876" t="s">
        <v>41</v>
      </c>
      <c r="F1876" t="s">
        <v>37</v>
      </c>
      <c r="G1876" t="s">
        <v>50</v>
      </c>
      <c r="H1876" t="s">
        <v>51</v>
      </c>
      <c r="I1876" s="9">
        <v>300000</v>
      </c>
      <c r="J1876">
        <v>10</v>
      </c>
      <c r="K1876" t="s">
        <v>33</v>
      </c>
      <c r="L1876" s="9">
        <f t="shared" si="29"/>
        <v>240000</v>
      </c>
      <c r="M1876" s="9">
        <f>Table1[[#This Row],[Unit Price]]*Table1[[#This Row],[Quantity]]</f>
        <v>3000000</v>
      </c>
      <c r="N1876" s="9">
        <f>Table1[[#This Row],[Cost Price]]*Table1[[#This Row],[Quantity]]</f>
        <v>2400000</v>
      </c>
      <c r="O1876" s="9">
        <f>Table1[[#This Row],[Revenue]]-Table1[[#This Row],[COGS]]</f>
        <v>600000</v>
      </c>
      <c r="P1876" s="6">
        <v>1875</v>
      </c>
    </row>
    <row r="1877" spans="1:16">
      <c r="A1877" s="7" t="s">
        <v>76</v>
      </c>
      <c r="B1877" s="7" t="str">
        <f>TEXT(Table1[[#This Row],[Date]],"MMM")</f>
        <v>May</v>
      </c>
      <c r="C1877" t="s">
        <v>35</v>
      </c>
      <c r="D1877" t="s">
        <v>36</v>
      </c>
      <c r="E1877" t="s">
        <v>41</v>
      </c>
      <c r="F1877" t="s">
        <v>37</v>
      </c>
      <c r="G1877" t="s">
        <v>62</v>
      </c>
      <c r="H1877" t="s">
        <v>51</v>
      </c>
      <c r="I1877" s="9">
        <v>150000</v>
      </c>
      <c r="J1877">
        <v>6</v>
      </c>
      <c r="K1877" t="s">
        <v>69</v>
      </c>
      <c r="L1877" s="9">
        <f t="shared" si="29"/>
        <v>120000</v>
      </c>
      <c r="M1877" s="9">
        <f>Table1[[#This Row],[Unit Price]]*Table1[[#This Row],[Quantity]]</f>
        <v>900000</v>
      </c>
      <c r="N1877" s="9">
        <f>Table1[[#This Row],[Cost Price]]*Table1[[#This Row],[Quantity]]</f>
        <v>720000</v>
      </c>
      <c r="O1877" s="9">
        <f>Table1[[#This Row],[Revenue]]-Table1[[#This Row],[COGS]]</f>
        <v>180000</v>
      </c>
      <c r="P1877" s="6">
        <v>1876</v>
      </c>
    </row>
    <row r="1878" spans="1:16">
      <c r="A1878" s="7" t="s">
        <v>142</v>
      </c>
      <c r="B1878" s="7" t="str">
        <f>TEXT(Table1[[#This Row],[Date]],"MMM")</f>
        <v>Apr</v>
      </c>
      <c r="C1878" t="s">
        <v>44</v>
      </c>
      <c r="D1878" t="s">
        <v>28</v>
      </c>
      <c r="E1878" t="s">
        <v>41</v>
      </c>
      <c r="F1878" t="s">
        <v>37</v>
      </c>
      <c r="G1878" t="s">
        <v>62</v>
      </c>
      <c r="H1878" t="s">
        <v>51</v>
      </c>
      <c r="I1878" s="9">
        <v>150000</v>
      </c>
      <c r="J1878">
        <v>1</v>
      </c>
      <c r="K1878" t="s">
        <v>69</v>
      </c>
      <c r="L1878" s="9">
        <f t="shared" si="29"/>
        <v>120000</v>
      </c>
      <c r="M1878" s="9">
        <f>Table1[[#This Row],[Unit Price]]*Table1[[#This Row],[Quantity]]</f>
        <v>150000</v>
      </c>
      <c r="N1878" s="9">
        <f>Table1[[#This Row],[Cost Price]]*Table1[[#This Row],[Quantity]]</f>
        <v>120000</v>
      </c>
      <c r="O1878" s="9">
        <f>Table1[[#This Row],[Revenue]]-Table1[[#This Row],[COGS]]</f>
        <v>30000</v>
      </c>
      <c r="P1878" s="6">
        <v>1877</v>
      </c>
    </row>
    <row r="1879" spans="1:16">
      <c r="A1879" s="7" t="s">
        <v>97</v>
      </c>
      <c r="B1879" s="7" t="str">
        <f>TEXT(Table1[[#This Row],[Date]],"MMM")</f>
        <v>Jan</v>
      </c>
      <c r="C1879" t="s">
        <v>49</v>
      </c>
      <c r="D1879" t="s">
        <v>28</v>
      </c>
      <c r="E1879" t="s">
        <v>29</v>
      </c>
      <c r="F1879" t="s">
        <v>37</v>
      </c>
      <c r="G1879" t="s">
        <v>50</v>
      </c>
      <c r="H1879" t="s">
        <v>51</v>
      </c>
      <c r="I1879" s="9">
        <v>300000</v>
      </c>
      <c r="J1879">
        <v>3</v>
      </c>
      <c r="K1879" t="s">
        <v>47</v>
      </c>
      <c r="L1879" s="9">
        <f t="shared" si="29"/>
        <v>240000</v>
      </c>
      <c r="M1879" s="9">
        <f>Table1[[#This Row],[Unit Price]]*Table1[[#This Row],[Quantity]]</f>
        <v>900000</v>
      </c>
      <c r="N1879" s="9">
        <f>Table1[[#This Row],[Cost Price]]*Table1[[#This Row],[Quantity]]</f>
        <v>720000</v>
      </c>
      <c r="O1879" s="9">
        <f>Table1[[#This Row],[Revenue]]-Table1[[#This Row],[COGS]]</f>
        <v>180000</v>
      </c>
      <c r="P1879" s="6">
        <v>1878</v>
      </c>
    </row>
    <row r="1880" spans="1:16">
      <c r="A1880" s="7" t="s">
        <v>97</v>
      </c>
      <c r="B1880" s="7" t="str">
        <f>TEXT(Table1[[#This Row],[Date]],"MMM")</f>
        <v>Jan</v>
      </c>
      <c r="C1880" t="s">
        <v>49</v>
      </c>
      <c r="D1880" t="s">
        <v>28</v>
      </c>
      <c r="E1880" t="s">
        <v>29</v>
      </c>
      <c r="F1880" t="s">
        <v>30</v>
      </c>
      <c r="G1880" t="s">
        <v>50</v>
      </c>
      <c r="H1880" t="s">
        <v>51</v>
      </c>
      <c r="I1880" s="9">
        <v>300000</v>
      </c>
      <c r="J1880">
        <v>8</v>
      </c>
      <c r="K1880" t="s">
        <v>65</v>
      </c>
      <c r="L1880" s="9">
        <f t="shared" si="29"/>
        <v>240000</v>
      </c>
      <c r="M1880" s="9">
        <f>Table1[[#This Row],[Unit Price]]*Table1[[#This Row],[Quantity]]</f>
        <v>2400000</v>
      </c>
      <c r="N1880" s="9">
        <f>Table1[[#This Row],[Cost Price]]*Table1[[#This Row],[Quantity]]</f>
        <v>1920000</v>
      </c>
      <c r="O1880" s="9">
        <f>Table1[[#This Row],[Revenue]]-Table1[[#This Row],[COGS]]</f>
        <v>480000</v>
      </c>
      <c r="P1880" s="6">
        <v>1879</v>
      </c>
    </row>
    <row r="1881" spans="1:16">
      <c r="A1881" s="7" t="s">
        <v>101</v>
      </c>
      <c r="B1881" s="7" t="str">
        <f>TEXT(Table1[[#This Row],[Date]],"MMM")</f>
        <v>Jan</v>
      </c>
      <c r="C1881" t="s">
        <v>35</v>
      </c>
      <c r="D1881" t="s">
        <v>28</v>
      </c>
      <c r="E1881" t="s">
        <v>41</v>
      </c>
      <c r="F1881" t="s">
        <v>30</v>
      </c>
      <c r="G1881" t="s">
        <v>50</v>
      </c>
      <c r="H1881" t="s">
        <v>51</v>
      </c>
      <c r="I1881" s="9">
        <v>300000</v>
      </c>
      <c r="J1881">
        <v>9</v>
      </c>
      <c r="K1881" t="s">
        <v>33</v>
      </c>
      <c r="L1881" s="9">
        <f t="shared" si="29"/>
        <v>240000</v>
      </c>
      <c r="M1881" s="9">
        <f>Table1[[#This Row],[Unit Price]]*Table1[[#This Row],[Quantity]]</f>
        <v>2700000</v>
      </c>
      <c r="N1881" s="9">
        <f>Table1[[#This Row],[Cost Price]]*Table1[[#This Row],[Quantity]]</f>
        <v>2160000</v>
      </c>
      <c r="O1881" s="9">
        <f>Table1[[#This Row],[Revenue]]-Table1[[#This Row],[COGS]]</f>
        <v>540000</v>
      </c>
      <c r="P1881" s="6">
        <v>1880</v>
      </c>
    </row>
    <row r="1882" spans="1:16">
      <c r="A1882" s="7" t="s">
        <v>158</v>
      </c>
      <c r="B1882" s="7" t="str">
        <f>TEXT(Table1[[#This Row],[Date]],"MMM")</f>
        <v>Jan</v>
      </c>
      <c r="C1882" t="s">
        <v>49</v>
      </c>
      <c r="D1882" t="s">
        <v>36</v>
      </c>
      <c r="E1882" t="s">
        <v>29</v>
      </c>
      <c r="F1882" t="s">
        <v>30</v>
      </c>
      <c r="G1882" t="s">
        <v>50</v>
      </c>
      <c r="H1882" t="s">
        <v>51</v>
      </c>
      <c r="I1882" s="9">
        <v>300000</v>
      </c>
      <c r="J1882">
        <v>2</v>
      </c>
      <c r="K1882" t="s">
        <v>58</v>
      </c>
      <c r="L1882" s="9">
        <f t="shared" si="29"/>
        <v>240000</v>
      </c>
      <c r="M1882" s="9">
        <f>Table1[[#This Row],[Unit Price]]*Table1[[#This Row],[Quantity]]</f>
        <v>600000</v>
      </c>
      <c r="N1882" s="9">
        <f>Table1[[#This Row],[Cost Price]]*Table1[[#This Row],[Quantity]]</f>
        <v>480000</v>
      </c>
      <c r="O1882" s="9">
        <f>Table1[[#This Row],[Revenue]]-Table1[[#This Row],[COGS]]</f>
        <v>120000</v>
      </c>
      <c r="P1882" s="6">
        <v>1881</v>
      </c>
    </row>
    <row r="1883" spans="1:16">
      <c r="A1883" s="7" t="s">
        <v>171</v>
      </c>
      <c r="B1883" s="7" t="str">
        <f>TEXT(Table1[[#This Row],[Date]],"MMM")</f>
        <v>Mar</v>
      </c>
      <c r="C1883" t="s">
        <v>49</v>
      </c>
      <c r="D1883" t="s">
        <v>28</v>
      </c>
      <c r="E1883" t="s">
        <v>41</v>
      </c>
      <c r="F1883" t="s">
        <v>37</v>
      </c>
      <c r="G1883" t="s">
        <v>50</v>
      </c>
      <c r="H1883" t="s">
        <v>51</v>
      </c>
      <c r="I1883" s="9">
        <v>300000</v>
      </c>
      <c r="J1883">
        <v>10</v>
      </c>
      <c r="K1883" t="s">
        <v>47</v>
      </c>
      <c r="L1883" s="9">
        <f t="shared" si="29"/>
        <v>240000</v>
      </c>
      <c r="M1883" s="9">
        <f>Table1[[#This Row],[Unit Price]]*Table1[[#This Row],[Quantity]]</f>
        <v>3000000</v>
      </c>
      <c r="N1883" s="9">
        <f>Table1[[#This Row],[Cost Price]]*Table1[[#This Row],[Quantity]]</f>
        <v>2400000</v>
      </c>
      <c r="O1883" s="9">
        <f>Table1[[#This Row],[Revenue]]-Table1[[#This Row],[COGS]]</f>
        <v>600000</v>
      </c>
      <c r="P1883" s="6">
        <v>1882</v>
      </c>
    </row>
    <row r="1884" spans="1:16">
      <c r="A1884" s="7" t="s">
        <v>100</v>
      </c>
      <c r="B1884" s="7" t="str">
        <f>TEXT(Table1[[#This Row],[Date]],"MMM")</f>
        <v>Jan</v>
      </c>
      <c r="C1884" t="s">
        <v>27</v>
      </c>
      <c r="D1884" t="s">
        <v>45</v>
      </c>
      <c r="E1884" t="s">
        <v>41</v>
      </c>
      <c r="F1884" t="s">
        <v>37</v>
      </c>
      <c r="G1884" t="s">
        <v>73</v>
      </c>
      <c r="H1884" t="s">
        <v>39</v>
      </c>
      <c r="I1884" s="9">
        <v>220000</v>
      </c>
      <c r="J1884">
        <v>4</v>
      </c>
      <c r="K1884" t="s">
        <v>65</v>
      </c>
      <c r="L1884" s="9">
        <f t="shared" si="29"/>
        <v>176000</v>
      </c>
      <c r="M1884" s="9">
        <f>Table1[[#This Row],[Unit Price]]*Table1[[#This Row],[Quantity]]</f>
        <v>880000</v>
      </c>
      <c r="N1884" s="9">
        <f>Table1[[#This Row],[Cost Price]]*Table1[[#This Row],[Quantity]]</f>
        <v>704000</v>
      </c>
      <c r="O1884" s="9">
        <f>Table1[[#This Row],[Revenue]]-Table1[[#This Row],[COGS]]</f>
        <v>176000</v>
      </c>
      <c r="P1884" s="6">
        <v>1883</v>
      </c>
    </row>
    <row r="1885" spans="1:16">
      <c r="A1885" s="7" t="s">
        <v>43</v>
      </c>
      <c r="B1885" s="7" t="str">
        <f>TEXT(Table1[[#This Row],[Date]],"MMM")</f>
        <v>Apr</v>
      </c>
      <c r="C1885" t="s">
        <v>49</v>
      </c>
      <c r="D1885" t="s">
        <v>36</v>
      </c>
      <c r="E1885" t="s">
        <v>41</v>
      </c>
      <c r="F1885" t="s">
        <v>30</v>
      </c>
      <c r="G1885" t="s">
        <v>31</v>
      </c>
      <c r="H1885" t="s">
        <v>32</v>
      </c>
      <c r="I1885" s="9">
        <v>85000</v>
      </c>
      <c r="J1885">
        <v>6</v>
      </c>
      <c r="K1885" t="s">
        <v>65</v>
      </c>
      <c r="L1885" s="9">
        <f t="shared" si="29"/>
        <v>68000</v>
      </c>
      <c r="M1885" s="9">
        <f>Table1[[#This Row],[Unit Price]]*Table1[[#This Row],[Quantity]]</f>
        <v>510000</v>
      </c>
      <c r="N1885" s="9">
        <f>Table1[[#This Row],[Cost Price]]*Table1[[#This Row],[Quantity]]</f>
        <v>408000</v>
      </c>
      <c r="O1885" s="9">
        <f>Table1[[#This Row],[Revenue]]-Table1[[#This Row],[COGS]]</f>
        <v>102000</v>
      </c>
      <c r="P1885" s="6">
        <v>1884</v>
      </c>
    </row>
    <row r="1886" spans="1:16">
      <c r="A1886" s="7" t="s">
        <v>172</v>
      </c>
      <c r="B1886" s="7" t="str">
        <f>TEXT(Table1[[#This Row],[Date]],"MMM")</f>
        <v>Mar</v>
      </c>
      <c r="C1886" t="s">
        <v>27</v>
      </c>
      <c r="D1886" t="s">
        <v>45</v>
      </c>
      <c r="E1886" t="s">
        <v>41</v>
      </c>
      <c r="F1886" t="s">
        <v>37</v>
      </c>
      <c r="G1886" t="s">
        <v>46</v>
      </c>
      <c r="H1886" t="s">
        <v>39</v>
      </c>
      <c r="I1886" s="9">
        <v>60000</v>
      </c>
      <c r="J1886">
        <v>4</v>
      </c>
      <c r="K1886" t="s">
        <v>47</v>
      </c>
      <c r="L1886" s="9">
        <f t="shared" si="29"/>
        <v>48000</v>
      </c>
      <c r="M1886" s="9">
        <f>Table1[[#This Row],[Unit Price]]*Table1[[#This Row],[Quantity]]</f>
        <v>240000</v>
      </c>
      <c r="N1886" s="9">
        <f>Table1[[#This Row],[Cost Price]]*Table1[[#This Row],[Quantity]]</f>
        <v>192000</v>
      </c>
      <c r="O1886" s="9">
        <f>Table1[[#This Row],[Revenue]]-Table1[[#This Row],[COGS]]</f>
        <v>48000</v>
      </c>
      <c r="P1886" s="6">
        <v>1885</v>
      </c>
    </row>
    <row r="1887" spans="1:16">
      <c r="A1887" s="7" t="s">
        <v>163</v>
      </c>
      <c r="B1887" s="7" t="str">
        <f>TEXT(Table1[[#This Row],[Date]],"MMM")</f>
        <v>Apr</v>
      </c>
      <c r="C1887" t="s">
        <v>35</v>
      </c>
      <c r="D1887" t="s">
        <v>28</v>
      </c>
      <c r="E1887" t="s">
        <v>29</v>
      </c>
      <c r="F1887" t="s">
        <v>37</v>
      </c>
      <c r="G1887" t="s">
        <v>73</v>
      </c>
      <c r="H1887" t="s">
        <v>39</v>
      </c>
      <c r="I1887" s="9">
        <v>220000</v>
      </c>
      <c r="J1887">
        <v>2</v>
      </c>
      <c r="K1887" t="s">
        <v>42</v>
      </c>
      <c r="L1887" s="9">
        <f t="shared" si="29"/>
        <v>176000</v>
      </c>
      <c r="M1887" s="9">
        <f>Table1[[#This Row],[Unit Price]]*Table1[[#This Row],[Quantity]]</f>
        <v>440000</v>
      </c>
      <c r="N1887" s="9">
        <f>Table1[[#This Row],[Cost Price]]*Table1[[#This Row],[Quantity]]</f>
        <v>352000</v>
      </c>
      <c r="O1887" s="9">
        <f>Table1[[#This Row],[Revenue]]-Table1[[#This Row],[COGS]]</f>
        <v>88000</v>
      </c>
      <c r="P1887" s="6">
        <v>1886</v>
      </c>
    </row>
    <row r="1888" spans="1:16">
      <c r="A1888" s="7" t="s">
        <v>68</v>
      </c>
      <c r="B1888" s="7" t="str">
        <f>TEXT(Table1[[#This Row],[Date]],"MMM")</f>
        <v>Mar</v>
      </c>
      <c r="C1888" t="s">
        <v>35</v>
      </c>
      <c r="D1888" t="s">
        <v>53</v>
      </c>
      <c r="E1888" t="s">
        <v>41</v>
      </c>
      <c r="F1888" t="s">
        <v>30</v>
      </c>
      <c r="G1888" t="s">
        <v>50</v>
      </c>
      <c r="H1888" t="s">
        <v>51</v>
      </c>
      <c r="I1888" s="9">
        <v>300000</v>
      </c>
      <c r="J1888">
        <v>3</v>
      </c>
      <c r="K1888" t="s">
        <v>33</v>
      </c>
      <c r="L1888" s="9">
        <f t="shared" si="29"/>
        <v>240000</v>
      </c>
      <c r="M1888" s="9">
        <f>Table1[[#This Row],[Unit Price]]*Table1[[#This Row],[Quantity]]</f>
        <v>900000</v>
      </c>
      <c r="N1888" s="9">
        <f>Table1[[#This Row],[Cost Price]]*Table1[[#This Row],[Quantity]]</f>
        <v>720000</v>
      </c>
      <c r="O1888" s="9">
        <f>Table1[[#This Row],[Revenue]]-Table1[[#This Row],[COGS]]</f>
        <v>180000</v>
      </c>
      <c r="P1888" s="6">
        <v>1887</v>
      </c>
    </row>
    <row r="1889" spans="1:16">
      <c r="A1889" s="7" t="s">
        <v>149</v>
      </c>
      <c r="B1889" s="7" t="str">
        <f>TEXT(Table1[[#This Row],[Date]],"MMM")</f>
        <v>Apr</v>
      </c>
      <c r="C1889" t="s">
        <v>44</v>
      </c>
      <c r="D1889" t="s">
        <v>28</v>
      </c>
      <c r="E1889" t="s">
        <v>41</v>
      </c>
      <c r="F1889" t="s">
        <v>30</v>
      </c>
      <c r="G1889" t="s">
        <v>73</v>
      </c>
      <c r="H1889" t="s">
        <v>39</v>
      </c>
      <c r="I1889" s="9">
        <v>220000</v>
      </c>
      <c r="J1889">
        <v>8</v>
      </c>
      <c r="K1889" t="s">
        <v>69</v>
      </c>
      <c r="L1889" s="9">
        <f t="shared" si="29"/>
        <v>176000</v>
      </c>
      <c r="M1889" s="9">
        <f>Table1[[#This Row],[Unit Price]]*Table1[[#This Row],[Quantity]]</f>
        <v>1760000</v>
      </c>
      <c r="N1889" s="9">
        <f>Table1[[#This Row],[Cost Price]]*Table1[[#This Row],[Quantity]]</f>
        <v>1408000</v>
      </c>
      <c r="O1889" s="9">
        <f>Table1[[#This Row],[Revenue]]-Table1[[#This Row],[COGS]]</f>
        <v>352000</v>
      </c>
      <c r="P1889" s="6">
        <v>1888</v>
      </c>
    </row>
    <row r="1890" spans="1:16">
      <c r="A1890" s="7" t="s">
        <v>132</v>
      </c>
      <c r="B1890" s="7" t="str">
        <f>TEXT(Table1[[#This Row],[Date]],"MMM")</f>
        <v>Apr</v>
      </c>
      <c r="C1890" t="s">
        <v>27</v>
      </c>
      <c r="D1890" t="s">
        <v>28</v>
      </c>
      <c r="E1890" t="s">
        <v>29</v>
      </c>
      <c r="F1890" t="s">
        <v>30</v>
      </c>
      <c r="G1890" t="s">
        <v>71</v>
      </c>
      <c r="H1890" t="s">
        <v>51</v>
      </c>
      <c r="I1890" s="9">
        <v>250000</v>
      </c>
      <c r="J1890">
        <v>8</v>
      </c>
      <c r="K1890" t="s">
        <v>65</v>
      </c>
      <c r="L1890" s="9">
        <f t="shared" si="29"/>
        <v>200000</v>
      </c>
      <c r="M1890" s="9">
        <f>Table1[[#This Row],[Unit Price]]*Table1[[#This Row],[Quantity]]</f>
        <v>2000000</v>
      </c>
      <c r="N1890" s="9">
        <f>Table1[[#This Row],[Cost Price]]*Table1[[#This Row],[Quantity]]</f>
        <v>1600000</v>
      </c>
      <c r="O1890" s="9">
        <f>Table1[[#This Row],[Revenue]]-Table1[[#This Row],[COGS]]</f>
        <v>400000</v>
      </c>
      <c r="P1890" s="6">
        <v>1889</v>
      </c>
    </row>
    <row r="1891" spans="1:16">
      <c r="A1891" s="7" t="s">
        <v>172</v>
      </c>
      <c r="B1891" s="7" t="str">
        <f>TEXT(Table1[[#This Row],[Date]],"MMM")</f>
        <v>Mar</v>
      </c>
      <c r="C1891" t="s">
        <v>44</v>
      </c>
      <c r="D1891" t="s">
        <v>28</v>
      </c>
      <c r="E1891" t="s">
        <v>29</v>
      </c>
      <c r="F1891" t="s">
        <v>30</v>
      </c>
      <c r="G1891" t="s">
        <v>31</v>
      </c>
      <c r="H1891" t="s">
        <v>32</v>
      </c>
      <c r="I1891" s="9">
        <v>85000</v>
      </c>
      <c r="J1891">
        <v>2</v>
      </c>
      <c r="K1891" t="s">
        <v>33</v>
      </c>
      <c r="L1891" s="9">
        <f t="shared" si="29"/>
        <v>68000</v>
      </c>
      <c r="M1891" s="9">
        <f>Table1[[#This Row],[Unit Price]]*Table1[[#This Row],[Quantity]]</f>
        <v>170000</v>
      </c>
      <c r="N1891" s="9">
        <f>Table1[[#This Row],[Cost Price]]*Table1[[#This Row],[Quantity]]</f>
        <v>136000</v>
      </c>
      <c r="O1891" s="9">
        <f>Table1[[#This Row],[Revenue]]-Table1[[#This Row],[COGS]]</f>
        <v>34000</v>
      </c>
      <c r="P1891" s="6">
        <v>1890</v>
      </c>
    </row>
    <row r="1892" spans="1:16">
      <c r="A1892" s="7" t="s">
        <v>121</v>
      </c>
      <c r="B1892" s="7" t="str">
        <f>TEXT(Table1[[#This Row],[Date]],"MMM")</f>
        <v>Apr</v>
      </c>
      <c r="C1892" t="s">
        <v>49</v>
      </c>
      <c r="D1892" t="s">
        <v>45</v>
      </c>
      <c r="E1892" t="s">
        <v>41</v>
      </c>
      <c r="F1892" t="s">
        <v>37</v>
      </c>
      <c r="G1892" t="s">
        <v>62</v>
      </c>
      <c r="H1892" t="s">
        <v>51</v>
      </c>
      <c r="I1892" s="9">
        <v>150000</v>
      </c>
      <c r="J1892">
        <v>7</v>
      </c>
      <c r="K1892" t="s">
        <v>65</v>
      </c>
      <c r="L1892" s="9">
        <f t="shared" si="29"/>
        <v>120000</v>
      </c>
      <c r="M1892" s="9">
        <f>Table1[[#This Row],[Unit Price]]*Table1[[#This Row],[Quantity]]</f>
        <v>1050000</v>
      </c>
      <c r="N1892" s="9">
        <f>Table1[[#This Row],[Cost Price]]*Table1[[#This Row],[Quantity]]</f>
        <v>840000</v>
      </c>
      <c r="O1892" s="9">
        <f>Table1[[#This Row],[Revenue]]-Table1[[#This Row],[COGS]]</f>
        <v>210000</v>
      </c>
      <c r="P1892" s="6">
        <v>1891</v>
      </c>
    </row>
    <row r="1893" spans="1:16">
      <c r="A1893" s="7" t="s">
        <v>128</v>
      </c>
      <c r="B1893" s="7" t="str">
        <f>TEXT(Table1[[#This Row],[Date]],"MMM")</f>
        <v>Mar</v>
      </c>
      <c r="C1893" t="s">
        <v>44</v>
      </c>
      <c r="D1893" t="s">
        <v>45</v>
      </c>
      <c r="E1893" t="s">
        <v>29</v>
      </c>
      <c r="F1893" t="s">
        <v>30</v>
      </c>
      <c r="G1893" t="s">
        <v>38</v>
      </c>
      <c r="H1893" t="s">
        <v>39</v>
      </c>
      <c r="I1893" s="9">
        <v>30000</v>
      </c>
      <c r="J1893">
        <v>8</v>
      </c>
      <c r="K1893" t="s">
        <v>47</v>
      </c>
      <c r="L1893" s="9">
        <f t="shared" si="29"/>
        <v>24000</v>
      </c>
      <c r="M1893" s="9">
        <f>Table1[[#This Row],[Unit Price]]*Table1[[#This Row],[Quantity]]</f>
        <v>240000</v>
      </c>
      <c r="N1893" s="9">
        <f>Table1[[#This Row],[Cost Price]]*Table1[[#This Row],[Quantity]]</f>
        <v>192000</v>
      </c>
      <c r="O1893" s="9">
        <f>Table1[[#This Row],[Revenue]]-Table1[[#This Row],[COGS]]</f>
        <v>48000</v>
      </c>
      <c r="P1893" s="6">
        <v>1892</v>
      </c>
    </row>
    <row r="1894" spans="1:16">
      <c r="A1894" s="7" t="s">
        <v>139</v>
      </c>
      <c r="B1894" s="7" t="str">
        <f>TEXT(Table1[[#This Row],[Date]],"MMM")</f>
        <v>Jan</v>
      </c>
      <c r="C1894" t="s">
        <v>27</v>
      </c>
      <c r="D1894" t="s">
        <v>28</v>
      </c>
      <c r="E1894" t="s">
        <v>41</v>
      </c>
      <c r="F1894" t="s">
        <v>30</v>
      </c>
      <c r="G1894" t="s">
        <v>31</v>
      </c>
      <c r="H1894" t="s">
        <v>32</v>
      </c>
      <c r="I1894" s="9">
        <v>85000</v>
      </c>
      <c r="J1894">
        <v>2</v>
      </c>
      <c r="K1894" t="s">
        <v>65</v>
      </c>
      <c r="L1894" s="9">
        <f t="shared" si="29"/>
        <v>68000</v>
      </c>
      <c r="M1894" s="9">
        <f>Table1[[#This Row],[Unit Price]]*Table1[[#This Row],[Quantity]]</f>
        <v>170000</v>
      </c>
      <c r="N1894" s="9">
        <f>Table1[[#This Row],[Cost Price]]*Table1[[#This Row],[Quantity]]</f>
        <v>136000</v>
      </c>
      <c r="O1894" s="9">
        <f>Table1[[#This Row],[Revenue]]-Table1[[#This Row],[COGS]]</f>
        <v>34000</v>
      </c>
      <c r="P1894" s="6">
        <v>1893</v>
      </c>
    </row>
    <row r="1895" spans="1:16">
      <c r="A1895" s="7" t="s">
        <v>105</v>
      </c>
      <c r="B1895" s="7" t="str">
        <f>TEXT(Table1[[#This Row],[Date]],"MMM")</f>
        <v>Mar</v>
      </c>
      <c r="C1895" t="s">
        <v>27</v>
      </c>
      <c r="D1895" t="s">
        <v>53</v>
      </c>
      <c r="E1895" t="s">
        <v>29</v>
      </c>
      <c r="F1895" t="s">
        <v>30</v>
      </c>
      <c r="G1895" t="s">
        <v>54</v>
      </c>
      <c r="H1895" t="s">
        <v>39</v>
      </c>
      <c r="I1895" s="9">
        <v>180000</v>
      </c>
      <c r="J1895">
        <v>5</v>
      </c>
      <c r="K1895" t="s">
        <v>42</v>
      </c>
      <c r="L1895" s="9">
        <f t="shared" si="29"/>
        <v>144000</v>
      </c>
      <c r="M1895" s="9">
        <f>Table1[[#This Row],[Unit Price]]*Table1[[#This Row],[Quantity]]</f>
        <v>900000</v>
      </c>
      <c r="N1895" s="9">
        <f>Table1[[#This Row],[Cost Price]]*Table1[[#This Row],[Quantity]]</f>
        <v>720000</v>
      </c>
      <c r="O1895" s="9">
        <f>Table1[[#This Row],[Revenue]]-Table1[[#This Row],[COGS]]</f>
        <v>180000</v>
      </c>
      <c r="P1895" s="6">
        <v>1894</v>
      </c>
    </row>
    <row r="1896" spans="1:16">
      <c r="A1896" s="7" t="s">
        <v>171</v>
      </c>
      <c r="B1896" s="7" t="str">
        <f>TEXT(Table1[[#This Row],[Date]],"MMM")</f>
        <v>Mar</v>
      </c>
      <c r="C1896" t="s">
        <v>27</v>
      </c>
      <c r="D1896" t="s">
        <v>45</v>
      </c>
      <c r="E1896" t="s">
        <v>29</v>
      </c>
      <c r="F1896" t="s">
        <v>30</v>
      </c>
      <c r="G1896" t="s">
        <v>31</v>
      </c>
      <c r="H1896" t="s">
        <v>32</v>
      </c>
      <c r="I1896" s="9">
        <v>85000</v>
      </c>
      <c r="J1896">
        <v>9</v>
      </c>
      <c r="K1896" t="s">
        <v>65</v>
      </c>
      <c r="L1896" s="9">
        <f t="shared" si="29"/>
        <v>68000</v>
      </c>
      <c r="M1896" s="9">
        <f>Table1[[#This Row],[Unit Price]]*Table1[[#This Row],[Quantity]]</f>
        <v>765000</v>
      </c>
      <c r="N1896" s="9">
        <f>Table1[[#This Row],[Cost Price]]*Table1[[#This Row],[Quantity]]</f>
        <v>612000</v>
      </c>
      <c r="O1896" s="9">
        <f>Table1[[#This Row],[Revenue]]-Table1[[#This Row],[COGS]]</f>
        <v>153000</v>
      </c>
      <c r="P1896" s="6">
        <v>1895</v>
      </c>
    </row>
    <row r="1897" spans="1:16">
      <c r="A1897" s="7" t="s">
        <v>146</v>
      </c>
      <c r="B1897" s="7" t="str">
        <f>TEXT(Table1[[#This Row],[Date]],"MMM")</f>
        <v>Jan</v>
      </c>
      <c r="C1897" t="s">
        <v>27</v>
      </c>
      <c r="D1897" t="s">
        <v>53</v>
      </c>
      <c r="E1897" t="s">
        <v>41</v>
      </c>
      <c r="F1897" t="s">
        <v>30</v>
      </c>
      <c r="G1897" t="s">
        <v>67</v>
      </c>
      <c r="H1897" t="s">
        <v>51</v>
      </c>
      <c r="I1897" s="9">
        <v>420000</v>
      </c>
      <c r="J1897">
        <v>9</v>
      </c>
      <c r="K1897" t="s">
        <v>42</v>
      </c>
      <c r="L1897" s="9">
        <f t="shared" si="29"/>
        <v>336000</v>
      </c>
      <c r="M1897" s="9">
        <f>Table1[[#This Row],[Unit Price]]*Table1[[#This Row],[Quantity]]</f>
        <v>3780000</v>
      </c>
      <c r="N1897" s="9">
        <f>Table1[[#This Row],[Cost Price]]*Table1[[#This Row],[Quantity]]</f>
        <v>3024000</v>
      </c>
      <c r="O1897" s="9">
        <f>Table1[[#This Row],[Revenue]]-Table1[[#This Row],[COGS]]</f>
        <v>756000</v>
      </c>
      <c r="P1897" s="6">
        <v>1896</v>
      </c>
    </row>
    <row r="1898" spans="1:16">
      <c r="A1898" s="7" t="s">
        <v>177</v>
      </c>
      <c r="B1898" s="7" t="str">
        <f>TEXT(Table1[[#This Row],[Date]],"MMM")</f>
        <v>Mar</v>
      </c>
      <c r="C1898" t="s">
        <v>49</v>
      </c>
      <c r="D1898" t="s">
        <v>53</v>
      </c>
      <c r="E1898" t="s">
        <v>29</v>
      </c>
      <c r="F1898" t="s">
        <v>30</v>
      </c>
      <c r="G1898" t="s">
        <v>56</v>
      </c>
      <c r="H1898" t="s">
        <v>32</v>
      </c>
      <c r="I1898" s="9">
        <v>320000</v>
      </c>
      <c r="J1898">
        <v>5</v>
      </c>
      <c r="K1898" t="s">
        <v>33</v>
      </c>
      <c r="L1898" s="9">
        <f t="shared" si="29"/>
        <v>256000</v>
      </c>
      <c r="M1898" s="9">
        <f>Table1[[#This Row],[Unit Price]]*Table1[[#This Row],[Quantity]]</f>
        <v>1600000</v>
      </c>
      <c r="N1898" s="9">
        <f>Table1[[#This Row],[Cost Price]]*Table1[[#This Row],[Quantity]]</f>
        <v>1280000</v>
      </c>
      <c r="O1898" s="9">
        <f>Table1[[#This Row],[Revenue]]-Table1[[#This Row],[COGS]]</f>
        <v>320000</v>
      </c>
      <c r="P1898" s="6">
        <v>1897</v>
      </c>
    </row>
    <row r="1899" spans="1:16">
      <c r="A1899" s="7" t="s">
        <v>163</v>
      </c>
      <c r="B1899" s="7" t="str">
        <f>TEXT(Table1[[#This Row],[Date]],"MMM")</f>
        <v>Apr</v>
      </c>
      <c r="C1899" t="s">
        <v>27</v>
      </c>
      <c r="D1899" t="s">
        <v>36</v>
      </c>
      <c r="E1899" t="s">
        <v>29</v>
      </c>
      <c r="F1899" t="s">
        <v>30</v>
      </c>
      <c r="G1899" t="s">
        <v>56</v>
      </c>
      <c r="H1899" t="s">
        <v>32</v>
      </c>
      <c r="I1899" s="9">
        <v>320000</v>
      </c>
      <c r="J1899">
        <v>1</v>
      </c>
      <c r="K1899" t="s">
        <v>65</v>
      </c>
      <c r="L1899" s="9">
        <f t="shared" si="29"/>
        <v>256000</v>
      </c>
      <c r="M1899" s="9">
        <f>Table1[[#This Row],[Unit Price]]*Table1[[#This Row],[Quantity]]</f>
        <v>320000</v>
      </c>
      <c r="N1899" s="9">
        <f>Table1[[#This Row],[Cost Price]]*Table1[[#This Row],[Quantity]]</f>
        <v>256000</v>
      </c>
      <c r="O1899" s="9">
        <f>Table1[[#This Row],[Revenue]]-Table1[[#This Row],[COGS]]</f>
        <v>64000</v>
      </c>
      <c r="P1899" s="6">
        <v>1898</v>
      </c>
    </row>
    <row r="1900" spans="1:16">
      <c r="A1900" s="7" t="s">
        <v>68</v>
      </c>
      <c r="B1900" s="7" t="str">
        <f>TEXT(Table1[[#This Row],[Date]],"MMM")</f>
        <v>Mar</v>
      </c>
      <c r="C1900" t="s">
        <v>49</v>
      </c>
      <c r="D1900" t="s">
        <v>45</v>
      </c>
      <c r="E1900" t="s">
        <v>29</v>
      </c>
      <c r="F1900" t="s">
        <v>30</v>
      </c>
      <c r="G1900" t="s">
        <v>38</v>
      </c>
      <c r="H1900" t="s">
        <v>39</v>
      </c>
      <c r="I1900" s="9">
        <v>30000</v>
      </c>
      <c r="J1900">
        <v>10</v>
      </c>
      <c r="K1900" t="s">
        <v>58</v>
      </c>
      <c r="L1900" s="9">
        <f t="shared" si="29"/>
        <v>24000</v>
      </c>
      <c r="M1900" s="9">
        <f>Table1[[#This Row],[Unit Price]]*Table1[[#This Row],[Quantity]]</f>
        <v>300000</v>
      </c>
      <c r="N1900" s="9">
        <f>Table1[[#This Row],[Cost Price]]*Table1[[#This Row],[Quantity]]</f>
        <v>240000</v>
      </c>
      <c r="O1900" s="9">
        <f>Table1[[#This Row],[Revenue]]-Table1[[#This Row],[COGS]]</f>
        <v>60000</v>
      </c>
      <c r="P1900" s="6">
        <v>1899</v>
      </c>
    </row>
    <row r="1901" spans="1:16">
      <c r="A1901" s="7" t="s">
        <v>156</v>
      </c>
      <c r="B1901" s="7" t="str">
        <f>TEXT(Table1[[#This Row],[Date]],"MMM")</f>
        <v>Feb</v>
      </c>
      <c r="C1901" t="s">
        <v>35</v>
      </c>
      <c r="D1901" t="s">
        <v>28</v>
      </c>
      <c r="E1901" t="s">
        <v>29</v>
      </c>
      <c r="F1901" t="s">
        <v>37</v>
      </c>
      <c r="G1901" t="s">
        <v>54</v>
      </c>
      <c r="H1901" t="s">
        <v>39</v>
      </c>
      <c r="I1901" s="9">
        <v>180000</v>
      </c>
      <c r="J1901">
        <v>10</v>
      </c>
      <c r="K1901" t="s">
        <v>69</v>
      </c>
      <c r="L1901" s="9">
        <f t="shared" si="29"/>
        <v>144000</v>
      </c>
      <c r="M1901" s="9">
        <f>Table1[[#This Row],[Unit Price]]*Table1[[#This Row],[Quantity]]</f>
        <v>1800000</v>
      </c>
      <c r="N1901" s="9">
        <f>Table1[[#This Row],[Cost Price]]*Table1[[#This Row],[Quantity]]</f>
        <v>1440000</v>
      </c>
      <c r="O1901" s="9">
        <f>Table1[[#This Row],[Revenue]]-Table1[[#This Row],[COGS]]</f>
        <v>360000</v>
      </c>
      <c r="P1901" s="6">
        <v>1900</v>
      </c>
    </row>
    <row r="1902" spans="1:16">
      <c r="A1902" s="7" t="s">
        <v>96</v>
      </c>
      <c r="B1902" s="7" t="str">
        <f>TEXT(Table1[[#This Row],[Date]],"MMM")</f>
        <v>Mar</v>
      </c>
      <c r="C1902" t="s">
        <v>27</v>
      </c>
      <c r="D1902" t="s">
        <v>45</v>
      </c>
      <c r="E1902" t="s">
        <v>41</v>
      </c>
      <c r="F1902" t="s">
        <v>30</v>
      </c>
      <c r="G1902" t="s">
        <v>56</v>
      </c>
      <c r="H1902" t="s">
        <v>32</v>
      </c>
      <c r="I1902" s="9">
        <v>320000</v>
      </c>
      <c r="J1902">
        <v>9</v>
      </c>
      <c r="K1902" t="s">
        <v>47</v>
      </c>
      <c r="L1902" s="9">
        <f t="shared" si="29"/>
        <v>256000</v>
      </c>
      <c r="M1902" s="9">
        <f>Table1[[#This Row],[Unit Price]]*Table1[[#This Row],[Quantity]]</f>
        <v>2880000</v>
      </c>
      <c r="N1902" s="9">
        <f>Table1[[#This Row],[Cost Price]]*Table1[[#This Row],[Quantity]]</f>
        <v>2304000</v>
      </c>
      <c r="O1902" s="9">
        <f>Table1[[#This Row],[Revenue]]-Table1[[#This Row],[COGS]]</f>
        <v>576000</v>
      </c>
      <c r="P1902" s="6">
        <v>1901</v>
      </c>
    </row>
    <row r="1903" spans="1:16">
      <c r="A1903" s="7" t="s">
        <v>101</v>
      </c>
      <c r="B1903" s="7" t="str">
        <f>TEXT(Table1[[#This Row],[Date]],"MMM")</f>
        <v>Jan</v>
      </c>
      <c r="C1903" t="s">
        <v>27</v>
      </c>
      <c r="D1903" t="s">
        <v>53</v>
      </c>
      <c r="E1903" t="s">
        <v>41</v>
      </c>
      <c r="F1903" t="s">
        <v>30</v>
      </c>
      <c r="G1903" t="s">
        <v>67</v>
      </c>
      <c r="H1903" t="s">
        <v>51</v>
      </c>
      <c r="I1903" s="9">
        <v>420000</v>
      </c>
      <c r="J1903">
        <v>2</v>
      </c>
      <c r="K1903" t="s">
        <v>65</v>
      </c>
      <c r="L1903" s="9">
        <f t="shared" si="29"/>
        <v>336000</v>
      </c>
      <c r="M1903" s="9">
        <f>Table1[[#This Row],[Unit Price]]*Table1[[#This Row],[Quantity]]</f>
        <v>840000</v>
      </c>
      <c r="N1903" s="9">
        <f>Table1[[#This Row],[Cost Price]]*Table1[[#This Row],[Quantity]]</f>
        <v>672000</v>
      </c>
      <c r="O1903" s="9">
        <f>Table1[[#This Row],[Revenue]]-Table1[[#This Row],[COGS]]</f>
        <v>168000</v>
      </c>
      <c r="P1903" s="6">
        <v>1902</v>
      </c>
    </row>
    <row r="1904" spans="1:16">
      <c r="A1904" s="7" t="s">
        <v>139</v>
      </c>
      <c r="B1904" s="7" t="str">
        <f>TEXT(Table1[[#This Row],[Date]],"MMM")</f>
        <v>Jan</v>
      </c>
      <c r="C1904" t="s">
        <v>49</v>
      </c>
      <c r="D1904" t="s">
        <v>28</v>
      </c>
      <c r="E1904" t="s">
        <v>29</v>
      </c>
      <c r="F1904" t="s">
        <v>30</v>
      </c>
      <c r="G1904" t="s">
        <v>50</v>
      </c>
      <c r="H1904" t="s">
        <v>51</v>
      </c>
      <c r="I1904" s="9">
        <v>300000</v>
      </c>
      <c r="J1904">
        <v>6</v>
      </c>
      <c r="K1904" t="s">
        <v>47</v>
      </c>
      <c r="L1904" s="9">
        <f t="shared" si="29"/>
        <v>240000</v>
      </c>
      <c r="M1904" s="9">
        <f>Table1[[#This Row],[Unit Price]]*Table1[[#This Row],[Quantity]]</f>
        <v>1800000</v>
      </c>
      <c r="N1904" s="9">
        <f>Table1[[#This Row],[Cost Price]]*Table1[[#This Row],[Quantity]]</f>
        <v>1440000</v>
      </c>
      <c r="O1904" s="9">
        <f>Table1[[#This Row],[Revenue]]-Table1[[#This Row],[COGS]]</f>
        <v>360000</v>
      </c>
      <c r="P1904" s="6">
        <v>1903</v>
      </c>
    </row>
    <row r="1905" spans="1:16">
      <c r="A1905" s="7" t="s">
        <v>139</v>
      </c>
      <c r="B1905" s="7" t="str">
        <f>TEXT(Table1[[#This Row],[Date]],"MMM")</f>
        <v>Jan</v>
      </c>
      <c r="C1905" t="s">
        <v>49</v>
      </c>
      <c r="D1905" t="s">
        <v>45</v>
      </c>
      <c r="E1905" t="s">
        <v>41</v>
      </c>
      <c r="F1905" t="s">
        <v>37</v>
      </c>
      <c r="G1905" t="s">
        <v>38</v>
      </c>
      <c r="H1905" t="s">
        <v>39</v>
      </c>
      <c r="I1905" s="9">
        <v>30000</v>
      </c>
      <c r="J1905">
        <v>4</v>
      </c>
      <c r="K1905" t="s">
        <v>42</v>
      </c>
      <c r="L1905" s="9">
        <f t="shared" si="29"/>
        <v>24000</v>
      </c>
      <c r="M1905" s="9">
        <f>Table1[[#This Row],[Unit Price]]*Table1[[#This Row],[Quantity]]</f>
        <v>120000</v>
      </c>
      <c r="N1905" s="9">
        <f>Table1[[#This Row],[Cost Price]]*Table1[[#This Row],[Quantity]]</f>
        <v>96000</v>
      </c>
      <c r="O1905" s="9">
        <f>Table1[[#This Row],[Revenue]]-Table1[[#This Row],[COGS]]</f>
        <v>24000</v>
      </c>
      <c r="P1905" s="6">
        <v>1904</v>
      </c>
    </row>
    <row r="1906" spans="1:16">
      <c r="A1906" s="7" t="s">
        <v>136</v>
      </c>
      <c r="B1906" s="7" t="str">
        <f>TEXT(Table1[[#This Row],[Date]],"MMM")</f>
        <v>Feb</v>
      </c>
      <c r="C1906" t="s">
        <v>44</v>
      </c>
      <c r="D1906" t="s">
        <v>53</v>
      </c>
      <c r="E1906" t="s">
        <v>41</v>
      </c>
      <c r="F1906" t="s">
        <v>37</v>
      </c>
      <c r="G1906" t="s">
        <v>56</v>
      </c>
      <c r="H1906" t="s">
        <v>32</v>
      </c>
      <c r="I1906" s="9">
        <v>320000</v>
      </c>
      <c r="J1906">
        <v>7</v>
      </c>
      <c r="K1906" t="s">
        <v>47</v>
      </c>
      <c r="L1906" s="9">
        <f t="shared" si="29"/>
        <v>256000</v>
      </c>
      <c r="M1906" s="9">
        <f>Table1[[#This Row],[Unit Price]]*Table1[[#This Row],[Quantity]]</f>
        <v>2240000</v>
      </c>
      <c r="N1906" s="9">
        <f>Table1[[#This Row],[Cost Price]]*Table1[[#This Row],[Quantity]]</f>
        <v>1792000</v>
      </c>
      <c r="O1906" s="9">
        <f>Table1[[#This Row],[Revenue]]-Table1[[#This Row],[COGS]]</f>
        <v>448000</v>
      </c>
      <c r="P1906" s="6">
        <v>1905</v>
      </c>
    </row>
    <row r="1907" spans="1:16">
      <c r="A1907" s="7" t="s">
        <v>158</v>
      </c>
      <c r="B1907" s="7" t="str">
        <f>TEXT(Table1[[#This Row],[Date]],"MMM")</f>
        <v>Jan</v>
      </c>
      <c r="C1907" t="s">
        <v>49</v>
      </c>
      <c r="D1907" t="s">
        <v>45</v>
      </c>
      <c r="E1907" t="s">
        <v>41</v>
      </c>
      <c r="F1907" t="s">
        <v>37</v>
      </c>
      <c r="G1907" t="s">
        <v>56</v>
      </c>
      <c r="H1907" t="s">
        <v>32</v>
      </c>
      <c r="I1907" s="9">
        <v>320000</v>
      </c>
      <c r="J1907">
        <v>1</v>
      </c>
      <c r="K1907" t="s">
        <v>65</v>
      </c>
      <c r="L1907" s="9">
        <f t="shared" si="29"/>
        <v>256000</v>
      </c>
      <c r="M1907" s="9">
        <f>Table1[[#This Row],[Unit Price]]*Table1[[#This Row],[Quantity]]</f>
        <v>320000</v>
      </c>
      <c r="N1907" s="9">
        <f>Table1[[#This Row],[Cost Price]]*Table1[[#This Row],[Quantity]]</f>
        <v>256000</v>
      </c>
      <c r="O1907" s="9">
        <f>Table1[[#This Row],[Revenue]]-Table1[[#This Row],[COGS]]</f>
        <v>64000</v>
      </c>
      <c r="P1907" s="6">
        <v>1906</v>
      </c>
    </row>
    <row r="1908" spans="1:16">
      <c r="A1908" s="7" t="s">
        <v>114</v>
      </c>
      <c r="B1908" s="7" t="str">
        <f>TEXT(Table1[[#This Row],[Date]],"MMM")</f>
        <v>Apr</v>
      </c>
      <c r="C1908" t="s">
        <v>49</v>
      </c>
      <c r="D1908" t="s">
        <v>45</v>
      </c>
      <c r="E1908" t="s">
        <v>41</v>
      </c>
      <c r="F1908" t="s">
        <v>30</v>
      </c>
      <c r="G1908" t="s">
        <v>50</v>
      </c>
      <c r="H1908" t="s">
        <v>51</v>
      </c>
      <c r="I1908" s="9">
        <v>300000</v>
      </c>
      <c r="J1908">
        <v>3</v>
      </c>
      <c r="K1908" t="s">
        <v>58</v>
      </c>
      <c r="L1908" s="9">
        <f t="shared" si="29"/>
        <v>240000</v>
      </c>
      <c r="M1908" s="9">
        <f>Table1[[#This Row],[Unit Price]]*Table1[[#This Row],[Quantity]]</f>
        <v>900000</v>
      </c>
      <c r="N1908" s="9">
        <f>Table1[[#This Row],[Cost Price]]*Table1[[#This Row],[Quantity]]</f>
        <v>720000</v>
      </c>
      <c r="O1908" s="9">
        <f>Table1[[#This Row],[Revenue]]-Table1[[#This Row],[COGS]]</f>
        <v>180000</v>
      </c>
      <c r="P1908" s="6">
        <v>1907</v>
      </c>
    </row>
    <row r="1909" spans="1:16">
      <c r="A1909" s="7" t="s">
        <v>89</v>
      </c>
      <c r="B1909" s="7" t="str">
        <f>TEXT(Table1[[#This Row],[Date]],"MMM")</f>
        <v>Feb</v>
      </c>
      <c r="C1909" t="s">
        <v>49</v>
      </c>
      <c r="D1909" t="s">
        <v>36</v>
      </c>
      <c r="E1909" t="s">
        <v>41</v>
      </c>
      <c r="F1909" t="s">
        <v>30</v>
      </c>
      <c r="G1909" t="s">
        <v>38</v>
      </c>
      <c r="H1909" t="s">
        <v>39</v>
      </c>
      <c r="I1909" s="9">
        <v>30000</v>
      </c>
      <c r="J1909">
        <v>6</v>
      </c>
      <c r="K1909" t="s">
        <v>47</v>
      </c>
      <c r="L1909" s="9">
        <f t="shared" si="29"/>
        <v>24000</v>
      </c>
      <c r="M1909" s="9">
        <f>Table1[[#This Row],[Unit Price]]*Table1[[#This Row],[Quantity]]</f>
        <v>180000</v>
      </c>
      <c r="N1909" s="9">
        <f>Table1[[#This Row],[Cost Price]]*Table1[[#This Row],[Quantity]]</f>
        <v>144000</v>
      </c>
      <c r="O1909" s="9">
        <f>Table1[[#This Row],[Revenue]]-Table1[[#This Row],[COGS]]</f>
        <v>36000</v>
      </c>
      <c r="P1909" s="6">
        <v>1908</v>
      </c>
    </row>
    <row r="1910" spans="1:16">
      <c r="A1910" s="7" t="s">
        <v>103</v>
      </c>
      <c r="B1910" s="7" t="str">
        <f>TEXT(Table1[[#This Row],[Date]],"MMM")</f>
        <v>Mar</v>
      </c>
      <c r="C1910" t="s">
        <v>35</v>
      </c>
      <c r="D1910" t="s">
        <v>45</v>
      </c>
      <c r="E1910" t="s">
        <v>41</v>
      </c>
      <c r="F1910" t="s">
        <v>37</v>
      </c>
      <c r="G1910" t="s">
        <v>73</v>
      </c>
      <c r="H1910" t="s">
        <v>39</v>
      </c>
      <c r="I1910" s="9">
        <v>220000</v>
      </c>
      <c r="J1910">
        <v>1</v>
      </c>
      <c r="K1910" t="s">
        <v>47</v>
      </c>
      <c r="L1910" s="9">
        <f t="shared" si="29"/>
        <v>176000</v>
      </c>
      <c r="M1910" s="9">
        <f>Table1[[#This Row],[Unit Price]]*Table1[[#This Row],[Quantity]]</f>
        <v>220000</v>
      </c>
      <c r="N1910" s="9">
        <f>Table1[[#This Row],[Cost Price]]*Table1[[#This Row],[Quantity]]</f>
        <v>176000</v>
      </c>
      <c r="O1910" s="9">
        <f>Table1[[#This Row],[Revenue]]-Table1[[#This Row],[COGS]]</f>
        <v>44000</v>
      </c>
      <c r="P1910" s="6">
        <v>1909</v>
      </c>
    </row>
    <row r="1911" spans="1:16">
      <c r="A1911" s="7" t="s">
        <v>175</v>
      </c>
      <c r="B1911" s="7" t="str">
        <f>TEXT(Table1[[#This Row],[Date]],"MMM")</f>
        <v>Jan</v>
      </c>
      <c r="C1911" t="s">
        <v>49</v>
      </c>
      <c r="D1911" t="s">
        <v>53</v>
      </c>
      <c r="E1911" t="s">
        <v>29</v>
      </c>
      <c r="F1911" t="s">
        <v>30</v>
      </c>
      <c r="G1911" t="s">
        <v>38</v>
      </c>
      <c r="H1911" t="s">
        <v>39</v>
      </c>
      <c r="I1911" s="9">
        <v>30000</v>
      </c>
      <c r="J1911">
        <v>9</v>
      </c>
      <c r="K1911" t="s">
        <v>58</v>
      </c>
      <c r="L1911" s="9">
        <f t="shared" si="29"/>
        <v>24000</v>
      </c>
      <c r="M1911" s="9">
        <f>Table1[[#This Row],[Unit Price]]*Table1[[#This Row],[Quantity]]</f>
        <v>270000</v>
      </c>
      <c r="N1911" s="9">
        <f>Table1[[#This Row],[Cost Price]]*Table1[[#This Row],[Quantity]]</f>
        <v>216000</v>
      </c>
      <c r="O1911" s="9">
        <f>Table1[[#This Row],[Revenue]]-Table1[[#This Row],[COGS]]</f>
        <v>54000</v>
      </c>
      <c r="P1911" s="6">
        <v>1910</v>
      </c>
    </row>
    <row r="1912" spans="1:16">
      <c r="A1912" s="7" t="s">
        <v>131</v>
      </c>
      <c r="B1912" s="7" t="str">
        <f>TEXT(Table1[[#This Row],[Date]],"MMM")</f>
        <v>Mar</v>
      </c>
      <c r="C1912" t="s">
        <v>27</v>
      </c>
      <c r="D1912" t="s">
        <v>28</v>
      </c>
      <c r="E1912" t="s">
        <v>41</v>
      </c>
      <c r="F1912" t="s">
        <v>30</v>
      </c>
      <c r="G1912" t="s">
        <v>73</v>
      </c>
      <c r="H1912" t="s">
        <v>39</v>
      </c>
      <c r="I1912" s="9">
        <v>220000</v>
      </c>
      <c r="J1912">
        <v>10</v>
      </c>
      <c r="K1912" t="s">
        <v>58</v>
      </c>
      <c r="L1912" s="9">
        <f t="shared" si="29"/>
        <v>176000</v>
      </c>
      <c r="M1912" s="9">
        <f>Table1[[#This Row],[Unit Price]]*Table1[[#This Row],[Quantity]]</f>
        <v>2200000</v>
      </c>
      <c r="N1912" s="9">
        <f>Table1[[#This Row],[Cost Price]]*Table1[[#This Row],[Quantity]]</f>
        <v>1760000</v>
      </c>
      <c r="O1912" s="9">
        <f>Table1[[#This Row],[Revenue]]-Table1[[#This Row],[COGS]]</f>
        <v>440000</v>
      </c>
      <c r="P1912" s="6">
        <v>1911</v>
      </c>
    </row>
    <row r="1913" spans="1:16">
      <c r="A1913" s="7" t="s">
        <v>142</v>
      </c>
      <c r="B1913" s="7" t="str">
        <f>TEXT(Table1[[#This Row],[Date]],"MMM")</f>
        <v>Apr</v>
      </c>
      <c r="C1913" t="s">
        <v>35</v>
      </c>
      <c r="D1913" t="s">
        <v>45</v>
      </c>
      <c r="E1913" t="s">
        <v>29</v>
      </c>
      <c r="F1913" t="s">
        <v>30</v>
      </c>
      <c r="G1913" t="s">
        <v>73</v>
      </c>
      <c r="H1913" t="s">
        <v>39</v>
      </c>
      <c r="I1913" s="9">
        <v>220000</v>
      </c>
      <c r="J1913">
        <v>9</v>
      </c>
      <c r="K1913" t="s">
        <v>33</v>
      </c>
      <c r="L1913" s="9">
        <f t="shared" si="29"/>
        <v>176000</v>
      </c>
      <c r="M1913" s="9">
        <f>Table1[[#This Row],[Unit Price]]*Table1[[#This Row],[Quantity]]</f>
        <v>1980000</v>
      </c>
      <c r="N1913" s="9">
        <f>Table1[[#This Row],[Cost Price]]*Table1[[#This Row],[Quantity]]</f>
        <v>1584000</v>
      </c>
      <c r="O1913" s="9">
        <f>Table1[[#This Row],[Revenue]]-Table1[[#This Row],[COGS]]</f>
        <v>396000</v>
      </c>
      <c r="P1913" s="6">
        <v>1912</v>
      </c>
    </row>
    <row r="1914" spans="1:16">
      <c r="A1914" s="7" t="s">
        <v>141</v>
      </c>
      <c r="B1914" s="7" t="str">
        <f>TEXT(Table1[[#This Row],[Date]],"MMM")</f>
        <v>Mar</v>
      </c>
      <c r="C1914" t="s">
        <v>27</v>
      </c>
      <c r="D1914" t="s">
        <v>53</v>
      </c>
      <c r="E1914" t="s">
        <v>41</v>
      </c>
      <c r="F1914" t="s">
        <v>30</v>
      </c>
      <c r="G1914" t="s">
        <v>46</v>
      </c>
      <c r="H1914" t="s">
        <v>39</v>
      </c>
      <c r="I1914" s="9">
        <v>60000</v>
      </c>
      <c r="J1914">
        <v>4</v>
      </c>
      <c r="K1914" t="s">
        <v>42</v>
      </c>
      <c r="L1914" s="9">
        <f t="shared" si="29"/>
        <v>48000</v>
      </c>
      <c r="M1914" s="9">
        <f>Table1[[#This Row],[Unit Price]]*Table1[[#This Row],[Quantity]]</f>
        <v>240000</v>
      </c>
      <c r="N1914" s="9">
        <f>Table1[[#This Row],[Cost Price]]*Table1[[#This Row],[Quantity]]</f>
        <v>192000</v>
      </c>
      <c r="O1914" s="9">
        <f>Table1[[#This Row],[Revenue]]-Table1[[#This Row],[COGS]]</f>
        <v>48000</v>
      </c>
      <c r="P1914" s="6">
        <v>1913</v>
      </c>
    </row>
    <row r="1915" spans="1:16">
      <c r="A1915" s="7" t="s">
        <v>114</v>
      </c>
      <c r="B1915" s="7" t="str">
        <f>TEXT(Table1[[#This Row],[Date]],"MMM")</f>
        <v>Apr</v>
      </c>
      <c r="C1915" t="s">
        <v>44</v>
      </c>
      <c r="D1915" t="s">
        <v>45</v>
      </c>
      <c r="E1915" t="s">
        <v>41</v>
      </c>
      <c r="F1915" t="s">
        <v>37</v>
      </c>
      <c r="G1915" t="s">
        <v>73</v>
      </c>
      <c r="H1915" t="s">
        <v>39</v>
      </c>
      <c r="I1915" s="9">
        <v>220000</v>
      </c>
      <c r="J1915">
        <v>7</v>
      </c>
      <c r="K1915" t="s">
        <v>42</v>
      </c>
      <c r="L1915" s="9">
        <f t="shared" si="29"/>
        <v>176000</v>
      </c>
      <c r="M1915" s="9">
        <f>Table1[[#This Row],[Unit Price]]*Table1[[#This Row],[Quantity]]</f>
        <v>1540000</v>
      </c>
      <c r="N1915" s="9">
        <f>Table1[[#This Row],[Cost Price]]*Table1[[#This Row],[Quantity]]</f>
        <v>1232000</v>
      </c>
      <c r="O1915" s="9">
        <f>Table1[[#This Row],[Revenue]]-Table1[[#This Row],[COGS]]</f>
        <v>308000</v>
      </c>
      <c r="P1915" s="6">
        <v>1914</v>
      </c>
    </row>
    <row r="1916" spans="1:16">
      <c r="A1916" s="7" t="s">
        <v>103</v>
      </c>
      <c r="B1916" s="7" t="str">
        <f>TEXT(Table1[[#This Row],[Date]],"MMM")</f>
        <v>Mar</v>
      </c>
      <c r="C1916" t="s">
        <v>27</v>
      </c>
      <c r="D1916" t="s">
        <v>45</v>
      </c>
      <c r="E1916" t="s">
        <v>29</v>
      </c>
      <c r="F1916" t="s">
        <v>37</v>
      </c>
      <c r="G1916" t="s">
        <v>56</v>
      </c>
      <c r="H1916" t="s">
        <v>32</v>
      </c>
      <c r="I1916" s="9">
        <v>320000</v>
      </c>
      <c r="J1916">
        <v>9</v>
      </c>
      <c r="K1916" t="s">
        <v>47</v>
      </c>
      <c r="L1916" s="9">
        <f t="shared" si="29"/>
        <v>256000</v>
      </c>
      <c r="M1916" s="9">
        <f>Table1[[#This Row],[Unit Price]]*Table1[[#This Row],[Quantity]]</f>
        <v>2880000</v>
      </c>
      <c r="N1916" s="9">
        <f>Table1[[#This Row],[Cost Price]]*Table1[[#This Row],[Quantity]]</f>
        <v>2304000</v>
      </c>
      <c r="O1916" s="9">
        <f>Table1[[#This Row],[Revenue]]-Table1[[#This Row],[COGS]]</f>
        <v>576000</v>
      </c>
      <c r="P1916" s="6">
        <v>1915</v>
      </c>
    </row>
    <row r="1917" spans="1:16">
      <c r="A1917" s="7" t="s">
        <v>155</v>
      </c>
      <c r="B1917" s="7" t="str">
        <f>TEXT(Table1[[#This Row],[Date]],"MMM")</f>
        <v>Apr</v>
      </c>
      <c r="C1917" t="s">
        <v>27</v>
      </c>
      <c r="D1917" t="s">
        <v>36</v>
      </c>
      <c r="E1917" t="s">
        <v>41</v>
      </c>
      <c r="F1917" t="s">
        <v>37</v>
      </c>
      <c r="G1917" t="s">
        <v>31</v>
      </c>
      <c r="H1917" t="s">
        <v>32</v>
      </c>
      <c r="I1917" s="9">
        <v>85000</v>
      </c>
      <c r="J1917">
        <v>5</v>
      </c>
      <c r="K1917" t="s">
        <v>69</v>
      </c>
      <c r="L1917" s="9">
        <f t="shared" si="29"/>
        <v>68000</v>
      </c>
      <c r="M1917" s="9">
        <f>Table1[[#This Row],[Unit Price]]*Table1[[#This Row],[Quantity]]</f>
        <v>425000</v>
      </c>
      <c r="N1917" s="9">
        <f>Table1[[#This Row],[Cost Price]]*Table1[[#This Row],[Quantity]]</f>
        <v>340000</v>
      </c>
      <c r="O1917" s="9">
        <f>Table1[[#This Row],[Revenue]]-Table1[[#This Row],[COGS]]</f>
        <v>85000</v>
      </c>
      <c r="P1917" s="6">
        <v>1916</v>
      </c>
    </row>
    <row r="1918" spans="1:16">
      <c r="A1918" s="7" t="s">
        <v>170</v>
      </c>
      <c r="B1918" s="7" t="str">
        <f>TEXT(Table1[[#This Row],[Date]],"MMM")</f>
        <v>Jan</v>
      </c>
      <c r="C1918" t="s">
        <v>49</v>
      </c>
      <c r="D1918" t="s">
        <v>53</v>
      </c>
      <c r="E1918" t="s">
        <v>29</v>
      </c>
      <c r="F1918" t="s">
        <v>30</v>
      </c>
      <c r="G1918" t="s">
        <v>71</v>
      </c>
      <c r="H1918" t="s">
        <v>51</v>
      </c>
      <c r="I1918" s="9">
        <v>250000</v>
      </c>
      <c r="J1918">
        <v>10</v>
      </c>
      <c r="K1918" t="s">
        <v>65</v>
      </c>
      <c r="L1918" s="9">
        <f t="shared" si="29"/>
        <v>200000</v>
      </c>
      <c r="M1918" s="9">
        <f>Table1[[#This Row],[Unit Price]]*Table1[[#This Row],[Quantity]]</f>
        <v>2500000</v>
      </c>
      <c r="N1918" s="9">
        <f>Table1[[#This Row],[Cost Price]]*Table1[[#This Row],[Quantity]]</f>
        <v>2000000</v>
      </c>
      <c r="O1918" s="9">
        <f>Table1[[#This Row],[Revenue]]-Table1[[#This Row],[COGS]]</f>
        <v>500000</v>
      </c>
      <c r="P1918" s="6">
        <v>1917</v>
      </c>
    </row>
    <row r="1919" spans="1:16">
      <c r="A1919" s="7" t="s">
        <v>113</v>
      </c>
      <c r="B1919" s="7" t="str">
        <f>TEXT(Table1[[#This Row],[Date]],"MMM")</f>
        <v>Apr</v>
      </c>
      <c r="C1919" t="s">
        <v>35</v>
      </c>
      <c r="D1919" t="s">
        <v>53</v>
      </c>
      <c r="E1919" t="s">
        <v>29</v>
      </c>
      <c r="F1919" t="s">
        <v>37</v>
      </c>
      <c r="G1919" t="s">
        <v>56</v>
      </c>
      <c r="H1919" t="s">
        <v>32</v>
      </c>
      <c r="I1919" s="9">
        <v>320000</v>
      </c>
      <c r="J1919">
        <v>8</v>
      </c>
      <c r="K1919" t="s">
        <v>47</v>
      </c>
      <c r="L1919" s="9">
        <f t="shared" si="29"/>
        <v>256000</v>
      </c>
      <c r="M1919" s="9">
        <f>Table1[[#This Row],[Unit Price]]*Table1[[#This Row],[Quantity]]</f>
        <v>2560000</v>
      </c>
      <c r="N1919" s="9">
        <f>Table1[[#This Row],[Cost Price]]*Table1[[#This Row],[Quantity]]</f>
        <v>2048000</v>
      </c>
      <c r="O1919" s="9">
        <f>Table1[[#This Row],[Revenue]]-Table1[[#This Row],[COGS]]</f>
        <v>512000</v>
      </c>
      <c r="P1919" s="6">
        <v>1918</v>
      </c>
    </row>
    <row r="1920" spans="1:16">
      <c r="A1920" s="7" t="s">
        <v>160</v>
      </c>
      <c r="B1920" s="7" t="str">
        <f>TEXT(Table1[[#This Row],[Date]],"MMM")</f>
        <v>Jan</v>
      </c>
      <c r="C1920" t="s">
        <v>49</v>
      </c>
      <c r="D1920" t="s">
        <v>28</v>
      </c>
      <c r="E1920" t="s">
        <v>41</v>
      </c>
      <c r="F1920" t="s">
        <v>37</v>
      </c>
      <c r="G1920" t="s">
        <v>62</v>
      </c>
      <c r="H1920" t="s">
        <v>51</v>
      </c>
      <c r="I1920" s="9">
        <v>150000</v>
      </c>
      <c r="J1920">
        <v>7</v>
      </c>
      <c r="K1920" t="s">
        <v>58</v>
      </c>
      <c r="L1920" s="9">
        <f t="shared" si="29"/>
        <v>120000</v>
      </c>
      <c r="M1920" s="9">
        <f>Table1[[#This Row],[Unit Price]]*Table1[[#This Row],[Quantity]]</f>
        <v>1050000</v>
      </c>
      <c r="N1920" s="9">
        <f>Table1[[#This Row],[Cost Price]]*Table1[[#This Row],[Quantity]]</f>
        <v>840000</v>
      </c>
      <c r="O1920" s="9">
        <f>Table1[[#This Row],[Revenue]]-Table1[[#This Row],[COGS]]</f>
        <v>210000</v>
      </c>
      <c r="P1920" s="6">
        <v>1919</v>
      </c>
    </row>
    <row r="1921" spans="1:16">
      <c r="A1921" s="7" t="s">
        <v>170</v>
      </c>
      <c r="B1921" s="7" t="str">
        <f>TEXT(Table1[[#This Row],[Date]],"MMM")</f>
        <v>Jan</v>
      </c>
      <c r="C1921" t="s">
        <v>49</v>
      </c>
      <c r="D1921" t="s">
        <v>45</v>
      </c>
      <c r="E1921" t="s">
        <v>29</v>
      </c>
      <c r="F1921" t="s">
        <v>37</v>
      </c>
      <c r="G1921" t="s">
        <v>54</v>
      </c>
      <c r="H1921" t="s">
        <v>39</v>
      </c>
      <c r="I1921" s="9">
        <v>180000</v>
      </c>
      <c r="J1921">
        <v>8</v>
      </c>
      <c r="K1921" t="s">
        <v>58</v>
      </c>
      <c r="L1921" s="9">
        <f t="shared" si="29"/>
        <v>144000</v>
      </c>
      <c r="M1921" s="9">
        <f>Table1[[#This Row],[Unit Price]]*Table1[[#This Row],[Quantity]]</f>
        <v>1440000</v>
      </c>
      <c r="N1921" s="9">
        <f>Table1[[#This Row],[Cost Price]]*Table1[[#This Row],[Quantity]]</f>
        <v>1152000</v>
      </c>
      <c r="O1921" s="9">
        <f>Table1[[#This Row],[Revenue]]-Table1[[#This Row],[COGS]]</f>
        <v>288000</v>
      </c>
      <c r="P1921" s="6">
        <v>1920</v>
      </c>
    </row>
    <row r="1922" spans="1:16">
      <c r="A1922" s="7" t="s">
        <v>99</v>
      </c>
      <c r="B1922" s="7" t="str">
        <f>TEXT(Table1[[#This Row],[Date]],"MMM")</f>
        <v>Apr</v>
      </c>
      <c r="C1922" t="s">
        <v>27</v>
      </c>
      <c r="D1922" t="s">
        <v>53</v>
      </c>
      <c r="E1922" t="s">
        <v>29</v>
      </c>
      <c r="F1922" t="s">
        <v>30</v>
      </c>
      <c r="G1922" t="s">
        <v>56</v>
      </c>
      <c r="H1922" t="s">
        <v>32</v>
      </c>
      <c r="I1922" s="9">
        <v>320000</v>
      </c>
      <c r="J1922">
        <v>10</v>
      </c>
      <c r="K1922" t="s">
        <v>47</v>
      </c>
      <c r="L1922" s="9">
        <f t="shared" ref="L1922:L1985" si="30">I1922-I1922*0.2</f>
        <v>256000</v>
      </c>
      <c r="M1922" s="9">
        <f>Table1[[#This Row],[Unit Price]]*Table1[[#This Row],[Quantity]]</f>
        <v>3200000</v>
      </c>
      <c r="N1922" s="9">
        <f>Table1[[#This Row],[Cost Price]]*Table1[[#This Row],[Quantity]]</f>
        <v>2560000</v>
      </c>
      <c r="O1922" s="9">
        <f>Table1[[#This Row],[Revenue]]-Table1[[#This Row],[COGS]]</f>
        <v>640000</v>
      </c>
      <c r="P1922" s="6">
        <v>1921</v>
      </c>
    </row>
    <row r="1923" spans="1:16">
      <c r="A1923" s="7" t="s">
        <v>107</v>
      </c>
      <c r="B1923" s="7" t="str">
        <f>TEXT(Table1[[#This Row],[Date]],"MMM")</f>
        <v>Feb</v>
      </c>
      <c r="C1923" t="s">
        <v>49</v>
      </c>
      <c r="D1923" t="s">
        <v>28</v>
      </c>
      <c r="E1923" t="s">
        <v>41</v>
      </c>
      <c r="F1923" t="s">
        <v>37</v>
      </c>
      <c r="G1923" t="s">
        <v>62</v>
      </c>
      <c r="H1923" t="s">
        <v>51</v>
      </c>
      <c r="I1923" s="9">
        <v>150000</v>
      </c>
      <c r="J1923">
        <v>7</v>
      </c>
      <c r="K1923" t="s">
        <v>69</v>
      </c>
      <c r="L1923" s="9">
        <f t="shared" si="30"/>
        <v>120000</v>
      </c>
      <c r="M1923" s="9">
        <f>Table1[[#This Row],[Unit Price]]*Table1[[#This Row],[Quantity]]</f>
        <v>1050000</v>
      </c>
      <c r="N1923" s="9">
        <f>Table1[[#This Row],[Cost Price]]*Table1[[#This Row],[Quantity]]</f>
        <v>840000</v>
      </c>
      <c r="O1923" s="9">
        <f>Table1[[#This Row],[Revenue]]-Table1[[#This Row],[COGS]]</f>
        <v>210000</v>
      </c>
      <c r="P1923" s="6">
        <v>1922</v>
      </c>
    </row>
    <row r="1924" spans="1:16">
      <c r="A1924" s="7" t="s">
        <v>129</v>
      </c>
      <c r="B1924" s="7" t="str">
        <f>TEXT(Table1[[#This Row],[Date]],"MMM")</f>
        <v>Mar</v>
      </c>
      <c r="C1924" t="s">
        <v>44</v>
      </c>
      <c r="D1924" t="s">
        <v>36</v>
      </c>
      <c r="E1924" t="s">
        <v>41</v>
      </c>
      <c r="F1924" t="s">
        <v>37</v>
      </c>
      <c r="G1924" t="s">
        <v>73</v>
      </c>
      <c r="H1924" t="s">
        <v>39</v>
      </c>
      <c r="I1924" s="9">
        <v>220000</v>
      </c>
      <c r="J1924">
        <v>1</v>
      </c>
      <c r="K1924" t="s">
        <v>42</v>
      </c>
      <c r="L1924" s="9">
        <f t="shared" si="30"/>
        <v>176000</v>
      </c>
      <c r="M1924" s="9">
        <f>Table1[[#This Row],[Unit Price]]*Table1[[#This Row],[Quantity]]</f>
        <v>220000</v>
      </c>
      <c r="N1924" s="9">
        <f>Table1[[#This Row],[Cost Price]]*Table1[[#This Row],[Quantity]]</f>
        <v>176000</v>
      </c>
      <c r="O1924" s="9">
        <f>Table1[[#This Row],[Revenue]]-Table1[[#This Row],[COGS]]</f>
        <v>44000</v>
      </c>
      <c r="P1924" s="6">
        <v>1923</v>
      </c>
    </row>
    <row r="1925" spans="1:16">
      <c r="A1925" s="7" t="s">
        <v>166</v>
      </c>
      <c r="B1925" s="7" t="str">
        <f>TEXT(Table1[[#This Row],[Date]],"MMM")</f>
        <v>Jan</v>
      </c>
      <c r="C1925" t="s">
        <v>49</v>
      </c>
      <c r="D1925" t="s">
        <v>53</v>
      </c>
      <c r="E1925" t="s">
        <v>41</v>
      </c>
      <c r="F1925" t="s">
        <v>30</v>
      </c>
      <c r="G1925" t="s">
        <v>73</v>
      </c>
      <c r="H1925" t="s">
        <v>39</v>
      </c>
      <c r="I1925" s="9">
        <v>220000</v>
      </c>
      <c r="J1925">
        <v>7</v>
      </c>
      <c r="K1925" t="s">
        <v>42</v>
      </c>
      <c r="L1925" s="9">
        <f t="shared" si="30"/>
        <v>176000</v>
      </c>
      <c r="M1925" s="9">
        <f>Table1[[#This Row],[Unit Price]]*Table1[[#This Row],[Quantity]]</f>
        <v>1540000</v>
      </c>
      <c r="N1925" s="9">
        <f>Table1[[#This Row],[Cost Price]]*Table1[[#This Row],[Quantity]]</f>
        <v>1232000</v>
      </c>
      <c r="O1925" s="9">
        <f>Table1[[#This Row],[Revenue]]-Table1[[#This Row],[COGS]]</f>
        <v>308000</v>
      </c>
      <c r="P1925" s="6">
        <v>1924</v>
      </c>
    </row>
    <row r="1926" spans="1:16">
      <c r="A1926" s="7" t="s">
        <v>174</v>
      </c>
      <c r="B1926" s="7" t="str">
        <f>TEXT(Table1[[#This Row],[Date]],"MMM")</f>
        <v>Feb</v>
      </c>
      <c r="C1926" t="s">
        <v>44</v>
      </c>
      <c r="D1926" t="s">
        <v>53</v>
      </c>
      <c r="E1926" t="s">
        <v>41</v>
      </c>
      <c r="F1926" t="s">
        <v>37</v>
      </c>
      <c r="G1926" t="s">
        <v>62</v>
      </c>
      <c r="H1926" t="s">
        <v>51</v>
      </c>
      <c r="I1926" s="9">
        <v>150000</v>
      </c>
      <c r="J1926">
        <v>6</v>
      </c>
      <c r="K1926" t="s">
        <v>42</v>
      </c>
      <c r="L1926" s="9">
        <f t="shared" si="30"/>
        <v>120000</v>
      </c>
      <c r="M1926" s="9">
        <f>Table1[[#This Row],[Unit Price]]*Table1[[#This Row],[Quantity]]</f>
        <v>900000</v>
      </c>
      <c r="N1926" s="9">
        <f>Table1[[#This Row],[Cost Price]]*Table1[[#This Row],[Quantity]]</f>
        <v>720000</v>
      </c>
      <c r="O1926" s="9">
        <f>Table1[[#This Row],[Revenue]]-Table1[[#This Row],[COGS]]</f>
        <v>180000</v>
      </c>
      <c r="P1926" s="6">
        <v>1925</v>
      </c>
    </row>
    <row r="1927" spans="1:16">
      <c r="A1927" s="7" t="s">
        <v>57</v>
      </c>
      <c r="B1927" s="7" t="str">
        <f>TEXT(Table1[[#This Row],[Date]],"MMM")</f>
        <v>Feb</v>
      </c>
      <c r="C1927" t="s">
        <v>35</v>
      </c>
      <c r="D1927" t="s">
        <v>28</v>
      </c>
      <c r="E1927" t="s">
        <v>29</v>
      </c>
      <c r="F1927" t="s">
        <v>30</v>
      </c>
      <c r="G1927" t="s">
        <v>50</v>
      </c>
      <c r="H1927" t="s">
        <v>51</v>
      </c>
      <c r="I1927" s="9">
        <v>300000</v>
      </c>
      <c r="J1927">
        <v>8</v>
      </c>
      <c r="K1927" t="s">
        <v>47</v>
      </c>
      <c r="L1927" s="9">
        <f t="shared" si="30"/>
        <v>240000</v>
      </c>
      <c r="M1927" s="9">
        <f>Table1[[#This Row],[Unit Price]]*Table1[[#This Row],[Quantity]]</f>
        <v>2400000</v>
      </c>
      <c r="N1927" s="9">
        <f>Table1[[#This Row],[Cost Price]]*Table1[[#This Row],[Quantity]]</f>
        <v>1920000</v>
      </c>
      <c r="O1927" s="9">
        <f>Table1[[#This Row],[Revenue]]-Table1[[#This Row],[COGS]]</f>
        <v>480000</v>
      </c>
      <c r="P1927" s="6">
        <v>1926</v>
      </c>
    </row>
    <row r="1928" spans="1:16">
      <c r="A1928" s="7" t="s">
        <v>117</v>
      </c>
      <c r="B1928" s="7" t="str">
        <f>TEXT(Table1[[#This Row],[Date]],"MMM")</f>
        <v>Jan</v>
      </c>
      <c r="C1928" t="s">
        <v>35</v>
      </c>
      <c r="D1928" t="s">
        <v>53</v>
      </c>
      <c r="E1928" t="s">
        <v>41</v>
      </c>
      <c r="F1928" t="s">
        <v>37</v>
      </c>
      <c r="G1928" t="s">
        <v>67</v>
      </c>
      <c r="H1928" t="s">
        <v>51</v>
      </c>
      <c r="I1928" s="9">
        <v>420000</v>
      </c>
      <c r="J1928">
        <v>10</v>
      </c>
      <c r="K1928" t="s">
        <v>69</v>
      </c>
      <c r="L1928" s="9">
        <f t="shared" si="30"/>
        <v>336000</v>
      </c>
      <c r="M1928" s="9">
        <f>Table1[[#This Row],[Unit Price]]*Table1[[#This Row],[Quantity]]</f>
        <v>4200000</v>
      </c>
      <c r="N1928" s="9">
        <f>Table1[[#This Row],[Cost Price]]*Table1[[#This Row],[Quantity]]</f>
        <v>3360000</v>
      </c>
      <c r="O1928" s="9">
        <f>Table1[[#This Row],[Revenue]]-Table1[[#This Row],[COGS]]</f>
        <v>840000</v>
      </c>
      <c r="P1928" s="6">
        <v>1927</v>
      </c>
    </row>
    <row r="1929" spans="1:16">
      <c r="A1929" s="7" t="s">
        <v>155</v>
      </c>
      <c r="B1929" s="7" t="str">
        <f>TEXT(Table1[[#This Row],[Date]],"MMM")</f>
        <v>Apr</v>
      </c>
      <c r="C1929" t="s">
        <v>49</v>
      </c>
      <c r="D1929" t="s">
        <v>36</v>
      </c>
      <c r="E1929" t="s">
        <v>29</v>
      </c>
      <c r="F1929" t="s">
        <v>37</v>
      </c>
      <c r="G1929" t="s">
        <v>38</v>
      </c>
      <c r="H1929" t="s">
        <v>39</v>
      </c>
      <c r="I1929" s="9">
        <v>30000</v>
      </c>
      <c r="J1929">
        <v>1</v>
      </c>
      <c r="K1929" t="s">
        <v>42</v>
      </c>
      <c r="L1929" s="9">
        <f t="shared" si="30"/>
        <v>24000</v>
      </c>
      <c r="M1929" s="9">
        <f>Table1[[#This Row],[Unit Price]]*Table1[[#This Row],[Quantity]]</f>
        <v>30000</v>
      </c>
      <c r="N1929" s="9">
        <f>Table1[[#This Row],[Cost Price]]*Table1[[#This Row],[Quantity]]</f>
        <v>24000</v>
      </c>
      <c r="O1929" s="9">
        <f>Table1[[#This Row],[Revenue]]-Table1[[#This Row],[COGS]]</f>
        <v>6000</v>
      </c>
      <c r="P1929" s="6">
        <v>1928</v>
      </c>
    </row>
    <row r="1930" spans="1:16">
      <c r="A1930" s="7" t="s">
        <v>98</v>
      </c>
      <c r="B1930" s="7" t="str">
        <f>TEXT(Table1[[#This Row],[Date]],"MMM")</f>
        <v>Jan</v>
      </c>
      <c r="C1930" t="s">
        <v>35</v>
      </c>
      <c r="D1930" t="s">
        <v>28</v>
      </c>
      <c r="E1930" t="s">
        <v>41</v>
      </c>
      <c r="F1930" t="s">
        <v>30</v>
      </c>
      <c r="G1930" t="s">
        <v>67</v>
      </c>
      <c r="H1930" t="s">
        <v>51</v>
      </c>
      <c r="I1930" s="9">
        <v>420000</v>
      </c>
      <c r="J1930">
        <v>7</v>
      </c>
      <c r="K1930" t="s">
        <v>33</v>
      </c>
      <c r="L1930" s="9">
        <f t="shared" si="30"/>
        <v>336000</v>
      </c>
      <c r="M1930" s="9">
        <f>Table1[[#This Row],[Unit Price]]*Table1[[#This Row],[Quantity]]</f>
        <v>2940000</v>
      </c>
      <c r="N1930" s="9">
        <f>Table1[[#This Row],[Cost Price]]*Table1[[#This Row],[Quantity]]</f>
        <v>2352000</v>
      </c>
      <c r="O1930" s="9">
        <f>Table1[[#This Row],[Revenue]]-Table1[[#This Row],[COGS]]</f>
        <v>588000</v>
      </c>
      <c r="P1930" s="6">
        <v>1929</v>
      </c>
    </row>
    <row r="1931" spans="1:16">
      <c r="A1931" s="7" t="s">
        <v>159</v>
      </c>
      <c r="B1931" s="7" t="str">
        <f>TEXT(Table1[[#This Row],[Date]],"MMM")</f>
        <v>Feb</v>
      </c>
      <c r="C1931" t="s">
        <v>49</v>
      </c>
      <c r="D1931" t="s">
        <v>28</v>
      </c>
      <c r="E1931" t="s">
        <v>41</v>
      </c>
      <c r="F1931" t="s">
        <v>37</v>
      </c>
      <c r="G1931" t="s">
        <v>54</v>
      </c>
      <c r="H1931" t="s">
        <v>39</v>
      </c>
      <c r="I1931" s="9">
        <v>180000</v>
      </c>
      <c r="J1931">
        <v>6</v>
      </c>
      <c r="K1931" t="s">
        <v>58</v>
      </c>
      <c r="L1931" s="9">
        <f t="shared" si="30"/>
        <v>144000</v>
      </c>
      <c r="M1931" s="9">
        <f>Table1[[#This Row],[Unit Price]]*Table1[[#This Row],[Quantity]]</f>
        <v>1080000</v>
      </c>
      <c r="N1931" s="9">
        <f>Table1[[#This Row],[Cost Price]]*Table1[[#This Row],[Quantity]]</f>
        <v>864000</v>
      </c>
      <c r="O1931" s="9">
        <f>Table1[[#This Row],[Revenue]]-Table1[[#This Row],[COGS]]</f>
        <v>216000</v>
      </c>
      <c r="P1931" s="6">
        <v>1930</v>
      </c>
    </row>
    <row r="1932" spans="1:16">
      <c r="A1932" s="7" t="s">
        <v>59</v>
      </c>
      <c r="B1932" s="7" t="str">
        <f>TEXT(Table1[[#This Row],[Date]],"MMM")</f>
        <v>Mar</v>
      </c>
      <c r="C1932" t="s">
        <v>44</v>
      </c>
      <c r="D1932" t="s">
        <v>45</v>
      </c>
      <c r="E1932" t="s">
        <v>29</v>
      </c>
      <c r="F1932" t="s">
        <v>30</v>
      </c>
      <c r="G1932" t="s">
        <v>38</v>
      </c>
      <c r="H1932" t="s">
        <v>39</v>
      </c>
      <c r="I1932" s="9">
        <v>30000</v>
      </c>
      <c r="J1932">
        <v>10</v>
      </c>
      <c r="K1932" t="s">
        <v>69</v>
      </c>
      <c r="L1932" s="9">
        <f t="shared" si="30"/>
        <v>24000</v>
      </c>
      <c r="M1932" s="9">
        <f>Table1[[#This Row],[Unit Price]]*Table1[[#This Row],[Quantity]]</f>
        <v>300000</v>
      </c>
      <c r="N1932" s="9">
        <f>Table1[[#This Row],[Cost Price]]*Table1[[#This Row],[Quantity]]</f>
        <v>240000</v>
      </c>
      <c r="O1932" s="9">
        <f>Table1[[#This Row],[Revenue]]-Table1[[#This Row],[COGS]]</f>
        <v>60000</v>
      </c>
      <c r="P1932" s="6">
        <v>1931</v>
      </c>
    </row>
    <row r="1933" spans="1:16">
      <c r="A1933" s="7" t="s">
        <v>136</v>
      </c>
      <c r="B1933" s="7" t="str">
        <f>TEXT(Table1[[#This Row],[Date]],"MMM")</f>
        <v>Feb</v>
      </c>
      <c r="C1933" t="s">
        <v>27</v>
      </c>
      <c r="D1933" t="s">
        <v>28</v>
      </c>
      <c r="E1933" t="s">
        <v>29</v>
      </c>
      <c r="F1933" t="s">
        <v>37</v>
      </c>
      <c r="G1933" t="s">
        <v>73</v>
      </c>
      <c r="H1933" t="s">
        <v>39</v>
      </c>
      <c r="I1933" s="9">
        <v>220000</v>
      </c>
      <c r="J1933">
        <v>1</v>
      </c>
      <c r="K1933" t="s">
        <v>69</v>
      </c>
      <c r="L1933" s="9">
        <f t="shared" si="30"/>
        <v>176000</v>
      </c>
      <c r="M1933" s="9">
        <f>Table1[[#This Row],[Unit Price]]*Table1[[#This Row],[Quantity]]</f>
        <v>220000</v>
      </c>
      <c r="N1933" s="9">
        <f>Table1[[#This Row],[Cost Price]]*Table1[[#This Row],[Quantity]]</f>
        <v>176000</v>
      </c>
      <c r="O1933" s="9">
        <f>Table1[[#This Row],[Revenue]]-Table1[[#This Row],[COGS]]</f>
        <v>44000</v>
      </c>
      <c r="P1933" s="6">
        <v>1932</v>
      </c>
    </row>
    <row r="1934" spans="1:16">
      <c r="A1934" s="7" t="s">
        <v>137</v>
      </c>
      <c r="B1934" s="7" t="str">
        <f>TEXT(Table1[[#This Row],[Date]],"MMM")</f>
        <v>Apr</v>
      </c>
      <c r="C1934" t="s">
        <v>44</v>
      </c>
      <c r="D1934" t="s">
        <v>45</v>
      </c>
      <c r="E1934" t="s">
        <v>29</v>
      </c>
      <c r="F1934" t="s">
        <v>30</v>
      </c>
      <c r="G1934" t="s">
        <v>56</v>
      </c>
      <c r="H1934" t="s">
        <v>32</v>
      </c>
      <c r="I1934" s="9">
        <v>320000</v>
      </c>
      <c r="J1934">
        <v>6</v>
      </c>
      <c r="K1934" t="s">
        <v>58</v>
      </c>
      <c r="L1934" s="9">
        <f t="shared" si="30"/>
        <v>256000</v>
      </c>
      <c r="M1934" s="9">
        <f>Table1[[#This Row],[Unit Price]]*Table1[[#This Row],[Quantity]]</f>
        <v>1920000</v>
      </c>
      <c r="N1934" s="9">
        <f>Table1[[#This Row],[Cost Price]]*Table1[[#This Row],[Quantity]]</f>
        <v>1536000</v>
      </c>
      <c r="O1934" s="9">
        <f>Table1[[#This Row],[Revenue]]-Table1[[#This Row],[COGS]]</f>
        <v>384000</v>
      </c>
      <c r="P1934" s="6">
        <v>1933</v>
      </c>
    </row>
    <row r="1935" spans="1:16">
      <c r="A1935" s="7" t="s">
        <v>105</v>
      </c>
      <c r="B1935" s="7" t="str">
        <f>TEXT(Table1[[#This Row],[Date]],"MMM")</f>
        <v>Mar</v>
      </c>
      <c r="C1935" t="s">
        <v>44</v>
      </c>
      <c r="D1935" t="s">
        <v>53</v>
      </c>
      <c r="E1935" t="s">
        <v>41</v>
      </c>
      <c r="F1935" t="s">
        <v>37</v>
      </c>
      <c r="G1935" t="s">
        <v>46</v>
      </c>
      <c r="H1935" t="s">
        <v>39</v>
      </c>
      <c r="I1935" s="9">
        <v>60000</v>
      </c>
      <c r="J1935">
        <v>10</v>
      </c>
      <c r="K1935" t="s">
        <v>42</v>
      </c>
      <c r="L1935" s="9">
        <f t="shared" si="30"/>
        <v>48000</v>
      </c>
      <c r="M1935" s="9">
        <f>Table1[[#This Row],[Unit Price]]*Table1[[#This Row],[Quantity]]</f>
        <v>600000</v>
      </c>
      <c r="N1935" s="9">
        <f>Table1[[#This Row],[Cost Price]]*Table1[[#This Row],[Quantity]]</f>
        <v>480000</v>
      </c>
      <c r="O1935" s="9">
        <f>Table1[[#This Row],[Revenue]]-Table1[[#This Row],[COGS]]</f>
        <v>120000</v>
      </c>
      <c r="P1935" s="6">
        <v>1934</v>
      </c>
    </row>
    <row r="1936" spans="1:16">
      <c r="A1936" s="7" t="s">
        <v>108</v>
      </c>
      <c r="B1936" s="7" t="str">
        <f>TEXT(Table1[[#This Row],[Date]],"MMM")</f>
        <v>Apr</v>
      </c>
      <c r="C1936" t="s">
        <v>27</v>
      </c>
      <c r="D1936" t="s">
        <v>53</v>
      </c>
      <c r="E1936" t="s">
        <v>29</v>
      </c>
      <c r="F1936" t="s">
        <v>30</v>
      </c>
      <c r="G1936" t="s">
        <v>31</v>
      </c>
      <c r="H1936" t="s">
        <v>32</v>
      </c>
      <c r="I1936" s="9">
        <v>85000</v>
      </c>
      <c r="J1936">
        <v>7</v>
      </c>
      <c r="K1936" t="s">
        <v>69</v>
      </c>
      <c r="L1936" s="9">
        <f t="shared" si="30"/>
        <v>68000</v>
      </c>
      <c r="M1936" s="9">
        <f>Table1[[#This Row],[Unit Price]]*Table1[[#This Row],[Quantity]]</f>
        <v>595000</v>
      </c>
      <c r="N1936" s="9">
        <f>Table1[[#This Row],[Cost Price]]*Table1[[#This Row],[Quantity]]</f>
        <v>476000</v>
      </c>
      <c r="O1936" s="9">
        <f>Table1[[#This Row],[Revenue]]-Table1[[#This Row],[COGS]]</f>
        <v>119000</v>
      </c>
      <c r="P1936" s="6">
        <v>1935</v>
      </c>
    </row>
    <row r="1937" spans="1:16">
      <c r="A1937" s="7" t="s">
        <v>157</v>
      </c>
      <c r="B1937" s="7" t="str">
        <f>TEXT(Table1[[#This Row],[Date]],"MMM")</f>
        <v>Apr</v>
      </c>
      <c r="C1937" t="s">
        <v>35</v>
      </c>
      <c r="D1937" t="s">
        <v>53</v>
      </c>
      <c r="E1937" t="s">
        <v>41</v>
      </c>
      <c r="F1937" t="s">
        <v>30</v>
      </c>
      <c r="G1937" t="s">
        <v>71</v>
      </c>
      <c r="H1937" t="s">
        <v>51</v>
      </c>
      <c r="I1937" s="9">
        <v>250000</v>
      </c>
      <c r="J1937">
        <v>1</v>
      </c>
      <c r="K1937" t="s">
        <v>69</v>
      </c>
      <c r="L1937" s="9">
        <f t="shared" si="30"/>
        <v>200000</v>
      </c>
      <c r="M1937" s="9">
        <f>Table1[[#This Row],[Unit Price]]*Table1[[#This Row],[Quantity]]</f>
        <v>250000</v>
      </c>
      <c r="N1937" s="9">
        <f>Table1[[#This Row],[Cost Price]]*Table1[[#This Row],[Quantity]]</f>
        <v>200000</v>
      </c>
      <c r="O1937" s="9">
        <f>Table1[[#This Row],[Revenue]]-Table1[[#This Row],[COGS]]</f>
        <v>50000</v>
      </c>
      <c r="P1937" s="6">
        <v>1936</v>
      </c>
    </row>
    <row r="1938" spans="1:16">
      <c r="A1938" s="7" t="s">
        <v>116</v>
      </c>
      <c r="B1938" s="7" t="str">
        <f>TEXT(Table1[[#This Row],[Date]],"MMM")</f>
        <v>Apr</v>
      </c>
      <c r="C1938" t="s">
        <v>49</v>
      </c>
      <c r="D1938" t="s">
        <v>53</v>
      </c>
      <c r="E1938" t="s">
        <v>41</v>
      </c>
      <c r="F1938" t="s">
        <v>37</v>
      </c>
      <c r="G1938" t="s">
        <v>73</v>
      </c>
      <c r="H1938" t="s">
        <v>39</v>
      </c>
      <c r="I1938" s="9">
        <v>220000</v>
      </c>
      <c r="J1938">
        <v>8</v>
      </c>
      <c r="K1938" t="s">
        <v>42</v>
      </c>
      <c r="L1938" s="9">
        <f t="shared" si="30"/>
        <v>176000</v>
      </c>
      <c r="M1938" s="9">
        <f>Table1[[#This Row],[Unit Price]]*Table1[[#This Row],[Quantity]]</f>
        <v>1760000</v>
      </c>
      <c r="N1938" s="9">
        <f>Table1[[#This Row],[Cost Price]]*Table1[[#This Row],[Quantity]]</f>
        <v>1408000</v>
      </c>
      <c r="O1938" s="9">
        <f>Table1[[#This Row],[Revenue]]-Table1[[#This Row],[COGS]]</f>
        <v>352000</v>
      </c>
      <c r="P1938" s="6">
        <v>1937</v>
      </c>
    </row>
    <row r="1939" spans="1:16">
      <c r="A1939" s="7" t="s">
        <v>111</v>
      </c>
      <c r="B1939" s="7" t="str">
        <f>TEXT(Table1[[#This Row],[Date]],"MMM")</f>
        <v>Feb</v>
      </c>
      <c r="C1939" t="s">
        <v>49</v>
      </c>
      <c r="D1939" t="s">
        <v>36</v>
      </c>
      <c r="E1939" t="s">
        <v>29</v>
      </c>
      <c r="F1939" t="s">
        <v>30</v>
      </c>
      <c r="G1939" t="s">
        <v>71</v>
      </c>
      <c r="H1939" t="s">
        <v>51</v>
      </c>
      <c r="I1939" s="9">
        <v>250000</v>
      </c>
      <c r="J1939">
        <v>6</v>
      </c>
      <c r="K1939" t="s">
        <v>58</v>
      </c>
      <c r="L1939" s="9">
        <f t="shared" si="30"/>
        <v>200000</v>
      </c>
      <c r="M1939" s="9">
        <f>Table1[[#This Row],[Unit Price]]*Table1[[#This Row],[Quantity]]</f>
        <v>1500000</v>
      </c>
      <c r="N1939" s="9">
        <f>Table1[[#This Row],[Cost Price]]*Table1[[#This Row],[Quantity]]</f>
        <v>1200000</v>
      </c>
      <c r="O1939" s="9">
        <f>Table1[[#This Row],[Revenue]]-Table1[[#This Row],[COGS]]</f>
        <v>300000</v>
      </c>
      <c r="P1939" s="6">
        <v>1938</v>
      </c>
    </row>
    <row r="1940" spans="1:16">
      <c r="A1940" s="7" t="s">
        <v>66</v>
      </c>
      <c r="B1940" s="7" t="str">
        <f>TEXT(Table1[[#This Row],[Date]],"MMM")</f>
        <v>Mar</v>
      </c>
      <c r="C1940" t="s">
        <v>49</v>
      </c>
      <c r="D1940" t="s">
        <v>53</v>
      </c>
      <c r="E1940" t="s">
        <v>29</v>
      </c>
      <c r="F1940" t="s">
        <v>30</v>
      </c>
      <c r="G1940" t="s">
        <v>31</v>
      </c>
      <c r="H1940" t="s">
        <v>32</v>
      </c>
      <c r="I1940" s="9">
        <v>85000</v>
      </c>
      <c r="J1940">
        <v>7</v>
      </c>
      <c r="K1940" t="s">
        <v>58</v>
      </c>
      <c r="L1940" s="9">
        <f t="shared" si="30"/>
        <v>68000</v>
      </c>
      <c r="M1940" s="9">
        <f>Table1[[#This Row],[Unit Price]]*Table1[[#This Row],[Quantity]]</f>
        <v>595000</v>
      </c>
      <c r="N1940" s="9">
        <f>Table1[[#This Row],[Cost Price]]*Table1[[#This Row],[Quantity]]</f>
        <v>476000</v>
      </c>
      <c r="O1940" s="9">
        <f>Table1[[#This Row],[Revenue]]-Table1[[#This Row],[COGS]]</f>
        <v>119000</v>
      </c>
      <c r="P1940" s="6">
        <v>1939</v>
      </c>
    </row>
    <row r="1941" spans="1:16">
      <c r="A1941" s="7" t="s">
        <v>119</v>
      </c>
      <c r="B1941" s="7" t="str">
        <f>TEXT(Table1[[#This Row],[Date]],"MMM")</f>
        <v>Feb</v>
      </c>
      <c r="C1941" t="s">
        <v>44</v>
      </c>
      <c r="D1941" t="s">
        <v>45</v>
      </c>
      <c r="E1941" t="s">
        <v>29</v>
      </c>
      <c r="F1941" t="s">
        <v>37</v>
      </c>
      <c r="G1941" t="s">
        <v>31</v>
      </c>
      <c r="H1941" t="s">
        <v>32</v>
      </c>
      <c r="I1941" s="9">
        <v>85000</v>
      </c>
      <c r="J1941">
        <v>4</v>
      </c>
      <c r="K1941" t="s">
        <v>47</v>
      </c>
      <c r="L1941" s="9">
        <f t="shared" si="30"/>
        <v>68000</v>
      </c>
      <c r="M1941" s="9">
        <f>Table1[[#This Row],[Unit Price]]*Table1[[#This Row],[Quantity]]</f>
        <v>340000</v>
      </c>
      <c r="N1941" s="9">
        <f>Table1[[#This Row],[Cost Price]]*Table1[[#This Row],[Quantity]]</f>
        <v>272000</v>
      </c>
      <c r="O1941" s="9">
        <f>Table1[[#This Row],[Revenue]]-Table1[[#This Row],[COGS]]</f>
        <v>68000</v>
      </c>
      <c r="P1941" s="6">
        <v>1940</v>
      </c>
    </row>
    <row r="1942" spans="1:16">
      <c r="A1942" s="7" t="s">
        <v>88</v>
      </c>
      <c r="B1942" s="7" t="str">
        <f>TEXT(Table1[[#This Row],[Date]],"MMM")</f>
        <v>Feb</v>
      </c>
      <c r="C1942" t="s">
        <v>35</v>
      </c>
      <c r="D1942" t="s">
        <v>53</v>
      </c>
      <c r="E1942" t="s">
        <v>41</v>
      </c>
      <c r="F1942" t="s">
        <v>37</v>
      </c>
      <c r="G1942" t="s">
        <v>67</v>
      </c>
      <c r="H1942" t="s">
        <v>51</v>
      </c>
      <c r="I1942" s="9">
        <v>420000</v>
      </c>
      <c r="J1942">
        <v>6</v>
      </c>
      <c r="K1942" t="s">
        <v>33</v>
      </c>
      <c r="L1942" s="9">
        <f t="shared" si="30"/>
        <v>336000</v>
      </c>
      <c r="M1942" s="9">
        <f>Table1[[#This Row],[Unit Price]]*Table1[[#This Row],[Quantity]]</f>
        <v>2520000</v>
      </c>
      <c r="N1942" s="9">
        <f>Table1[[#This Row],[Cost Price]]*Table1[[#This Row],[Quantity]]</f>
        <v>2016000</v>
      </c>
      <c r="O1942" s="9">
        <f>Table1[[#This Row],[Revenue]]-Table1[[#This Row],[COGS]]</f>
        <v>504000</v>
      </c>
      <c r="P1942" s="6">
        <v>1941</v>
      </c>
    </row>
    <row r="1943" spans="1:16">
      <c r="A1943" s="7" t="s">
        <v>57</v>
      </c>
      <c r="B1943" s="7" t="str">
        <f>TEXT(Table1[[#This Row],[Date]],"MMM")</f>
        <v>Feb</v>
      </c>
      <c r="C1943" t="s">
        <v>35</v>
      </c>
      <c r="D1943" t="s">
        <v>28</v>
      </c>
      <c r="E1943" t="s">
        <v>41</v>
      </c>
      <c r="F1943" t="s">
        <v>37</v>
      </c>
      <c r="G1943" t="s">
        <v>71</v>
      </c>
      <c r="H1943" t="s">
        <v>51</v>
      </c>
      <c r="I1943" s="9">
        <v>250000</v>
      </c>
      <c r="J1943">
        <v>4</v>
      </c>
      <c r="K1943" t="s">
        <v>47</v>
      </c>
      <c r="L1943" s="9">
        <f t="shared" si="30"/>
        <v>200000</v>
      </c>
      <c r="M1943" s="9">
        <f>Table1[[#This Row],[Unit Price]]*Table1[[#This Row],[Quantity]]</f>
        <v>1000000</v>
      </c>
      <c r="N1943" s="9">
        <f>Table1[[#This Row],[Cost Price]]*Table1[[#This Row],[Quantity]]</f>
        <v>800000</v>
      </c>
      <c r="O1943" s="9">
        <f>Table1[[#This Row],[Revenue]]-Table1[[#This Row],[COGS]]</f>
        <v>200000</v>
      </c>
      <c r="P1943" s="6">
        <v>1942</v>
      </c>
    </row>
    <row r="1944" spans="1:16">
      <c r="A1944" s="7" t="s">
        <v>129</v>
      </c>
      <c r="B1944" s="7" t="str">
        <f>TEXT(Table1[[#This Row],[Date]],"MMM")</f>
        <v>Mar</v>
      </c>
      <c r="C1944" t="s">
        <v>27</v>
      </c>
      <c r="D1944" t="s">
        <v>28</v>
      </c>
      <c r="E1944" t="s">
        <v>29</v>
      </c>
      <c r="F1944" t="s">
        <v>37</v>
      </c>
      <c r="G1944" t="s">
        <v>38</v>
      </c>
      <c r="H1944" t="s">
        <v>39</v>
      </c>
      <c r="I1944" s="9">
        <v>30000</v>
      </c>
      <c r="J1944">
        <v>3</v>
      </c>
      <c r="K1944" t="s">
        <v>65</v>
      </c>
      <c r="L1944" s="9">
        <f t="shared" si="30"/>
        <v>24000</v>
      </c>
      <c r="M1944" s="9">
        <f>Table1[[#This Row],[Unit Price]]*Table1[[#This Row],[Quantity]]</f>
        <v>90000</v>
      </c>
      <c r="N1944" s="9">
        <f>Table1[[#This Row],[Cost Price]]*Table1[[#This Row],[Quantity]]</f>
        <v>72000</v>
      </c>
      <c r="O1944" s="9">
        <f>Table1[[#This Row],[Revenue]]-Table1[[#This Row],[COGS]]</f>
        <v>18000</v>
      </c>
      <c r="P1944" s="6">
        <v>1943</v>
      </c>
    </row>
    <row r="1945" spans="1:16">
      <c r="A1945" s="7" t="s">
        <v>146</v>
      </c>
      <c r="B1945" s="7" t="str">
        <f>TEXT(Table1[[#This Row],[Date]],"MMM")</f>
        <v>Jan</v>
      </c>
      <c r="C1945" t="s">
        <v>49</v>
      </c>
      <c r="D1945" t="s">
        <v>53</v>
      </c>
      <c r="E1945" t="s">
        <v>41</v>
      </c>
      <c r="F1945" t="s">
        <v>30</v>
      </c>
      <c r="G1945" t="s">
        <v>56</v>
      </c>
      <c r="H1945" t="s">
        <v>32</v>
      </c>
      <c r="I1945" s="9">
        <v>320000</v>
      </c>
      <c r="J1945">
        <v>9</v>
      </c>
      <c r="K1945" t="s">
        <v>58</v>
      </c>
      <c r="L1945" s="9">
        <f t="shared" si="30"/>
        <v>256000</v>
      </c>
      <c r="M1945" s="9">
        <f>Table1[[#This Row],[Unit Price]]*Table1[[#This Row],[Quantity]]</f>
        <v>2880000</v>
      </c>
      <c r="N1945" s="9">
        <f>Table1[[#This Row],[Cost Price]]*Table1[[#This Row],[Quantity]]</f>
        <v>2304000</v>
      </c>
      <c r="O1945" s="9">
        <f>Table1[[#This Row],[Revenue]]-Table1[[#This Row],[COGS]]</f>
        <v>576000</v>
      </c>
      <c r="P1945" s="6">
        <v>1944</v>
      </c>
    </row>
    <row r="1946" spans="1:16">
      <c r="A1946" s="7" t="s">
        <v>26</v>
      </c>
      <c r="B1946" s="7" t="str">
        <f>TEXT(Table1[[#This Row],[Date]],"MMM")</f>
        <v>Jan</v>
      </c>
      <c r="C1946" t="s">
        <v>49</v>
      </c>
      <c r="D1946" t="s">
        <v>28</v>
      </c>
      <c r="E1946" t="s">
        <v>29</v>
      </c>
      <c r="F1946" t="s">
        <v>37</v>
      </c>
      <c r="G1946" t="s">
        <v>73</v>
      </c>
      <c r="H1946" t="s">
        <v>39</v>
      </c>
      <c r="I1946" s="9">
        <v>220000</v>
      </c>
      <c r="J1946">
        <v>7</v>
      </c>
      <c r="K1946" t="s">
        <v>47</v>
      </c>
      <c r="L1946" s="9">
        <f t="shared" si="30"/>
        <v>176000</v>
      </c>
      <c r="M1946" s="9">
        <f>Table1[[#This Row],[Unit Price]]*Table1[[#This Row],[Quantity]]</f>
        <v>1540000</v>
      </c>
      <c r="N1946" s="9">
        <f>Table1[[#This Row],[Cost Price]]*Table1[[#This Row],[Quantity]]</f>
        <v>1232000</v>
      </c>
      <c r="O1946" s="9">
        <f>Table1[[#This Row],[Revenue]]-Table1[[#This Row],[COGS]]</f>
        <v>308000</v>
      </c>
      <c r="P1946" s="6">
        <v>1945</v>
      </c>
    </row>
    <row r="1947" spans="1:16">
      <c r="A1947" s="7" t="s">
        <v>161</v>
      </c>
      <c r="B1947" s="7" t="str">
        <f>TEXT(Table1[[#This Row],[Date]],"MMM")</f>
        <v>Mar</v>
      </c>
      <c r="C1947" t="s">
        <v>44</v>
      </c>
      <c r="D1947" t="s">
        <v>36</v>
      </c>
      <c r="E1947" t="s">
        <v>41</v>
      </c>
      <c r="F1947" t="s">
        <v>30</v>
      </c>
      <c r="G1947" t="s">
        <v>62</v>
      </c>
      <c r="H1947" t="s">
        <v>51</v>
      </c>
      <c r="I1947" s="9">
        <v>150000</v>
      </c>
      <c r="J1947">
        <v>5</v>
      </c>
      <c r="K1947" t="s">
        <v>33</v>
      </c>
      <c r="L1947" s="9">
        <f t="shared" si="30"/>
        <v>120000</v>
      </c>
      <c r="M1947" s="9">
        <f>Table1[[#This Row],[Unit Price]]*Table1[[#This Row],[Quantity]]</f>
        <v>750000</v>
      </c>
      <c r="N1947" s="9">
        <f>Table1[[#This Row],[Cost Price]]*Table1[[#This Row],[Quantity]]</f>
        <v>600000</v>
      </c>
      <c r="O1947" s="9">
        <f>Table1[[#This Row],[Revenue]]-Table1[[#This Row],[COGS]]</f>
        <v>150000</v>
      </c>
      <c r="P1947" s="6">
        <v>1946</v>
      </c>
    </row>
    <row r="1948" spans="1:16">
      <c r="A1948" s="7" t="s">
        <v>153</v>
      </c>
      <c r="B1948" s="7" t="str">
        <f>TEXT(Table1[[#This Row],[Date]],"MMM")</f>
        <v>Mar</v>
      </c>
      <c r="C1948" t="s">
        <v>44</v>
      </c>
      <c r="D1948" t="s">
        <v>28</v>
      </c>
      <c r="E1948" t="s">
        <v>41</v>
      </c>
      <c r="F1948" t="s">
        <v>37</v>
      </c>
      <c r="G1948" t="s">
        <v>31</v>
      </c>
      <c r="H1948" t="s">
        <v>32</v>
      </c>
      <c r="I1948" s="9">
        <v>85000</v>
      </c>
      <c r="J1948">
        <v>9</v>
      </c>
      <c r="K1948" t="s">
        <v>58</v>
      </c>
      <c r="L1948" s="9">
        <f t="shared" si="30"/>
        <v>68000</v>
      </c>
      <c r="M1948" s="9">
        <f>Table1[[#This Row],[Unit Price]]*Table1[[#This Row],[Quantity]]</f>
        <v>765000</v>
      </c>
      <c r="N1948" s="9">
        <f>Table1[[#This Row],[Cost Price]]*Table1[[#This Row],[Quantity]]</f>
        <v>612000</v>
      </c>
      <c r="O1948" s="9">
        <f>Table1[[#This Row],[Revenue]]-Table1[[#This Row],[COGS]]</f>
        <v>153000</v>
      </c>
      <c r="P1948" s="6">
        <v>1947</v>
      </c>
    </row>
    <row r="1949" spans="1:16">
      <c r="A1949" s="7" t="s">
        <v>97</v>
      </c>
      <c r="B1949" s="7" t="str">
        <f>TEXT(Table1[[#This Row],[Date]],"MMM")</f>
        <v>Jan</v>
      </c>
      <c r="C1949" t="s">
        <v>49</v>
      </c>
      <c r="D1949" t="s">
        <v>53</v>
      </c>
      <c r="E1949" t="s">
        <v>41</v>
      </c>
      <c r="F1949" t="s">
        <v>30</v>
      </c>
      <c r="G1949" t="s">
        <v>71</v>
      </c>
      <c r="H1949" t="s">
        <v>51</v>
      </c>
      <c r="I1949" s="9">
        <v>250000</v>
      </c>
      <c r="J1949">
        <v>10</v>
      </c>
      <c r="K1949" t="s">
        <v>33</v>
      </c>
      <c r="L1949" s="9">
        <f t="shared" si="30"/>
        <v>200000</v>
      </c>
      <c r="M1949" s="9">
        <f>Table1[[#This Row],[Unit Price]]*Table1[[#This Row],[Quantity]]</f>
        <v>2500000</v>
      </c>
      <c r="N1949" s="9">
        <f>Table1[[#This Row],[Cost Price]]*Table1[[#This Row],[Quantity]]</f>
        <v>2000000</v>
      </c>
      <c r="O1949" s="9">
        <f>Table1[[#This Row],[Revenue]]-Table1[[#This Row],[COGS]]</f>
        <v>500000</v>
      </c>
      <c r="P1949" s="6">
        <v>1948</v>
      </c>
    </row>
    <row r="1950" spans="1:16">
      <c r="A1950" s="7" t="s">
        <v>108</v>
      </c>
      <c r="B1950" s="7" t="str">
        <f>TEXT(Table1[[#This Row],[Date]],"MMM")</f>
        <v>Apr</v>
      </c>
      <c r="C1950" t="s">
        <v>35</v>
      </c>
      <c r="D1950" t="s">
        <v>28</v>
      </c>
      <c r="E1950" t="s">
        <v>41</v>
      </c>
      <c r="F1950" t="s">
        <v>30</v>
      </c>
      <c r="G1950" t="s">
        <v>31</v>
      </c>
      <c r="H1950" t="s">
        <v>32</v>
      </c>
      <c r="I1950" s="9">
        <v>85000</v>
      </c>
      <c r="J1950">
        <v>7</v>
      </c>
      <c r="K1950" t="s">
        <v>42</v>
      </c>
      <c r="L1950" s="9">
        <f t="shared" si="30"/>
        <v>68000</v>
      </c>
      <c r="M1950" s="9">
        <f>Table1[[#This Row],[Unit Price]]*Table1[[#This Row],[Quantity]]</f>
        <v>595000</v>
      </c>
      <c r="N1950" s="9">
        <f>Table1[[#This Row],[Cost Price]]*Table1[[#This Row],[Quantity]]</f>
        <v>476000</v>
      </c>
      <c r="O1950" s="9">
        <f>Table1[[#This Row],[Revenue]]-Table1[[#This Row],[COGS]]</f>
        <v>119000</v>
      </c>
      <c r="P1950" s="6">
        <v>1949</v>
      </c>
    </row>
    <row r="1951" spans="1:16">
      <c r="A1951" s="7" t="s">
        <v>141</v>
      </c>
      <c r="B1951" s="7" t="str">
        <f>TEXT(Table1[[#This Row],[Date]],"MMM")</f>
        <v>Mar</v>
      </c>
      <c r="C1951" t="s">
        <v>35</v>
      </c>
      <c r="D1951" t="s">
        <v>36</v>
      </c>
      <c r="E1951" t="s">
        <v>29</v>
      </c>
      <c r="F1951" t="s">
        <v>30</v>
      </c>
      <c r="G1951" t="s">
        <v>50</v>
      </c>
      <c r="H1951" t="s">
        <v>51</v>
      </c>
      <c r="I1951" s="9">
        <v>300000</v>
      </c>
      <c r="J1951">
        <v>6</v>
      </c>
      <c r="K1951" t="s">
        <v>65</v>
      </c>
      <c r="L1951" s="9">
        <f t="shared" si="30"/>
        <v>240000</v>
      </c>
      <c r="M1951" s="9">
        <f>Table1[[#This Row],[Unit Price]]*Table1[[#This Row],[Quantity]]</f>
        <v>1800000</v>
      </c>
      <c r="N1951" s="9">
        <f>Table1[[#This Row],[Cost Price]]*Table1[[#This Row],[Quantity]]</f>
        <v>1440000</v>
      </c>
      <c r="O1951" s="9">
        <f>Table1[[#This Row],[Revenue]]-Table1[[#This Row],[COGS]]</f>
        <v>360000</v>
      </c>
      <c r="P1951" s="6">
        <v>1950</v>
      </c>
    </row>
    <row r="1952" spans="1:16">
      <c r="A1952" s="7" t="s">
        <v>122</v>
      </c>
      <c r="B1952" s="7" t="str">
        <f>TEXT(Table1[[#This Row],[Date]],"MMM")</f>
        <v>Mar</v>
      </c>
      <c r="C1952" t="s">
        <v>27</v>
      </c>
      <c r="D1952" t="s">
        <v>28</v>
      </c>
      <c r="E1952" t="s">
        <v>29</v>
      </c>
      <c r="F1952" t="s">
        <v>37</v>
      </c>
      <c r="G1952" t="s">
        <v>50</v>
      </c>
      <c r="H1952" t="s">
        <v>51</v>
      </c>
      <c r="I1952" s="9">
        <v>300000</v>
      </c>
      <c r="J1952">
        <v>10</v>
      </c>
      <c r="K1952" t="s">
        <v>42</v>
      </c>
      <c r="L1952" s="9">
        <f t="shared" si="30"/>
        <v>240000</v>
      </c>
      <c r="M1952" s="9">
        <f>Table1[[#This Row],[Unit Price]]*Table1[[#This Row],[Quantity]]</f>
        <v>3000000</v>
      </c>
      <c r="N1952" s="9">
        <f>Table1[[#This Row],[Cost Price]]*Table1[[#This Row],[Quantity]]</f>
        <v>2400000</v>
      </c>
      <c r="O1952" s="9">
        <f>Table1[[#This Row],[Revenue]]-Table1[[#This Row],[COGS]]</f>
        <v>600000</v>
      </c>
      <c r="P1952" s="6">
        <v>1951</v>
      </c>
    </row>
    <row r="1953" spans="1:16">
      <c r="A1953" s="7" t="s">
        <v>81</v>
      </c>
      <c r="B1953" s="7" t="str">
        <f>TEXT(Table1[[#This Row],[Date]],"MMM")</f>
        <v>Mar</v>
      </c>
      <c r="C1953" t="s">
        <v>35</v>
      </c>
      <c r="D1953" t="s">
        <v>36</v>
      </c>
      <c r="E1953" t="s">
        <v>41</v>
      </c>
      <c r="F1953" t="s">
        <v>30</v>
      </c>
      <c r="G1953" t="s">
        <v>54</v>
      </c>
      <c r="H1953" t="s">
        <v>39</v>
      </c>
      <c r="I1953" s="9">
        <v>180000</v>
      </c>
      <c r="J1953">
        <v>1</v>
      </c>
      <c r="K1953" t="s">
        <v>47</v>
      </c>
      <c r="L1953" s="9">
        <f t="shared" si="30"/>
        <v>144000</v>
      </c>
      <c r="M1953" s="9">
        <f>Table1[[#This Row],[Unit Price]]*Table1[[#This Row],[Quantity]]</f>
        <v>180000</v>
      </c>
      <c r="N1953" s="9">
        <f>Table1[[#This Row],[Cost Price]]*Table1[[#This Row],[Quantity]]</f>
        <v>144000</v>
      </c>
      <c r="O1953" s="9">
        <f>Table1[[#This Row],[Revenue]]-Table1[[#This Row],[COGS]]</f>
        <v>36000</v>
      </c>
      <c r="P1953" s="6">
        <v>1952</v>
      </c>
    </row>
    <row r="1954" spans="1:16">
      <c r="A1954" s="7" t="s">
        <v>146</v>
      </c>
      <c r="B1954" s="7" t="str">
        <f>TEXT(Table1[[#This Row],[Date]],"MMM")</f>
        <v>Jan</v>
      </c>
      <c r="C1954" t="s">
        <v>44</v>
      </c>
      <c r="D1954" t="s">
        <v>53</v>
      </c>
      <c r="E1954" t="s">
        <v>29</v>
      </c>
      <c r="F1954" t="s">
        <v>30</v>
      </c>
      <c r="G1954" t="s">
        <v>62</v>
      </c>
      <c r="H1954" t="s">
        <v>51</v>
      </c>
      <c r="I1954" s="9">
        <v>150000</v>
      </c>
      <c r="J1954">
        <v>7</v>
      </c>
      <c r="K1954" t="s">
        <v>65</v>
      </c>
      <c r="L1954" s="9">
        <f t="shared" si="30"/>
        <v>120000</v>
      </c>
      <c r="M1954" s="9">
        <f>Table1[[#This Row],[Unit Price]]*Table1[[#This Row],[Quantity]]</f>
        <v>1050000</v>
      </c>
      <c r="N1954" s="9">
        <f>Table1[[#This Row],[Cost Price]]*Table1[[#This Row],[Quantity]]</f>
        <v>840000</v>
      </c>
      <c r="O1954" s="9">
        <f>Table1[[#This Row],[Revenue]]-Table1[[#This Row],[COGS]]</f>
        <v>210000</v>
      </c>
      <c r="P1954" s="6">
        <v>1953</v>
      </c>
    </row>
    <row r="1955" spans="1:16">
      <c r="A1955" s="7" t="s">
        <v>104</v>
      </c>
      <c r="B1955" s="7" t="str">
        <f>TEXT(Table1[[#This Row],[Date]],"MMM")</f>
        <v>Mar</v>
      </c>
      <c r="C1955" t="s">
        <v>49</v>
      </c>
      <c r="D1955" t="s">
        <v>28</v>
      </c>
      <c r="E1955" t="s">
        <v>29</v>
      </c>
      <c r="F1955" t="s">
        <v>30</v>
      </c>
      <c r="G1955" t="s">
        <v>73</v>
      </c>
      <c r="H1955" t="s">
        <v>39</v>
      </c>
      <c r="I1955" s="9">
        <v>220000</v>
      </c>
      <c r="J1955">
        <v>5</v>
      </c>
      <c r="K1955" t="s">
        <v>42</v>
      </c>
      <c r="L1955" s="9">
        <f t="shared" si="30"/>
        <v>176000</v>
      </c>
      <c r="M1955" s="9">
        <f>Table1[[#This Row],[Unit Price]]*Table1[[#This Row],[Quantity]]</f>
        <v>1100000</v>
      </c>
      <c r="N1955" s="9">
        <f>Table1[[#This Row],[Cost Price]]*Table1[[#This Row],[Quantity]]</f>
        <v>880000</v>
      </c>
      <c r="O1955" s="9">
        <f>Table1[[#This Row],[Revenue]]-Table1[[#This Row],[COGS]]</f>
        <v>220000</v>
      </c>
      <c r="P1955" s="6">
        <v>1954</v>
      </c>
    </row>
    <row r="1956" spans="1:16">
      <c r="A1956" s="7" t="s">
        <v>136</v>
      </c>
      <c r="B1956" s="7" t="str">
        <f>TEXT(Table1[[#This Row],[Date]],"MMM")</f>
        <v>Feb</v>
      </c>
      <c r="C1956" t="s">
        <v>35</v>
      </c>
      <c r="D1956" t="s">
        <v>28</v>
      </c>
      <c r="E1956" t="s">
        <v>29</v>
      </c>
      <c r="F1956" t="s">
        <v>30</v>
      </c>
      <c r="G1956" t="s">
        <v>67</v>
      </c>
      <c r="H1956" t="s">
        <v>51</v>
      </c>
      <c r="I1956" s="9">
        <v>420000</v>
      </c>
      <c r="J1956">
        <v>2</v>
      </c>
      <c r="K1956" t="s">
        <v>65</v>
      </c>
      <c r="L1956" s="9">
        <f t="shared" si="30"/>
        <v>336000</v>
      </c>
      <c r="M1956" s="9">
        <f>Table1[[#This Row],[Unit Price]]*Table1[[#This Row],[Quantity]]</f>
        <v>840000</v>
      </c>
      <c r="N1956" s="9">
        <f>Table1[[#This Row],[Cost Price]]*Table1[[#This Row],[Quantity]]</f>
        <v>672000</v>
      </c>
      <c r="O1956" s="9">
        <f>Table1[[#This Row],[Revenue]]-Table1[[#This Row],[COGS]]</f>
        <v>168000</v>
      </c>
      <c r="P1956" s="6">
        <v>1955</v>
      </c>
    </row>
    <row r="1957" spans="1:16">
      <c r="A1957" s="7" t="s">
        <v>176</v>
      </c>
      <c r="B1957" s="7" t="str">
        <f>TEXT(Table1[[#This Row],[Date]],"MMM")</f>
        <v>Jan</v>
      </c>
      <c r="C1957" t="s">
        <v>27</v>
      </c>
      <c r="D1957" t="s">
        <v>45</v>
      </c>
      <c r="E1957" t="s">
        <v>29</v>
      </c>
      <c r="F1957" t="s">
        <v>30</v>
      </c>
      <c r="G1957" t="s">
        <v>54</v>
      </c>
      <c r="H1957" t="s">
        <v>39</v>
      </c>
      <c r="I1957" s="9">
        <v>180000</v>
      </c>
      <c r="J1957">
        <v>9</v>
      </c>
      <c r="K1957" t="s">
        <v>58</v>
      </c>
      <c r="L1957" s="9">
        <f t="shared" si="30"/>
        <v>144000</v>
      </c>
      <c r="M1957" s="9">
        <f>Table1[[#This Row],[Unit Price]]*Table1[[#This Row],[Quantity]]</f>
        <v>1620000</v>
      </c>
      <c r="N1957" s="9">
        <f>Table1[[#This Row],[Cost Price]]*Table1[[#This Row],[Quantity]]</f>
        <v>1296000</v>
      </c>
      <c r="O1957" s="9">
        <f>Table1[[#This Row],[Revenue]]-Table1[[#This Row],[COGS]]</f>
        <v>324000</v>
      </c>
      <c r="P1957" s="6">
        <v>1956</v>
      </c>
    </row>
    <row r="1958" spans="1:16">
      <c r="A1958" s="7" t="s">
        <v>83</v>
      </c>
      <c r="B1958" s="7" t="str">
        <f>TEXT(Table1[[#This Row],[Date]],"MMM")</f>
        <v>Jan</v>
      </c>
      <c r="C1958" t="s">
        <v>49</v>
      </c>
      <c r="D1958" t="s">
        <v>53</v>
      </c>
      <c r="E1958" t="s">
        <v>29</v>
      </c>
      <c r="F1958" t="s">
        <v>30</v>
      </c>
      <c r="G1958" t="s">
        <v>73</v>
      </c>
      <c r="H1958" t="s">
        <v>39</v>
      </c>
      <c r="I1958" s="9">
        <v>220000</v>
      </c>
      <c r="J1958">
        <v>5</v>
      </c>
      <c r="K1958" t="s">
        <v>58</v>
      </c>
      <c r="L1958" s="9">
        <f t="shared" si="30"/>
        <v>176000</v>
      </c>
      <c r="M1958" s="9">
        <f>Table1[[#This Row],[Unit Price]]*Table1[[#This Row],[Quantity]]</f>
        <v>1100000</v>
      </c>
      <c r="N1958" s="9">
        <f>Table1[[#This Row],[Cost Price]]*Table1[[#This Row],[Quantity]]</f>
        <v>880000</v>
      </c>
      <c r="O1958" s="9">
        <f>Table1[[#This Row],[Revenue]]-Table1[[#This Row],[COGS]]</f>
        <v>220000</v>
      </c>
      <c r="P1958" s="6">
        <v>1957</v>
      </c>
    </row>
    <row r="1959" spans="1:16">
      <c r="A1959" s="7" t="s">
        <v>168</v>
      </c>
      <c r="B1959" s="7" t="str">
        <f>TEXT(Table1[[#This Row],[Date]],"MMM")</f>
        <v>Apr</v>
      </c>
      <c r="C1959" t="s">
        <v>49</v>
      </c>
      <c r="D1959" t="s">
        <v>45</v>
      </c>
      <c r="E1959" t="s">
        <v>29</v>
      </c>
      <c r="F1959" t="s">
        <v>30</v>
      </c>
      <c r="G1959" t="s">
        <v>54</v>
      </c>
      <c r="H1959" t="s">
        <v>39</v>
      </c>
      <c r="I1959" s="9">
        <v>180000</v>
      </c>
      <c r="J1959">
        <v>1</v>
      </c>
      <c r="K1959" t="s">
        <v>69</v>
      </c>
      <c r="L1959" s="9">
        <f t="shared" si="30"/>
        <v>144000</v>
      </c>
      <c r="M1959" s="9">
        <f>Table1[[#This Row],[Unit Price]]*Table1[[#This Row],[Quantity]]</f>
        <v>180000</v>
      </c>
      <c r="N1959" s="9">
        <f>Table1[[#This Row],[Cost Price]]*Table1[[#This Row],[Quantity]]</f>
        <v>144000</v>
      </c>
      <c r="O1959" s="9">
        <f>Table1[[#This Row],[Revenue]]-Table1[[#This Row],[COGS]]</f>
        <v>36000</v>
      </c>
      <c r="P1959" s="6">
        <v>1958</v>
      </c>
    </row>
    <row r="1960" spans="1:16">
      <c r="A1960" s="7" t="s">
        <v>108</v>
      </c>
      <c r="B1960" s="7" t="str">
        <f>TEXT(Table1[[#This Row],[Date]],"MMM")</f>
        <v>Apr</v>
      </c>
      <c r="C1960" t="s">
        <v>35</v>
      </c>
      <c r="D1960" t="s">
        <v>45</v>
      </c>
      <c r="E1960" t="s">
        <v>41</v>
      </c>
      <c r="F1960" t="s">
        <v>37</v>
      </c>
      <c r="G1960" t="s">
        <v>46</v>
      </c>
      <c r="H1960" t="s">
        <v>39</v>
      </c>
      <c r="I1960" s="9">
        <v>60000</v>
      </c>
      <c r="J1960">
        <v>2</v>
      </c>
      <c r="K1960" t="s">
        <v>69</v>
      </c>
      <c r="L1960" s="9">
        <f t="shared" si="30"/>
        <v>48000</v>
      </c>
      <c r="M1960" s="9">
        <f>Table1[[#This Row],[Unit Price]]*Table1[[#This Row],[Quantity]]</f>
        <v>120000</v>
      </c>
      <c r="N1960" s="9">
        <f>Table1[[#This Row],[Cost Price]]*Table1[[#This Row],[Quantity]]</f>
        <v>96000</v>
      </c>
      <c r="O1960" s="9">
        <f>Table1[[#This Row],[Revenue]]-Table1[[#This Row],[COGS]]</f>
        <v>24000</v>
      </c>
      <c r="P1960" s="6">
        <v>1959</v>
      </c>
    </row>
    <row r="1961" spans="1:16">
      <c r="A1961" s="7" t="s">
        <v>153</v>
      </c>
      <c r="B1961" s="7" t="str">
        <f>TEXT(Table1[[#This Row],[Date]],"MMM")</f>
        <v>Mar</v>
      </c>
      <c r="C1961" t="s">
        <v>49</v>
      </c>
      <c r="D1961" t="s">
        <v>45</v>
      </c>
      <c r="E1961" t="s">
        <v>29</v>
      </c>
      <c r="F1961" t="s">
        <v>30</v>
      </c>
      <c r="G1961" t="s">
        <v>50</v>
      </c>
      <c r="H1961" t="s">
        <v>51</v>
      </c>
      <c r="I1961" s="9">
        <v>300000</v>
      </c>
      <c r="J1961">
        <v>5</v>
      </c>
      <c r="K1961" t="s">
        <v>42</v>
      </c>
      <c r="L1961" s="9">
        <f t="shared" si="30"/>
        <v>240000</v>
      </c>
      <c r="M1961" s="9">
        <f>Table1[[#This Row],[Unit Price]]*Table1[[#This Row],[Quantity]]</f>
        <v>1500000</v>
      </c>
      <c r="N1961" s="9">
        <f>Table1[[#This Row],[Cost Price]]*Table1[[#This Row],[Quantity]]</f>
        <v>1200000</v>
      </c>
      <c r="O1961" s="9">
        <f>Table1[[#This Row],[Revenue]]-Table1[[#This Row],[COGS]]</f>
        <v>300000</v>
      </c>
      <c r="P1961" s="6">
        <v>1960</v>
      </c>
    </row>
    <row r="1962" spans="1:16">
      <c r="A1962" s="7" t="s">
        <v>98</v>
      </c>
      <c r="B1962" s="7" t="str">
        <f>TEXT(Table1[[#This Row],[Date]],"MMM")</f>
        <v>Jan</v>
      </c>
      <c r="C1962" t="s">
        <v>49</v>
      </c>
      <c r="D1962" t="s">
        <v>45</v>
      </c>
      <c r="E1962" t="s">
        <v>29</v>
      </c>
      <c r="F1962" t="s">
        <v>37</v>
      </c>
      <c r="G1962" t="s">
        <v>50</v>
      </c>
      <c r="H1962" t="s">
        <v>51</v>
      </c>
      <c r="I1962" s="9">
        <v>300000</v>
      </c>
      <c r="J1962">
        <v>9</v>
      </c>
      <c r="K1962" t="s">
        <v>65</v>
      </c>
      <c r="L1962" s="9">
        <f t="shared" si="30"/>
        <v>240000</v>
      </c>
      <c r="M1962" s="9">
        <f>Table1[[#This Row],[Unit Price]]*Table1[[#This Row],[Quantity]]</f>
        <v>2700000</v>
      </c>
      <c r="N1962" s="9">
        <f>Table1[[#This Row],[Cost Price]]*Table1[[#This Row],[Quantity]]</f>
        <v>2160000</v>
      </c>
      <c r="O1962" s="9">
        <f>Table1[[#This Row],[Revenue]]-Table1[[#This Row],[COGS]]</f>
        <v>540000</v>
      </c>
      <c r="P1962" s="6">
        <v>1961</v>
      </c>
    </row>
    <row r="1963" spans="1:16">
      <c r="A1963" s="7" t="s">
        <v>87</v>
      </c>
      <c r="B1963" s="7" t="str">
        <f>TEXT(Table1[[#This Row],[Date]],"MMM")</f>
        <v>Mar</v>
      </c>
      <c r="C1963" t="s">
        <v>44</v>
      </c>
      <c r="D1963" t="s">
        <v>53</v>
      </c>
      <c r="E1963" t="s">
        <v>29</v>
      </c>
      <c r="F1963" t="s">
        <v>30</v>
      </c>
      <c r="G1963" t="s">
        <v>73</v>
      </c>
      <c r="H1963" t="s">
        <v>39</v>
      </c>
      <c r="I1963" s="9">
        <v>220000</v>
      </c>
      <c r="J1963">
        <v>1</v>
      </c>
      <c r="K1963" t="s">
        <v>65</v>
      </c>
      <c r="L1963" s="9">
        <f t="shared" si="30"/>
        <v>176000</v>
      </c>
      <c r="M1963" s="9">
        <f>Table1[[#This Row],[Unit Price]]*Table1[[#This Row],[Quantity]]</f>
        <v>220000</v>
      </c>
      <c r="N1963" s="9">
        <f>Table1[[#This Row],[Cost Price]]*Table1[[#This Row],[Quantity]]</f>
        <v>176000</v>
      </c>
      <c r="O1963" s="9">
        <f>Table1[[#This Row],[Revenue]]-Table1[[#This Row],[COGS]]</f>
        <v>44000</v>
      </c>
      <c r="P1963" s="6">
        <v>1962</v>
      </c>
    </row>
    <row r="1964" spans="1:16">
      <c r="A1964" s="7" t="s">
        <v>122</v>
      </c>
      <c r="B1964" s="7" t="str">
        <f>TEXT(Table1[[#This Row],[Date]],"MMM")</f>
        <v>Mar</v>
      </c>
      <c r="C1964" t="s">
        <v>27</v>
      </c>
      <c r="D1964" t="s">
        <v>53</v>
      </c>
      <c r="E1964" t="s">
        <v>41</v>
      </c>
      <c r="F1964" t="s">
        <v>37</v>
      </c>
      <c r="G1964" t="s">
        <v>38</v>
      </c>
      <c r="H1964" t="s">
        <v>39</v>
      </c>
      <c r="I1964" s="9">
        <v>30000</v>
      </c>
      <c r="J1964">
        <v>5</v>
      </c>
      <c r="K1964" t="s">
        <v>65</v>
      </c>
      <c r="L1964" s="9">
        <f t="shared" si="30"/>
        <v>24000</v>
      </c>
      <c r="M1964" s="9">
        <f>Table1[[#This Row],[Unit Price]]*Table1[[#This Row],[Quantity]]</f>
        <v>150000</v>
      </c>
      <c r="N1964" s="9">
        <f>Table1[[#This Row],[Cost Price]]*Table1[[#This Row],[Quantity]]</f>
        <v>120000</v>
      </c>
      <c r="O1964" s="9">
        <f>Table1[[#This Row],[Revenue]]-Table1[[#This Row],[COGS]]</f>
        <v>30000</v>
      </c>
      <c r="P1964" s="6">
        <v>1963</v>
      </c>
    </row>
    <row r="1965" spans="1:16">
      <c r="A1965" s="7" t="s">
        <v>109</v>
      </c>
      <c r="B1965" s="7" t="str">
        <f>TEXT(Table1[[#This Row],[Date]],"MMM")</f>
        <v>Mar</v>
      </c>
      <c r="C1965" t="s">
        <v>44</v>
      </c>
      <c r="D1965" t="s">
        <v>28</v>
      </c>
      <c r="E1965" t="s">
        <v>41</v>
      </c>
      <c r="F1965" t="s">
        <v>30</v>
      </c>
      <c r="G1965" t="s">
        <v>54</v>
      </c>
      <c r="H1965" t="s">
        <v>39</v>
      </c>
      <c r="I1965" s="9">
        <v>180000</v>
      </c>
      <c r="J1965">
        <v>1</v>
      </c>
      <c r="K1965" t="s">
        <v>33</v>
      </c>
      <c r="L1965" s="9">
        <f t="shared" si="30"/>
        <v>144000</v>
      </c>
      <c r="M1965" s="9">
        <f>Table1[[#This Row],[Unit Price]]*Table1[[#This Row],[Quantity]]</f>
        <v>180000</v>
      </c>
      <c r="N1965" s="9">
        <f>Table1[[#This Row],[Cost Price]]*Table1[[#This Row],[Quantity]]</f>
        <v>144000</v>
      </c>
      <c r="O1965" s="9">
        <f>Table1[[#This Row],[Revenue]]-Table1[[#This Row],[COGS]]</f>
        <v>36000</v>
      </c>
      <c r="P1965" s="6">
        <v>1964</v>
      </c>
    </row>
    <row r="1966" spans="1:16">
      <c r="A1966" s="7" t="s">
        <v>121</v>
      </c>
      <c r="B1966" s="7" t="str">
        <f>TEXT(Table1[[#This Row],[Date]],"MMM")</f>
        <v>Apr</v>
      </c>
      <c r="C1966" t="s">
        <v>49</v>
      </c>
      <c r="D1966" t="s">
        <v>45</v>
      </c>
      <c r="E1966" t="s">
        <v>29</v>
      </c>
      <c r="F1966" t="s">
        <v>30</v>
      </c>
      <c r="G1966" t="s">
        <v>50</v>
      </c>
      <c r="H1966" t="s">
        <v>51</v>
      </c>
      <c r="I1966" s="9">
        <v>300000</v>
      </c>
      <c r="J1966">
        <v>6</v>
      </c>
      <c r="K1966" t="s">
        <v>65</v>
      </c>
      <c r="L1966" s="9">
        <f t="shared" si="30"/>
        <v>240000</v>
      </c>
      <c r="M1966" s="9">
        <f>Table1[[#This Row],[Unit Price]]*Table1[[#This Row],[Quantity]]</f>
        <v>1800000</v>
      </c>
      <c r="N1966" s="9">
        <f>Table1[[#This Row],[Cost Price]]*Table1[[#This Row],[Quantity]]</f>
        <v>1440000</v>
      </c>
      <c r="O1966" s="9">
        <f>Table1[[#This Row],[Revenue]]-Table1[[#This Row],[COGS]]</f>
        <v>360000</v>
      </c>
      <c r="P1966" s="6">
        <v>1965</v>
      </c>
    </row>
    <row r="1967" spans="1:16">
      <c r="A1967" s="7" t="s">
        <v>84</v>
      </c>
      <c r="B1967" s="7" t="str">
        <f>TEXT(Table1[[#This Row],[Date]],"MMM")</f>
        <v>Jan</v>
      </c>
      <c r="C1967" t="s">
        <v>27</v>
      </c>
      <c r="D1967" t="s">
        <v>45</v>
      </c>
      <c r="E1967" t="s">
        <v>29</v>
      </c>
      <c r="F1967" t="s">
        <v>37</v>
      </c>
      <c r="G1967" t="s">
        <v>73</v>
      </c>
      <c r="H1967" t="s">
        <v>39</v>
      </c>
      <c r="I1967" s="9">
        <v>220000</v>
      </c>
      <c r="J1967">
        <v>3</v>
      </c>
      <c r="K1967" t="s">
        <v>69</v>
      </c>
      <c r="L1967" s="9">
        <f t="shared" si="30"/>
        <v>176000</v>
      </c>
      <c r="M1967" s="9">
        <f>Table1[[#This Row],[Unit Price]]*Table1[[#This Row],[Quantity]]</f>
        <v>660000</v>
      </c>
      <c r="N1967" s="9">
        <f>Table1[[#This Row],[Cost Price]]*Table1[[#This Row],[Quantity]]</f>
        <v>528000</v>
      </c>
      <c r="O1967" s="9">
        <f>Table1[[#This Row],[Revenue]]-Table1[[#This Row],[COGS]]</f>
        <v>132000</v>
      </c>
      <c r="P1967" s="6">
        <v>1966</v>
      </c>
    </row>
    <row r="1968" spans="1:16">
      <c r="A1968" s="7" t="s">
        <v>143</v>
      </c>
      <c r="B1968" s="7" t="str">
        <f>TEXT(Table1[[#This Row],[Date]],"MMM")</f>
        <v>Apr</v>
      </c>
      <c r="C1968" t="s">
        <v>49</v>
      </c>
      <c r="D1968" t="s">
        <v>28</v>
      </c>
      <c r="E1968" t="s">
        <v>29</v>
      </c>
      <c r="F1968" t="s">
        <v>37</v>
      </c>
      <c r="G1968" t="s">
        <v>56</v>
      </c>
      <c r="H1968" t="s">
        <v>32</v>
      </c>
      <c r="I1968" s="9">
        <v>320000</v>
      </c>
      <c r="J1968">
        <v>5</v>
      </c>
      <c r="K1968" t="s">
        <v>58</v>
      </c>
      <c r="L1968" s="9">
        <f t="shared" si="30"/>
        <v>256000</v>
      </c>
      <c r="M1968" s="9">
        <f>Table1[[#This Row],[Unit Price]]*Table1[[#This Row],[Quantity]]</f>
        <v>1600000</v>
      </c>
      <c r="N1968" s="9">
        <f>Table1[[#This Row],[Cost Price]]*Table1[[#This Row],[Quantity]]</f>
        <v>1280000</v>
      </c>
      <c r="O1968" s="9">
        <f>Table1[[#This Row],[Revenue]]-Table1[[#This Row],[COGS]]</f>
        <v>320000</v>
      </c>
      <c r="P1968" s="6">
        <v>1967</v>
      </c>
    </row>
    <row r="1969" spans="1:16">
      <c r="A1969" s="7" t="s">
        <v>141</v>
      </c>
      <c r="B1969" s="7" t="str">
        <f>TEXT(Table1[[#This Row],[Date]],"MMM")</f>
        <v>Mar</v>
      </c>
      <c r="C1969" t="s">
        <v>44</v>
      </c>
      <c r="D1969" t="s">
        <v>45</v>
      </c>
      <c r="E1969" t="s">
        <v>29</v>
      </c>
      <c r="F1969" t="s">
        <v>30</v>
      </c>
      <c r="G1969" t="s">
        <v>62</v>
      </c>
      <c r="H1969" t="s">
        <v>51</v>
      </c>
      <c r="I1969" s="9">
        <v>150000</v>
      </c>
      <c r="J1969">
        <v>2</v>
      </c>
      <c r="K1969" t="s">
        <v>58</v>
      </c>
      <c r="L1969" s="9">
        <f t="shared" si="30"/>
        <v>120000</v>
      </c>
      <c r="M1969" s="9">
        <f>Table1[[#This Row],[Unit Price]]*Table1[[#This Row],[Quantity]]</f>
        <v>300000</v>
      </c>
      <c r="N1969" s="9">
        <f>Table1[[#This Row],[Cost Price]]*Table1[[#This Row],[Quantity]]</f>
        <v>240000</v>
      </c>
      <c r="O1969" s="9">
        <f>Table1[[#This Row],[Revenue]]-Table1[[#This Row],[COGS]]</f>
        <v>60000</v>
      </c>
      <c r="P1969" s="6">
        <v>1968</v>
      </c>
    </row>
    <row r="1970" spans="1:16">
      <c r="A1970" s="7" t="s">
        <v>90</v>
      </c>
      <c r="B1970" s="7" t="str">
        <f>TEXT(Table1[[#This Row],[Date]],"MMM")</f>
        <v>Feb</v>
      </c>
      <c r="C1970" t="s">
        <v>27</v>
      </c>
      <c r="D1970" t="s">
        <v>28</v>
      </c>
      <c r="E1970" t="s">
        <v>29</v>
      </c>
      <c r="F1970" t="s">
        <v>30</v>
      </c>
      <c r="G1970" t="s">
        <v>54</v>
      </c>
      <c r="H1970" t="s">
        <v>39</v>
      </c>
      <c r="I1970" s="9">
        <v>180000</v>
      </c>
      <c r="J1970">
        <v>1</v>
      </c>
      <c r="K1970" t="s">
        <v>42</v>
      </c>
      <c r="L1970" s="9">
        <f t="shared" si="30"/>
        <v>144000</v>
      </c>
      <c r="M1970" s="9">
        <f>Table1[[#This Row],[Unit Price]]*Table1[[#This Row],[Quantity]]</f>
        <v>180000</v>
      </c>
      <c r="N1970" s="9">
        <f>Table1[[#This Row],[Cost Price]]*Table1[[#This Row],[Quantity]]</f>
        <v>144000</v>
      </c>
      <c r="O1970" s="9">
        <f>Table1[[#This Row],[Revenue]]-Table1[[#This Row],[COGS]]</f>
        <v>36000</v>
      </c>
      <c r="P1970" s="6">
        <v>1969</v>
      </c>
    </row>
    <row r="1971" spans="1:16">
      <c r="A1971" s="7" t="s">
        <v>140</v>
      </c>
      <c r="B1971" s="7" t="str">
        <f>TEXT(Table1[[#This Row],[Date]],"MMM")</f>
        <v>Apr</v>
      </c>
      <c r="C1971" t="s">
        <v>27</v>
      </c>
      <c r="D1971" t="s">
        <v>36</v>
      </c>
      <c r="E1971" t="s">
        <v>41</v>
      </c>
      <c r="F1971" t="s">
        <v>37</v>
      </c>
      <c r="G1971" t="s">
        <v>38</v>
      </c>
      <c r="H1971" t="s">
        <v>39</v>
      </c>
      <c r="I1971" s="9">
        <v>30000</v>
      </c>
      <c r="J1971">
        <v>10</v>
      </c>
      <c r="K1971" t="s">
        <v>65</v>
      </c>
      <c r="L1971" s="9">
        <f t="shared" si="30"/>
        <v>24000</v>
      </c>
      <c r="M1971" s="9">
        <f>Table1[[#This Row],[Unit Price]]*Table1[[#This Row],[Quantity]]</f>
        <v>300000</v>
      </c>
      <c r="N1971" s="9">
        <f>Table1[[#This Row],[Cost Price]]*Table1[[#This Row],[Quantity]]</f>
        <v>240000</v>
      </c>
      <c r="O1971" s="9">
        <f>Table1[[#This Row],[Revenue]]-Table1[[#This Row],[COGS]]</f>
        <v>60000</v>
      </c>
      <c r="P1971" s="6">
        <v>1970</v>
      </c>
    </row>
    <row r="1972" spans="1:16">
      <c r="A1972" s="7" t="s">
        <v>94</v>
      </c>
      <c r="B1972" s="7" t="str">
        <f>TEXT(Table1[[#This Row],[Date]],"MMM")</f>
        <v>Jan</v>
      </c>
      <c r="C1972" t="s">
        <v>49</v>
      </c>
      <c r="D1972" t="s">
        <v>36</v>
      </c>
      <c r="E1972" t="s">
        <v>29</v>
      </c>
      <c r="F1972" t="s">
        <v>37</v>
      </c>
      <c r="G1972" t="s">
        <v>62</v>
      </c>
      <c r="H1972" t="s">
        <v>51</v>
      </c>
      <c r="I1972" s="9">
        <v>150000</v>
      </c>
      <c r="J1972">
        <v>4</v>
      </c>
      <c r="K1972" t="s">
        <v>42</v>
      </c>
      <c r="L1972" s="9">
        <f t="shared" si="30"/>
        <v>120000</v>
      </c>
      <c r="M1972" s="9">
        <f>Table1[[#This Row],[Unit Price]]*Table1[[#This Row],[Quantity]]</f>
        <v>600000</v>
      </c>
      <c r="N1972" s="9">
        <f>Table1[[#This Row],[Cost Price]]*Table1[[#This Row],[Quantity]]</f>
        <v>480000</v>
      </c>
      <c r="O1972" s="9">
        <f>Table1[[#This Row],[Revenue]]-Table1[[#This Row],[COGS]]</f>
        <v>120000</v>
      </c>
      <c r="P1972" s="6">
        <v>1971</v>
      </c>
    </row>
    <row r="1973" spans="1:16">
      <c r="A1973" s="7" t="s">
        <v>84</v>
      </c>
      <c r="B1973" s="7" t="str">
        <f>TEXT(Table1[[#This Row],[Date]],"MMM")</f>
        <v>Jan</v>
      </c>
      <c r="C1973" t="s">
        <v>49</v>
      </c>
      <c r="D1973" t="s">
        <v>45</v>
      </c>
      <c r="E1973" t="s">
        <v>29</v>
      </c>
      <c r="F1973" t="s">
        <v>30</v>
      </c>
      <c r="G1973" t="s">
        <v>38</v>
      </c>
      <c r="H1973" t="s">
        <v>39</v>
      </c>
      <c r="I1973" s="9">
        <v>30000</v>
      </c>
      <c r="J1973">
        <v>1</v>
      </c>
      <c r="K1973" t="s">
        <v>42</v>
      </c>
      <c r="L1973" s="9">
        <f t="shared" si="30"/>
        <v>24000</v>
      </c>
      <c r="M1973" s="9">
        <f>Table1[[#This Row],[Unit Price]]*Table1[[#This Row],[Quantity]]</f>
        <v>30000</v>
      </c>
      <c r="N1973" s="9">
        <f>Table1[[#This Row],[Cost Price]]*Table1[[#This Row],[Quantity]]</f>
        <v>24000</v>
      </c>
      <c r="O1973" s="9">
        <f>Table1[[#This Row],[Revenue]]-Table1[[#This Row],[COGS]]</f>
        <v>6000</v>
      </c>
      <c r="P1973" s="6">
        <v>1972</v>
      </c>
    </row>
    <row r="1974" spans="1:16">
      <c r="A1974" s="7" t="s">
        <v>60</v>
      </c>
      <c r="B1974" s="7" t="str">
        <f>TEXT(Table1[[#This Row],[Date]],"MMM")</f>
        <v>Mar</v>
      </c>
      <c r="C1974" t="s">
        <v>49</v>
      </c>
      <c r="D1974" t="s">
        <v>36</v>
      </c>
      <c r="E1974" t="s">
        <v>29</v>
      </c>
      <c r="F1974" t="s">
        <v>30</v>
      </c>
      <c r="G1974" t="s">
        <v>38</v>
      </c>
      <c r="H1974" t="s">
        <v>39</v>
      </c>
      <c r="I1974" s="9">
        <v>30000</v>
      </c>
      <c r="J1974">
        <v>6</v>
      </c>
      <c r="K1974" t="s">
        <v>58</v>
      </c>
      <c r="L1974" s="9">
        <f t="shared" si="30"/>
        <v>24000</v>
      </c>
      <c r="M1974" s="9">
        <f>Table1[[#This Row],[Unit Price]]*Table1[[#This Row],[Quantity]]</f>
        <v>180000</v>
      </c>
      <c r="N1974" s="9">
        <f>Table1[[#This Row],[Cost Price]]*Table1[[#This Row],[Quantity]]</f>
        <v>144000</v>
      </c>
      <c r="O1974" s="9">
        <f>Table1[[#This Row],[Revenue]]-Table1[[#This Row],[COGS]]</f>
        <v>36000</v>
      </c>
      <c r="P1974" s="6">
        <v>1973</v>
      </c>
    </row>
    <row r="1975" spans="1:16">
      <c r="A1975" s="7" t="s">
        <v>140</v>
      </c>
      <c r="B1975" s="7" t="str">
        <f>TEXT(Table1[[#This Row],[Date]],"MMM")</f>
        <v>Apr</v>
      </c>
      <c r="C1975" t="s">
        <v>44</v>
      </c>
      <c r="D1975" t="s">
        <v>28</v>
      </c>
      <c r="E1975" t="s">
        <v>41</v>
      </c>
      <c r="F1975" t="s">
        <v>30</v>
      </c>
      <c r="G1975" t="s">
        <v>54</v>
      </c>
      <c r="H1975" t="s">
        <v>39</v>
      </c>
      <c r="I1975" s="9">
        <v>180000</v>
      </c>
      <c r="J1975">
        <v>7</v>
      </c>
      <c r="K1975" t="s">
        <v>33</v>
      </c>
      <c r="L1975" s="9">
        <f t="shared" si="30"/>
        <v>144000</v>
      </c>
      <c r="M1975" s="9">
        <f>Table1[[#This Row],[Unit Price]]*Table1[[#This Row],[Quantity]]</f>
        <v>1260000</v>
      </c>
      <c r="N1975" s="9">
        <f>Table1[[#This Row],[Cost Price]]*Table1[[#This Row],[Quantity]]</f>
        <v>1008000</v>
      </c>
      <c r="O1975" s="9">
        <f>Table1[[#This Row],[Revenue]]-Table1[[#This Row],[COGS]]</f>
        <v>252000</v>
      </c>
      <c r="P1975" s="6">
        <v>1974</v>
      </c>
    </row>
    <row r="1976" spans="1:16">
      <c r="A1976" s="7" t="s">
        <v>139</v>
      </c>
      <c r="B1976" s="7" t="str">
        <f>TEXT(Table1[[#This Row],[Date]],"MMM")</f>
        <v>Jan</v>
      </c>
      <c r="C1976" t="s">
        <v>44</v>
      </c>
      <c r="D1976" t="s">
        <v>53</v>
      </c>
      <c r="E1976" t="s">
        <v>29</v>
      </c>
      <c r="F1976" t="s">
        <v>30</v>
      </c>
      <c r="G1976" t="s">
        <v>46</v>
      </c>
      <c r="H1976" t="s">
        <v>39</v>
      </c>
      <c r="I1976" s="9">
        <v>60000</v>
      </c>
      <c r="J1976">
        <v>8</v>
      </c>
      <c r="K1976" t="s">
        <v>69</v>
      </c>
      <c r="L1976" s="9">
        <f t="shared" si="30"/>
        <v>48000</v>
      </c>
      <c r="M1976" s="9">
        <f>Table1[[#This Row],[Unit Price]]*Table1[[#This Row],[Quantity]]</f>
        <v>480000</v>
      </c>
      <c r="N1976" s="9">
        <f>Table1[[#This Row],[Cost Price]]*Table1[[#This Row],[Quantity]]</f>
        <v>384000</v>
      </c>
      <c r="O1976" s="9">
        <f>Table1[[#This Row],[Revenue]]-Table1[[#This Row],[COGS]]</f>
        <v>96000</v>
      </c>
      <c r="P1976" s="6">
        <v>1975</v>
      </c>
    </row>
    <row r="1977" spans="1:16">
      <c r="A1977" s="7" t="s">
        <v>113</v>
      </c>
      <c r="B1977" s="7" t="str">
        <f>TEXT(Table1[[#This Row],[Date]],"MMM")</f>
        <v>Apr</v>
      </c>
      <c r="C1977" t="s">
        <v>44</v>
      </c>
      <c r="D1977" t="s">
        <v>36</v>
      </c>
      <c r="E1977" t="s">
        <v>29</v>
      </c>
      <c r="F1977" t="s">
        <v>30</v>
      </c>
      <c r="G1977" t="s">
        <v>46</v>
      </c>
      <c r="H1977" t="s">
        <v>39</v>
      </c>
      <c r="I1977" s="9">
        <v>60000</v>
      </c>
      <c r="J1977">
        <v>2</v>
      </c>
      <c r="K1977" t="s">
        <v>65</v>
      </c>
      <c r="L1977" s="9">
        <f t="shared" si="30"/>
        <v>48000</v>
      </c>
      <c r="M1977" s="9">
        <f>Table1[[#This Row],[Unit Price]]*Table1[[#This Row],[Quantity]]</f>
        <v>120000</v>
      </c>
      <c r="N1977" s="9">
        <f>Table1[[#This Row],[Cost Price]]*Table1[[#This Row],[Quantity]]</f>
        <v>96000</v>
      </c>
      <c r="O1977" s="9">
        <f>Table1[[#This Row],[Revenue]]-Table1[[#This Row],[COGS]]</f>
        <v>24000</v>
      </c>
      <c r="P1977" s="6">
        <v>1976</v>
      </c>
    </row>
    <row r="1978" spans="1:16">
      <c r="A1978" s="7" t="s">
        <v>112</v>
      </c>
      <c r="B1978" s="7" t="str">
        <f>TEXT(Table1[[#This Row],[Date]],"MMM")</f>
        <v>Feb</v>
      </c>
      <c r="C1978" t="s">
        <v>44</v>
      </c>
      <c r="D1978" t="s">
        <v>45</v>
      </c>
      <c r="E1978" t="s">
        <v>29</v>
      </c>
      <c r="F1978" t="s">
        <v>37</v>
      </c>
      <c r="G1978" t="s">
        <v>31</v>
      </c>
      <c r="H1978" t="s">
        <v>32</v>
      </c>
      <c r="I1978" s="9">
        <v>85000</v>
      </c>
      <c r="J1978">
        <v>1</v>
      </c>
      <c r="K1978" t="s">
        <v>58</v>
      </c>
      <c r="L1978" s="9">
        <f t="shared" si="30"/>
        <v>68000</v>
      </c>
      <c r="M1978" s="9">
        <f>Table1[[#This Row],[Unit Price]]*Table1[[#This Row],[Quantity]]</f>
        <v>85000</v>
      </c>
      <c r="N1978" s="9">
        <f>Table1[[#This Row],[Cost Price]]*Table1[[#This Row],[Quantity]]</f>
        <v>68000</v>
      </c>
      <c r="O1978" s="9">
        <f>Table1[[#This Row],[Revenue]]-Table1[[#This Row],[COGS]]</f>
        <v>17000</v>
      </c>
      <c r="P1978" s="6">
        <v>1977</v>
      </c>
    </row>
    <row r="1979" spans="1:16">
      <c r="A1979" s="7" t="s">
        <v>143</v>
      </c>
      <c r="B1979" s="7" t="str">
        <f>TEXT(Table1[[#This Row],[Date]],"MMM")</f>
        <v>Apr</v>
      </c>
      <c r="C1979" t="s">
        <v>49</v>
      </c>
      <c r="D1979" t="s">
        <v>45</v>
      </c>
      <c r="E1979" t="s">
        <v>41</v>
      </c>
      <c r="F1979" t="s">
        <v>30</v>
      </c>
      <c r="G1979" t="s">
        <v>38</v>
      </c>
      <c r="H1979" t="s">
        <v>39</v>
      </c>
      <c r="I1979" s="9">
        <v>30000</v>
      </c>
      <c r="J1979">
        <v>8</v>
      </c>
      <c r="K1979" t="s">
        <v>65</v>
      </c>
      <c r="L1979" s="9">
        <f t="shared" si="30"/>
        <v>24000</v>
      </c>
      <c r="M1979" s="9">
        <f>Table1[[#This Row],[Unit Price]]*Table1[[#This Row],[Quantity]]</f>
        <v>240000</v>
      </c>
      <c r="N1979" s="9">
        <f>Table1[[#This Row],[Cost Price]]*Table1[[#This Row],[Quantity]]</f>
        <v>192000</v>
      </c>
      <c r="O1979" s="9">
        <f>Table1[[#This Row],[Revenue]]-Table1[[#This Row],[COGS]]</f>
        <v>48000</v>
      </c>
      <c r="P1979" s="6">
        <v>1978</v>
      </c>
    </row>
    <row r="1980" spans="1:16">
      <c r="A1980" s="7" t="s">
        <v>174</v>
      </c>
      <c r="B1980" s="7" t="str">
        <f>TEXT(Table1[[#This Row],[Date]],"MMM")</f>
        <v>Feb</v>
      </c>
      <c r="C1980" t="s">
        <v>49</v>
      </c>
      <c r="D1980" t="s">
        <v>53</v>
      </c>
      <c r="E1980" t="s">
        <v>29</v>
      </c>
      <c r="F1980" t="s">
        <v>37</v>
      </c>
      <c r="G1980" t="s">
        <v>46</v>
      </c>
      <c r="H1980" t="s">
        <v>39</v>
      </c>
      <c r="I1980" s="9">
        <v>60000</v>
      </c>
      <c r="J1980">
        <v>10</v>
      </c>
      <c r="K1980" t="s">
        <v>65</v>
      </c>
      <c r="L1980" s="9">
        <f t="shared" si="30"/>
        <v>48000</v>
      </c>
      <c r="M1980" s="9">
        <f>Table1[[#This Row],[Unit Price]]*Table1[[#This Row],[Quantity]]</f>
        <v>600000</v>
      </c>
      <c r="N1980" s="9">
        <f>Table1[[#This Row],[Cost Price]]*Table1[[#This Row],[Quantity]]</f>
        <v>480000</v>
      </c>
      <c r="O1980" s="9">
        <f>Table1[[#This Row],[Revenue]]-Table1[[#This Row],[COGS]]</f>
        <v>120000</v>
      </c>
      <c r="P1980" s="6">
        <v>1979</v>
      </c>
    </row>
    <row r="1981" spans="1:16">
      <c r="A1981" s="7" t="s">
        <v>77</v>
      </c>
      <c r="B1981" s="7" t="str">
        <f>TEXT(Table1[[#This Row],[Date]],"MMM")</f>
        <v>Apr</v>
      </c>
      <c r="C1981" t="s">
        <v>27</v>
      </c>
      <c r="D1981" t="s">
        <v>28</v>
      </c>
      <c r="E1981" t="s">
        <v>41</v>
      </c>
      <c r="F1981" t="s">
        <v>37</v>
      </c>
      <c r="G1981" t="s">
        <v>62</v>
      </c>
      <c r="H1981" t="s">
        <v>51</v>
      </c>
      <c r="I1981" s="9">
        <v>150000</v>
      </c>
      <c r="J1981">
        <v>1</v>
      </c>
      <c r="K1981" t="s">
        <v>33</v>
      </c>
      <c r="L1981" s="9">
        <f t="shared" si="30"/>
        <v>120000</v>
      </c>
      <c r="M1981" s="9">
        <f>Table1[[#This Row],[Unit Price]]*Table1[[#This Row],[Quantity]]</f>
        <v>150000</v>
      </c>
      <c r="N1981" s="9">
        <f>Table1[[#This Row],[Cost Price]]*Table1[[#This Row],[Quantity]]</f>
        <v>120000</v>
      </c>
      <c r="O1981" s="9">
        <f>Table1[[#This Row],[Revenue]]-Table1[[#This Row],[COGS]]</f>
        <v>30000</v>
      </c>
      <c r="P1981" s="6">
        <v>1980</v>
      </c>
    </row>
    <row r="1982" spans="1:16">
      <c r="A1982" s="7" t="s">
        <v>109</v>
      </c>
      <c r="B1982" s="7" t="str">
        <f>TEXT(Table1[[#This Row],[Date]],"MMM")</f>
        <v>Mar</v>
      </c>
      <c r="C1982" t="s">
        <v>44</v>
      </c>
      <c r="D1982" t="s">
        <v>28</v>
      </c>
      <c r="E1982" t="s">
        <v>41</v>
      </c>
      <c r="F1982" t="s">
        <v>37</v>
      </c>
      <c r="G1982" t="s">
        <v>46</v>
      </c>
      <c r="H1982" t="s">
        <v>39</v>
      </c>
      <c r="I1982" s="9">
        <v>60000</v>
      </c>
      <c r="J1982">
        <v>9</v>
      </c>
      <c r="K1982" t="s">
        <v>69</v>
      </c>
      <c r="L1982" s="9">
        <f t="shared" si="30"/>
        <v>48000</v>
      </c>
      <c r="M1982" s="9">
        <f>Table1[[#This Row],[Unit Price]]*Table1[[#This Row],[Quantity]]</f>
        <v>540000</v>
      </c>
      <c r="N1982" s="9">
        <f>Table1[[#This Row],[Cost Price]]*Table1[[#This Row],[Quantity]]</f>
        <v>432000</v>
      </c>
      <c r="O1982" s="9">
        <f>Table1[[#This Row],[Revenue]]-Table1[[#This Row],[COGS]]</f>
        <v>108000</v>
      </c>
      <c r="P1982" s="6">
        <v>1981</v>
      </c>
    </row>
    <row r="1983" spans="1:16">
      <c r="A1983" s="7" t="s">
        <v>70</v>
      </c>
      <c r="B1983" s="7" t="str">
        <f>TEXT(Table1[[#This Row],[Date]],"MMM")</f>
        <v>Apr</v>
      </c>
      <c r="C1983" t="s">
        <v>49</v>
      </c>
      <c r="D1983" t="s">
        <v>53</v>
      </c>
      <c r="E1983" t="s">
        <v>29</v>
      </c>
      <c r="F1983" t="s">
        <v>30</v>
      </c>
      <c r="G1983" t="s">
        <v>46</v>
      </c>
      <c r="H1983" t="s">
        <v>39</v>
      </c>
      <c r="I1983" s="9">
        <v>60000</v>
      </c>
      <c r="J1983">
        <v>5</v>
      </c>
      <c r="K1983" t="s">
        <v>69</v>
      </c>
      <c r="L1983" s="9">
        <f t="shared" si="30"/>
        <v>48000</v>
      </c>
      <c r="M1983" s="9">
        <f>Table1[[#This Row],[Unit Price]]*Table1[[#This Row],[Quantity]]</f>
        <v>300000</v>
      </c>
      <c r="N1983" s="9">
        <f>Table1[[#This Row],[Cost Price]]*Table1[[#This Row],[Quantity]]</f>
        <v>240000</v>
      </c>
      <c r="O1983" s="9">
        <f>Table1[[#This Row],[Revenue]]-Table1[[#This Row],[COGS]]</f>
        <v>60000</v>
      </c>
      <c r="P1983" s="6">
        <v>1982</v>
      </c>
    </row>
    <row r="1984" spans="1:16">
      <c r="A1984" s="7" t="s">
        <v>163</v>
      </c>
      <c r="B1984" s="7" t="str">
        <f>TEXT(Table1[[#This Row],[Date]],"MMM")</f>
        <v>Apr</v>
      </c>
      <c r="C1984" t="s">
        <v>35</v>
      </c>
      <c r="D1984" t="s">
        <v>28</v>
      </c>
      <c r="E1984" t="s">
        <v>29</v>
      </c>
      <c r="F1984" t="s">
        <v>37</v>
      </c>
      <c r="G1984" t="s">
        <v>73</v>
      </c>
      <c r="H1984" t="s">
        <v>39</v>
      </c>
      <c r="I1984" s="9">
        <v>220000</v>
      </c>
      <c r="J1984">
        <v>8</v>
      </c>
      <c r="K1984" t="s">
        <v>33</v>
      </c>
      <c r="L1984" s="9">
        <f t="shared" si="30"/>
        <v>176000</v>
      </c>
      <c r="M1984" s="9">
        <f>Table1[[#This Row],[Unit Price]]*Table1[[#This Row],[Quantity]]</f>
        <v>1760000</v>
      </c>
      <c r="N1984" s="9">
        <f>Table1[[#This Row],[Cost Price]]*Table1[[#This Row],[Quantity]]</f>
        <v>1408000</v>
      </c>
      <c r="O1984" s="9">
        <f>Table1[[#This Row],[Revenue]]-Table1[[#This Row],[COGS]]</f>
        <v>352000</v>
      </c>
      <c r="P1984" s="6">
        <v>1983</v>
      </c>
    </row>
    <row r="1985" spans="1:16">
      <c r="A1985" s="7" t="s">
        <v>90</v>
      </c>
      <c r="B1985" s="7" t="str">
        <f>TEXT(Table1[[#This Row],[Date]],"MMM")</f>
        <v>Feb</v>
      </c>
      <c r="C1985" t="s">
        <v>27</v>
      </c>
      <c r="D1985" t="s">
        <v>28</v>
      </c>
      <c r="E1985" t="s">
        <v>29</v>
      </c>
      <c r="F1985" t="s">
        <v>37</v>
      </c>
      <c r="G1985" t="s">
        <v>31</v>
      </c>
      <c r="H1985" t="s">
        <v>32</v>
      </c>
      <c r="I1985" s="9">
        <v>85000</v>
      </c>
      <c r="J1985">
        <v>2</v>
      </c>
      <c r="K1985" t="s">
        <v>65</v>
      </c>
      <c r="L1985" s="9">
        <f t="shared" si="30"/>
        <v>68000</v>
      </c>
      <c r="M1985" s="9">
        <f>Table1[[#This Row],[Unit Price]]*Table1[[#This Row],[Quantity]]</f>
        <v>170000</v>
      </c>
      <c r="N1985" s="9">
        <f>Table1[[#This Row],[Cost Price]]*Table1[[#This Row],[Quantity]]</f>
        <v>136000</v>
      </c>
      <c r="O1985" s="9">
        <f>Table1[[#This Row],[Revenue]]-Table1[[#This Row],[COGS]]</f>
        <v>34000</v>
      </c>
      <c r="P1985" s="6">
        <v>1984</v>
      </c>
    </row>
    <row r="1986" spans="1:16">
      <c r="A1986" s="7" t="s">
        <v>48</v>
      </c>
      <c r="B1986" s="7" t="str">
        <f>TEXT(Table1[[#This Row],[Date]],"MMM")</f>
        <v>Apr</v>
      </c>
      <c r="C1986" t="s">
        <v>44</v>
      </c>
      <c r="D1986" t="s">
        <v>53</v>
      </c>
      <c r="E1986" t="s">
        <v>29</v>
      </c>
      <c r="F1986" t="s">
        <v>37</v>
      </c>
      <c r="G1986" t="s">
        <v>56</v>
      </c>
      <c r="H1986" t="s">
        <v>32</v>
      </c>
      <c r="I1986" s="9">
        <v>320000</v>
      </c>
      <c r="J1986">
        <v>7</v>
      </c>
      <c r="K1986" t="s">
        <v>65</v>
      </c>
      <c r="L1986" s="9">
        <f t="shared" ref="L1986:L2049" si="31">I1986-I1986*0.2</f>
        <v>256000</v>
      </c>
      <c r="M1986" s="9">
        <f>Table1[[#This Row],[Unit Price]]*Table1[[#This Row],[Quantity]]</f>
        <v>2240000</v>
      </c>
      <c r="N1986" s="9">
        <f>Table1[[#This Row],[Cost Price]]*Table1[[#This Row],[Quantity]]</f>
        <v>1792000</v>
      </c>
      <c r="O1986" s="9">
        <f>Table1[[#This Row],[Revenue]]-Table1[[#This Row],[COGS]]</f>
        <v>448000</v>
      </c>
      <c r="P1986" s="6">
        <v>1985</v>
      </c>
    </row>
    <row r="1987" spans="1:16">
      <c r="A1987" s="7" t="s">
        <v>74</v>
      </c>
      <c r="B1987" s="7" t="str">
        <f>TEXT(Table1[[#This Row],[Date]],"MMM")</f>
        <v>Feb</v>
      </c>
      <c r="C1987" t="s">
        <v>44</v>
      </c>
      <c r="D1987" t="s">
        <v>53</v>
      </c>
      <c r="E1987" t="s">
        <v>29</v>
      </c>
      <c r="F1987" t="s">
        <v>30</v>
      </c>
      <c r="G1987" t="s">
        <v>71</v>
      </c>
      <c r="H1987" t="s">
        <v>51</v>
      </c>
      <c r="I1987" s="9">
        <v>250000</v>
      </c>
      <c r="J1987">
        <v>4</v>
      </c>
      <c r="K1987" t="s">
        <v>33</v>
      </c>
      <c r="L1987" s="9">
        <f t="shared" si="31"/>
        <v>200000</v>
      </c>
      <c r="M1987" s="9">
        <f>Table1[[#This Row],[Unit Price]]*Table1[[#This Row],[Quantity]]</f>
        <v>1000000</v>
      </c>
      <c r="N1987" s="9">
        <f>Table1[[#This Row],[Cost Price]]*Table1[[#This Row],[Quantity]]</f>
        <v>800000</v>
      </c>
      <c r="O1987" s="9">
        <f>Table1[[#This Row],[Revenue]]-Table1[[#This Row],[COGS]]</f>
        <v>200000</v>
      </c>
      <c r="P1987" s="6">
        <v>1986</v>
      </c>
    </row>
    <row r="1988" spans="1:16">
      <c r="A1988" s="7" t="s">
        <v>64</v>
      </c>
      <c r="B1988" s="7" t="str">
        <f>TEXT(Table1[[#This Row],[Date]],"MMM")</f>
        <v>Apr</v>
      </c>
      <c r="C1988" t="s">
        <v>35</v>
      </c>
      <c r="D1988" t="s">
        <v>28</v>
      </c>
      <c r="E1988" t="s">
        <v>41</v>
      </c>
      <c r="F1988" t="s">
        <v>37</v>
      </c>
      <c r="G1988" t="s">
        <v>62</v>
      </c>
      <c r="H1988" t="s">
        <v>51</v>
      </c>
      <c r="I1988" s="9">
        <v>150000</v>
      </c>
      <c r="J1988">
        <v>6</v>
      </c>
      <c r="K1988" t="s">
        <v>42</v>
      </c>
      <c r="L1988" s="9">
        <f t="shared" si="31"/>
        <v>120000</v>
      </c>
      <c r="M1988" s="9">
        <f>Table1[[#This Row],[Unit Price]]*Table1[[#This Row],[Quantity]]</f>
        <v>900000</v>
      </c>
      <c r="N1988" s="9">
        <f>Table1[[#This Row],[Cost Price]]*Table1[[#This Row],[Quantity]]</f>
        <v>720000</v>
      </c>
      <c r="O1988" s="9">
        <f>Table1[[#This Row],[Revenue]]-Table1[[#This Row],[COGS]]</f>
        <v>180000</v>
      </c>
      <c r="P1988" s="6">
        <v>1987</v>
      </c>
    </row>
    <row r="1989" spans="1:16">
      <c r="A1989" s="7" t="s">
        <v>172</v>
      </c>
      <c r="B1989" s="7" t="str">
        <f>TEXT(Table1[[#This Row],[Date]],"MMM")</f>
        <v>Mar</v>
      </c>
      <c r="C1989" t="s">
        <v>49</v>
      </c>
      <c r="D1989" t="s">
        <v>53</v>
      </c>
      <c r="E1989" t="s">
        <v>29</v>
      </c>
      <c r="F1989" t="s">
        <v>30</v>
      </c>
      <c r="G1989" t="s">
        <v>50</v>
      </c>
      <c r="H1989" t="s">
        <v>51</v>
      </c>
      <c r="I1989" s="9">
        <v>300000</v>
      </c>
      <c r="J1989">
        <v>8</v>
      </c>
      <c r="K1989" t="s">
        <v>42</v>
      </c>
      <c r="L1989" s="9">
        <f t="shared" si="31"/>
        <v>240000</v>
      </c>
      <c r="M1989" s="9">
        <f>Table1[[#This Row],[Unit Price]]*Table1[[#This Row],[Quantity]]</f>
        <v>2400000</v>
      </c>
      <c r="N1989" s="9">
        <f>Table1[[#This Row],[Cost Price]]*Table1[[#This Row],[Quantity]]</f>
        <v>1920000</v>
      </c>
      <c r="O1989" s="9">
        <f>Table1[[#This Row],[Revenue]]-Table1[[#This Row],[COGS]]</f>
        <v>480000</v>
      </c>
      <c r="P1989" s="6">
        <v>1988</v>
      </c>
    </row>
    <row r="1990" spans="1:16">
      <c r="A1990" s="7" t="s">
        <v>52</v>
      </c>
      <c r="B1990" s="7" t="str">
        <f>TEXT(Table1[[#This Row],[Date]],"MMM")</f>
        <v>Mar</v>
      </c>
      <c r="C1990" t="s">
        <v>27</v>
      </c>
      <c r="D1990" t="s">
        <v>36</v>
      </c>
      <c r="E1990" t="s">
        <v>29</v>
      </c>
      <c r="F1990" t="s">
        <v>37</v>
      </c>
      <c r="G1990" t="s">
        <v>50</v>
      </c>
      <c r="H1990" t="s">
        <v>51</v>
      </c>
      <c r="I1990" s="9">
        <v>300000</v>
      </c>
      <c r="J1990">
        <v>10</v>
      </c>
      <c r="K1990" t="s">
        <v>33</v>
      </c>
      <c r="L1990" s="9">
        <f t="shared" si="31"/>
        <v>240000</v>
      </c>
      <c r="M1990" s="9">
        <f>Table1[[#This Row],[Unit Price]]*Table1[[#This Row],[Quantity]]</f>
        <v>3000000</v>
      </c>
      <c r="N1990" s="9">
        <f>Table1[[#This Row],[Cost Price]]*Table1[[#This Row],[Quantity]]</f>
        <v>2400000</v>
      </c>
      <c r="O1990" s="9">
        <f>Table1[[#This Row],[Revenue]]-Table1[[#This Row],[COGS]]</f>
        <v>600000</v>
      </c>
      <c r="P1990" s="6">
        <v>1989</v>
      </c>
    </row>
    <row r="1991" spans="1:16">
      <c r="A1991" s="7" t="s">
        <v>70</v>
      </c>
      <c r="B1991" s="7" t="str">
        <f>TEXT(Table1[[#This Row],[Date]],"MMM")</f>
        <v>Apr</v>
      </c>
      <c r="C1991" t="s">
        <v>49</v>
      </c>
      <c r="D1991" t="s">
        <v>45</v>
      </c>
      <c r="E1991" t="s">
        <v>41</v>
      </c>
      <c r="F1991" t="s">
        <v>37</v>
      </c>
      <c r="G1991" t="s">
        <v>56</v>
      </c>
      <c r="H1991" t="s">
        <v>32</v>
      </c>
      <c r="I1991" s="9">
        <v>320000</v>
      </c>
      <c r="J1991">
        <v>1</v>
      </c>
      <c r="K1991" t="s">
        <v>47</v>
      </c>
      <c r="L1991" s="9">
        <f t="shared" si="31"/>
        <v>256000</v>
      </c>
      <c r="M1991" s="9">
        <f>Table1[[#This Row],[Unit Price]]*Table1[[#This Row],[Quantity]]</f>
        <v>320000</v>
      </c>
      <c r="N1991" s="9">
        <f>Table1[[#This Row],[Cost Price]]*Table1[[#This Row],[Quantity]]</f>
        <v>256000</v>
      </c>
      <c r="O1991" s="9">
        <f>Table1[[#This Row],[Revenue]]-Table1[[#This Row],[COGS]]</f>
        <v>64000</v>
      </c>
      <c r="P1991" s="6">
        <v>1990</v>
      </c>
    </row>
    <row r="1992" spans="1:16">
      <c r="A1992" s="7" t="s">
        <v>140</v>
      </c>
      <c r="B1992" s="7" t="str">
        <f>TEXT(Table1[[#This Row],[Date]],"MMM")</f>
        <v>Apr</v>
      </c>
      <c r="C1992" t="s">
        <v>44</v>
      </c>
      <c r="D1992" t="s">
        <v>36</v>
      </c>
      <c r="E1992" t="s">
        <v>41</v>
      </c>
      <c r="F1992" t="s">
        <v>37</v>
      </c>
      <c r="G1992" t="s">
        <v>56</v>
      </c>
      <c r="H1992" t="s">
        <v>32</v>
      </c>
      <c r="I1992" s="9">
        <v>320000</v>
      </c>
      <c r="J1992">
        <v>3</v>
      </c>
      <c r="K1992" t="s">
        <v>47</v>
      </c>
      <c r="L1992" s="9">
        <f t="shared" si="31"/>
        <v>256000</v>
      </c>
      <c r="M1992" s="9">
        <f>Table1[[#This Row],[Unit Price]]*Table1[[#This Row],[Quantity]]</f>
        <v>960000</v>
      </c>
      <c r="N1992" s="9">
        <f>Table1[[#This Row],[Cost Price]]*Table1[[#This Row],[Quantity]]</f>
        <v>768000</v>
      </c>
      <c r="O1992" s="9">
        <f>Table1[[#This Row],[Revenue]]-Table1[[#This Row],[COGS]]</f>
        <v>192000</v>
      </c>
      <c r="P1992" s="6">
        <v>1991</v>
      </c>
    </row>
    <row r="1993" spans="1:16">
      <c r="A1993" s="7" t="s">
        <v>103</v>
      </c>
      <c r="B1993" s="7" t="str">
        <f>TEXT(Table1[[#This Row],[Date]],"MMM")</f>
        <v>Mar</v>
      </c>
      <c r="C1993" t="s">
        <v>27</v>
      </c>
      <c r="D1993" t="s">
        <v>28</v>
      </c>
      <c r="E1993" t="s">
        <v>41</v>
      </c>
      <c r="F1993" t="s">
        <v>30</v>
      </c>
      <c r="G1993" t="s">
        <v>62</v>
      </c>
      <c r="H1993" t="s">
        <v>51</v>
      </c>
      <c r="I1993" s="9">
        <v>150000</v>
      </c>
      <c r="J1993">
        <v>6</v>
      </c>
      <c r="K1993" t="s">
        <v>58</v>
      </c>
      <c r="L1993" s="9">
        <f t="shared" si="31"/>
        <v>120000</v>
      </c>
      <c r="M1993" s="9">
        <f>Table1[[#This Row],[Unit Price]]*Table1[[#This Row],[Quantity]]</f>
        <v>900000</v>
      </c>
      <c r="N1993" s="9">
        <f>Table1[[#This Row],[Cost Price]]*Table1[[#This Row],[Quantity]]</f>
        <v>720000</v>
      </c>
      <c r="O1993" s="9">
        <f>Table1[[#This Row],[Revenue]]-Table1[[#This Row],[COGS]]</f>
        <v>180000</v>
      </c>
      <c r="P1993" s="6">
        <v>1992</v>
      </c>
    </row>
    <row r="1994" spans="1:16">
      <c r="A1994" s="7" t="s">
        <v>133</v>
      </c>
      <c r="B1994" s="7" t="str">
        <f>TEXT(Table1[[#This Row],[Date]],"MMM")</f>
        <v>Jan</v>
      </c>
      <c r="C1994" t="s">
        <v>35</v>
      </c>
      <c r="D1994" t="s">
        <v>36</v>
      </c>
      <c r="E1994" t="s">
        <v>29</v>
      </c>
      <c r="F1994" t="s">
        <v>30</v>
      </c>
      <c r="G1994" t="s">
        <v>54</v>
      </c>
      <c r="H1994" t="s">
        <v>39</v>
      </c>
      <c r="I1994" s="9">
        <v>180000</v>
      </c>
      <c r="J1994">
        <v>9</v>
      </c>
      <c r="K1994" t="s">
        <v>69</v>
      </c>
      <c r="L1994" s="9">
        <f t="shared" si="31"/>
        <v>144000</v>
      </c>
      <c r="M1994" s="9">
        <f>Table1[[#This Row],[Unit Price]]*Table1[[#This Row],[Quantity]]</f>
        <v>1620000</v>
      </c>
      <c r="N1994" s="9">
        <f>Table1[[#This Row],[Cost Price]]*Table1[[#This Row],[Quantity]]</f>
        <v>1296000</v>
      </c>
      <c r="O1994" s="9">
        <f>Table1[[#This Row],[Revenue]]-Table1[[#This Row],[COGS]]</f>
        <v>324000</v>
      </c>
      <c r="P1994" s="6">
        <v>1993</v>
      </c>
    </row>
    <row r="1995" spans="1:16">
      <c r="A1995" s="7" t="s">
        <v>109</v>
      </c>
      <c r="B1995" s="7" t="str">
        <f>TEXT(Table1[[#This Row],[Date]],"MMM")</f>
        <v>Mar</v>
      </c>
      <c r="C1995" t="s">
        <v>44</v>
      </c>
      <c r="D1995" t="s">
        <v>53</v>
      </c>
      <c r="E1995" t="s">
        <v>29</v>
      </c>
      <c r="F1995" t="s">
        <v>30</v>
      </c>
      <c r="G1995" t="s">
        <v>46</v>
      </c>
      <c r="H1995" t="s">
        <v>39</v>
      </c>
      <c r="I1995" s="9">
        <v>60000</v>
      </c>
      <c r="J1995">
        <v>2</v>
      </c>
      <c r="K1995" t="s">
        <v>58</v>
      </c>
      <c r="L1995" s="9">
        <f t="shared" si="31"/>
        <v>48000</v>
      </c>
      <c r="M1995" s="9">
        <f>Table1[[#This Row],[Unit Price]]*Table1[[#This Row],[Quantity]]</f>
        <v>120000</v>
      </c>
      <c r="N1995" s="9">
        <f>Table1[[#This Row],[Cost Price]]*Table1[[#This Row],[Quantity]]</f>
        <v>96000</v>
      </c>
      <c r="O1995" s="9">
        <f>Table1[[#This Row],[Revenue]]-Table1[[#This Row],[COGS]]</f>
        <v>24000</v>
      </c>
      <c r="P1995" s="6">
        <v>1994</v>
      </c>
    </row>
    <row r="1996" spans="1:16">
      <c r="A1996" s="7" t="s">
        <v>125</v>
      </c>
      <c r="B1996" s="7" t="str">
        <f>TEXT(Table1[[#This Row],[Date]],"MMM")</f>
        <v>Feb</v>
      </c>
      <c r="C1996" t="s">
        <v>35</v>
      </c>
      <c r="D1996" t="s">
        <v>45</v>
      </c>
      <c r="E1996" t="s">
        <v>29</v>
      </c>
      <c r="F1996" t="s">
        <v>37</v>
      </c>
      <c r="G1996" t="s">
        <v>62</v>
      </c>
      <c r="H1996" t="s">
        <v>51</v>
      </c>
      <c r="I1996" s="9">
        <v>150000</v>
      </c>
      <c r="J1996">
        <v>5</v>
      </c>
      <c r="K1996" t="s">
        <v>58</v>
      </c>
      <c r="L1996" s="9">
        <f t="shared" si="31"/>
        <v>120000</v>
      </c>
      <c r="M1996" s="9">
        <f>Table1[[#This Row],[Unit Price]]*Table1[[#This Row],[Quantity]]</f>
        <v>750000</v>
      </c>
      <c r="N1996" s="9">
        <f>Table1[[#This Row],[Cost Price]]*Table1[[#This Row],[Quantity]]</f>
        <v>600000</v>
      </c>
      <c r="O1996" s="9">
        <f>Table1[[#This Row],[Revenue]]-Table1[[#This Row],[COGS]]</f>
        <v>150000</v>
      </c>
      <c r="P1996" s="6">
        <v>1995</v>
      </c>
    </row>
    <row r="1997" spans="1:16">
      <c r="A1997" s="7" t="s">
        <v>70</v>
      </c>
      <c r="B1997" s="7" t="str">
        <f>TEXT(Table1[[#This Row],[Date]],"MMM")</f>
        <v>Apr</v>
      </c>
      <c r="C1997" t="s">
        <v>35</v>
      </c>
      <c r="D1997" t="s">
        <v>45</v>
      </c>
      <c r="E1997" t="s">
        <v>29</v>
      </c>
      <c r="F1997" t="s">
        <v>37</v>
      </c>
      <c r="G1997" t="s">
        <v>54</v>
      </c>
      <c r="H1997" t="s">
        <v>39</v>
      </c>
      <c r="I1997" s="9">
        <v>180000</v>
      </c>
      <c r="J1997">
        <v>10</v>
      </c>
      <c r="K1997" t="s">
        <v>58</v>
      </c>
      <c r="L1997" s="9">
        <f t="shared" si="31"/>
        <v>144000</v>
      </c>
      <c r="M1997" s="9">
        <f>Table1[[#This Row],[Unit Price]]*Table1[[#This Row],[Quantity]]</f>
        <v>1800000</v>
      </c>
      <c r="N1997" s="9">
        <f>Table1[[#This Row],[Cost Price]]*Table1[[#This Row],[Quantity]]</f>
        <v>1440000</v>
      </c>
      <c r="O1997" s="9">
        <f>Table1[[#This Row],[Revenue]]-Table1[[#This Row],[COGS]]</f>
        <v>360000</v>
      </c>
      <c r="P1997" s="6">
        <v>1996</v>
      </c>
    </row>
    <row r="1998" spans="1:16">
      <c r="A1998" s="7" t="s">
        <v>107</v>
      </c>
      <c r="B1998" s="7" t="str">
        <f>TEXT(Table1[[#This Row],[Date]],"MMM")</f>
        <v>Feb</v>
      </c>
      <c r="C1998" t="s">
        <v>27</v>
      </c>
      <c r="D1998" t="s">
        <v>28</v>
      </c>
      <c r="E1998" t="s">
        <v>29</v>
      </c>
      <c r="F1998" t="s">
        <v>30</v>
      </c>
      <c r="G1998" t="s">
        <v>31</v>
      </c>
      <c r="H1998" t="s">
        <v>32</v>
      </c>
      <c r="I1998" s="9">
        <v>85000</v>
      </c>
      <c r="J1998">
        <v>7</v>
      </c>
      <c r="K1998" t="s">
        <v>65</v>
      </c>
      <c r="L1998" s="9">
        <f t="shared" si="31"/>
        <v>68000</v>
      </c>
      <c r="M1998" s="9">
        <f>Table1[[#This Row],[Unit Price]]*Table1[[#This Row],[Quantity]]</f>
        <v>595000</v>
      </c>
      <c r="N1998" s="9">
        <f>Table1[[#This Row],[Cost Price]]*Table1[[#This Row],[Quantity]]</f>
        <v>476000</v>
      </c>
      <c r="O1998" s="9">
        <f>Table1[[#This Row],[Revenue]]-Table1[[#This Row],[COGS]]</f>
        <v>119000</v>
      </c>
      <c r="P1998" s="6">
        <v>1997</v>
      </c>
    </row>
    <row r="1999" spans="1:16">
      <c r="A1999" s="7" t="s">
        <v>26</v>
      </c>
      <c r="B1999" s="7" t="str">
        <f>TEXT(Table1[[#This Row],[Date]],"MMM")</f>
        <v>Jan</v>
      </c>
      <c r="C1999" t="s">
        <v>35</v>
      </c>
      <c r="D1999" t="s">
        <v>53</v>
      </c>
      <c r="E1999" t="s">
        <v>41</v>
      </c>
      <c r="F1999" t="s">
        <v>37</v>
      </c>
      <c r="G1999" t="s">
        <v>67</v>
      </c>
      <c r="H1999" t="s">
        <v>51</v>
      </c>
      <c r="I1999" s="9">
        <v>420000</v>
      </c>
      <c r="J1999">
        <v>3</v>
      </c>
      <c r="K1999" t="s">
        <v>42</v>
      </c>
      <c r="L1999" s="9">
        <f t="shared" si="31"/>
        <v>336000</v>
      </c>
      <c r="M1999" s="9">
        <f>Table1[[#This Row],[Unit Price]]*Table1[[#This Row],[Quantity]]</f>
        <v>1260000</v>
      </c>
      <c r="N1999" s="9">
        <f>Table1[[#This Row],[Cost Price]]*Table1[[#This Row],[Quantity]]</f>
        <v>1008000</v>
      </c>
      <c r="O1999" s="9">
        <f>Table1[[#This Row],[Revenue]]-Table1[[#This Row],[COGS]]</f>
        <v>252000</v>
      </c>
      <c r="P1999" s="6">
        <v>1998</v>
      </c>
    </row>
    <row r="2000" spans="1:16">
      <c r="A2000" s="7" t="s">
        <v>141</v>
      </c>
      <c r="B2000" s="7" t="str">
        <f>TEXT(Table1[[#This Row],[Date]],"MMM")</f>
        <v>Mar</v>
      </c>
      <c r="C2000" t="s">
        <v>35</v>
      </c>
      <c r="D2000" t="s">
        <v>53</v>
      </c>
      <c r="E2000" t="s">
        <v>41</v>
      </c>
      <c r="F2000" t="s">
        <v>30</v>
      </c>
      <c r="G2000" t="s">
        <v>50</v>
      </c>
      <c r="H2000" t="s">
        <v>51</v>
      </c>
      <c r="I2000" s="9">
        <v>300000</v>
      </c>
      <c r="J2000">
        <v>2</v>
      </c>
      <c r="K2000" t="s">
        <v>65</v>
      </c>
      <c r="L2000" s="9">
        <f t="shared" si="31"/>
        <v>240000</v>
      </c>
      <c r="M2000" s="9">
        <f>Table1[[#This Row],[Unit Price]]*Table1[[#This Row],[Quantity]]</f>
        <v>600000</v>
      </c>
      <c r="N2000" s="9">
        <f>Table1[[#This Row],[Cost Price]]*Table1[[#This Row],[Quantity]]</f>
        <v>480000</v>
      </c>
      <c r="O2000" s="9">
        <f>Table1[[#This Row],[Revenue]]-Table1[[#This Row],[COGS]]</f>
        <v>120000</v>
      </c>
      <c r="P2000" s="6">
        <v>1999</v>
      </c>
    </row>
    <row r="2001" spans="1:16">
      <c r="A2001" s="7" t="s">
        <v>143</v>
      </c>
      <c r="B2001" s="7" t="str">
        <f>TEXT(Table1[[#This Row],[Date]],"MMM")</f>
        <v>Apr</v>
      </c>
      <c r="C2001" t="s">
        <v>35</v>
      </c>
      <c r="D2001" t="s">
        <v>36</v>
      </c>
      <c r="E2001" t="s">
        <v>41</v>
      </c>
      <c r="F2001" t="s">
        <v>30</v>
      </c>
      <c r="G2001" t="s">
        <v>71</v>
      </c>
      <c r="H2001" t="s">
        <v>51</v>
      </c>
      <c r="I2001" s="9">
        <v>250000</v>
      </c>
      <c r="J2001">
        <v>3</v>
      </c>
      <c r="K2001" t="s">
        <v>65</v>
      </c>
      <c r="L2001" s="9">
        <f t="shared" si="31"/>
        <v>200000</v>
      </c>
      <c r="M2001" s="9">
        <f>Table1[[#This Row],[Unit Price]]*Table1[[#This Row],[Quantity]]</f>
        <v>750000</v>
      </c>
      <c r="N2001" s="9">
        <f>Table1[[#This Row],[Cost Price]]*Table1[[#This Row],[Quantity]]</f>
        <v>600000</v>
      </c>
      <c r="O2001" s="9">
        <f>Table1[[#This Row],[Revenue]]-Table1[[#This Row],[COGS]]</f>
        <v>150000</v>
      </c>
      <c r="P2001" s="6">
        <v>2000</v>
      </c>
    </row>
    <row r="2002" spans="1:16">
      <c r="A2002" s="7" t="s">
        <v>156</v>
      </c>
      <c r="B2002" s="7" t="str">
        <f>TEXT(Table1[[#This Row],[Date]],"MMM")</f>
        <v>Feb</v>
      </c>
      <c r="C2002" t="s">
        <v>35</v>
      </c>
      <c r="D2002" t="s">
        <v>28</v>
      </c>
      <c r="E2002" t="s">
        <v>29</v>
      </c>
      <c r="F2002" t="s">
        <v>37</v>
      </c>
      <c r="G2002" t="s">
        <v>62</v>
      </c>
      <c r="H2002" t="s">
        <v>51</v>
      </c>
      <c r="I2002" s="9">
        <v>150000</v>
      </c>
      <c r="J2002">
        <v>7</v>
      </c>
      <c r="K2002" t="s">
        <v>42</v>
      </c>
      <c r="L2002" s="9">
        <f t="shared" si="31"/>
        <v>120000</v>
      </c>
      <c r="M2002" s="9">
        <f>Table1[[#This Row],[Unit Price]]*Table1[[#This Row],[Quantity]]</f>
        <v>1050000</v>
      </c>
      <c r="N2002" s="9">
        <f>Table1[[#This Row],[Cost Price]]*Table1[[#This Row],[Quantity]]</f>
        <v>840000</v>
      </c>
      <c r="O2002" s="9">
        <f>Table1[[#This Row],[Revenue]]-Table1[[#This Row],[COGS]]</f>
        <v>210000</v>
      </c>
      <c r="P2002" s="6">
        <v>2001</v>
      </c>
    </row>
    <row r="2003" spans="1:16">
      <c r="A2003" s="7" t="s">
        <v>168</v>
      </c>
      <c r="B2003" s="7" t="str">
        <f>TEXT(Table1[[#This Row],[Date]],"MMM")</f>
        <v>Apr</v>
      </c>
      <c r="C2003" t="s">
        <v>27</v>
      </c>
      <c r="D2003" t="s">
        <v>28</v>
      </c>
      <c r="E2003" t="s">
        <v>41</v>
      </c>
      <c r="F2003" t="s">
        <v>30</v>
      </c>
      <c r="G2003" t="s">
        <v>67</v>
      </c>
      <c r="H2003" t="s">
        <v>51</v>
      </c>
      <c r="I2003" s="9">
        <v>420000</v>
      </c>
      <c r="J2003">
        <v>7</v>
      </c>
      <c r="K2003" t="s">
        <v>58</v>
      </c>
      <c r="L2003" s="9">
        <f t="shared" si="31"/>
        <v>336000</v>
      </c>
      <c r="M2003" s="9">
        <f>Table1[[#This Row],[Unit Price]]*Table1[[#This Row],[Quantity]]</f>
        <v>2940000</v>
      </c>
      <c r="N2003" s="9">
        <f>Table1[[#This Row],[Cost Price]]*Table1[[#This Row],[Quantity]]</f>
        <v>2352000</v>
      </c>
      <c r="O2003" s="9">
        <f>Table1[[#This Row],[Revenue]]-Table1[[#This Row],[COGS]]</f>
        <v>588000</v>
      </c>
      <c r="P2003" s="6">
        <v>2002</v>
      </c>
    </row>
    <row r="2004" spans="1:16">
      <c r="A2004" s="7" t="s">
        <v>72</v>
      </c>
      <c r="B2004" s="7" t="str">
        <f>TEXT(Table1[[#This Row],[Date]],"MMM")</f>
        <v>Feb</v>
      </c>
      <c r="C2004" t="s">
        <v>44</v>
      </c>
      <c r="D2004" t="s">
        <v>36</v>
      </c>
      <c r="E2004" t="s">
        <v>29</v>
      </c>
      <c r="F2004" t="s">
        <v>37</v>
      </c>
      <c r="G2004" t="s">
        <v>54</v>
      </c>
      <c r="H2004" t="s">
        <v>39</v>
      </c>
      <c r="I2004" s="9">
        <v>180000</v>
      </c>
      <c r="J2004">
        <v>7</v>
      </c>
      <c r="K2004" t="s">
        <v>47</v>
      </c>
      <c r="L2004" s="9">
        <f t="shared" si="31"/>
        <v>144000</v>
      </c>
      <c r="M2004" s="9">
        <f>Table1[[#This Row],[Unit Price]]*Table1[[#This Row],[Quantity]]</f>
        <v>1260000</v>
      </c>
      <c r="N2004" s="9">
        <f>Table1[[#This Row],[Cost Price]]*Table1[[#This Row],[Quantity]]</f>
        <v>1008000</v>
      </c>
      <c r="O2004" s="9">
        <f>Table1[[#This Row],[Revenue]]-Table1[[#This Row],[COGS]]</f>
        <v>252000</v>
      </c>
      <c r="P2004" s="6">
        <v>2003</v>
      </c>
    </row>
    <row r="2005" spans="1:16">
      <c r="A2005" s="7" t="s">
        <v>130</v>
      </c>
      <c r="B2005" s="7" t="str">
        <f>TEXT(Table1[[#This Row],[Date]],"MMM")</f>
        <v>Jan</v>
      </c>
      <c r="C2005" t="s">
        <v>27</v>
      </c>
      <c r="D2005" t="s">
        <v>28</v>
      </c>
      <c r="E2005" t="s">
        <v>29</v>
      </c>
      <c r="F2005" t="s">
        <v>37</v>
      </c>
      <c r="G2005" t="s">
        <v>56</v>
      </c>
      <c r="H2005" t="s">
        <v>32</v>
      </c>
      <c r="I2005" s="9">
        <v>320000</v>
      </c>
      <c r="J2005">
        <v>2</v>
      </c>
      <c r="K2005" t="s">
        <v>69</v>
      </c>
      <c r="L2005" s="9">
        <f t="shared" si="31"/>
        <v>256000</v>
      </c>
      <c r="M2005" s="9">
        <f>Table1[[#This Row],[Unit Price]]*Table1[[#This Row],[Quantity]]</f>
        <v>640000</v>
      </c>
      <c r="N2005" s="9">
        <f>Table1[[#This Row],[Cost Price]]*Table1[[#This Row],[Quantity]]</f>
        <v>512000</v>
      </c>
      <c r="O2005" s="9">
        <f>Table1[[#This Row],[Revenue]]-Table1[[#This Row],[COGS]]</f>
        <v>128000</v>
      </c>
      <c r="P2005" s="6">
        <v>2004</v>
      </c>
    </row>
    <row r="2006" spans="1:16">
      <c r="A2006" s="7" t="s">
        <v>122</v>
      </c>
      <c r="B2006" s="7" t="str">
        <f>TEXT(Table1[[#This Row],[Date]],"MMM")</f>
        <v>Mar</v>
      </c>
      <c r="C2006" t="s">
        <v>49</v>
      </c>
      <c r="D2006" t="s">
        <v>28</v>
      </c>
      <c r="E2006" t="s">
        <v>41</v>
      </c>
      <c r="F2006" t="s">
        <v>37</v>
      </c>
      <c r="G2006" t="s">
        <v>56</v>
      </c>
      <c r="H2006" t="s">
        <v>32</v>
      </c>
      <c r="I2006" s="9">
        <v>320000</v>
      </c>
      <c r="J2006">
        <v>6</v>
      </c>
      <c r="K2006" t="s">
        <v>69</v>
      </c>
      <c r="L2006" s="9">
        <f t="shared" si="31"/>
        <v>256000</v>
      </c>
      <c r="M2006" s="9">
        <f>Table1[[#This Row],[Unit Price]]*Table1[[#This Row],[Quantity]]</f>
        <v>1920000</v>
      </c>
      <c r="N2006" s="9">
        <f>Table1[[#This Row],[Cost Price]]*Table1[[#This Row],[Quantity]]</f>
        <v>1536000</v>
      </c>
      <c r="O2006" s="9">
        <f>Table1[[#This Row],[Revenue]]-Table1[[#This Row],[COGS]]</f>
        <v>384000</v>
      </c>
      <c r="P2006" s="6">
        <v>2005</v>
      </c>
    </row>
    <row r="2007" spans="1:16">
      <c r="A2007" s="7" t="s">
        <v>128</v>
      </c>
      <c r="B2007" s="7" t="str">
        <f>TEXT(Table1[[#This Row],[Date]],"MMM")</f>
        <v>Mar</v>
      </c>
      <c r="C2007" t="s">
        <v>35</v>
      </c>
      <c r="D2007" t="s">
        <v>45</v>
      </c>
      <c r="E2007" t="s">
        <v>41</v>
      </c>
      <c r="F2007" t="s">
        <v>30</v>
      </c>
      <c r="G2007" t="s">
        <v>38</v>
      </c>
      <c r="H2007" t="s">
        <v>39</v>
      </c>
      <c r="I2007" s="9">
        <v>30000</v>
      </c>
      <c r="J2007">
        <v>3</v>
      </c>
      <c r="K2007" t="s">
        <v>65</v>
      </c>
      <c r="L2007" s="9">
        <f t="shared" si="31"/>
        <v>24000</v>
      </c>
      <c r="M2007" s="9">
        <f>Table1[[#This Row],[Unit Price]]*Table1[[#This Row],[Quantity]]</f>
        <v>90000</v>
      </c>
      <c r="N2007" s="9">
        <f>Table1[[#This Row],[Cost Price]]*Table1[[#This Row],[Quantity]]</f>
        <v>72000</v>
      </c>
      <c r="O2007" s="9">
        <f>Table1[[#This Row],[Revenue]]-Table1[[#This Row],[COGS]]</f>
        <v>18000</v>
      </c>
      <c r="P2007" s="6">
        <v>2006</v>
      </c>
    </row>
    <row r="2008" spans="1:16">
      <c r="A2008" s="7" t="s">
        <v>127</v>
      </c>
      <c r="B2008" s="7" t="str">
        <f>TEXT(Table1[[#This Row],[Date]],"MMM")</f>
        <v>Jan</v>
      </c>
      <c r="C2008" t="s">
        <v>49</v>
      </c>
      <c r="D2008" t="s">
        <v>28</v>
      </c>
      <c r="E2008" t="s">
        <v>29</v>
      </c>
      <c r="F2008" t="s">
        <v>30</v>
      </c>
      <c r="G2008" t="s">
        <v>67</v>
      </c>
      <c r="H2008" t="s">
        <v>51</v>
      </c>
      <c r="I2008" s="9">
        <v>420000</v>
      </c>
      <c r="J2008">
        <v>3</v>
      </c>
      <c r="K2008" t="s">
        <v>33</v>
      </c>
      <c r="L2008" s="9">
        <f t="shared" si="31"/>
        <v>336000</v>
      </c>
      <c r="M2008" s="9">
        <f>Table1[[#This Row],[Unit Price]]*Table1[[#This Row],[Quantity]]</f>
        <v>1260000</v>
      </c>
      <c r="N2008" s="9">
        <f>Table1[[#This Row],[Cost Price]]*Table1[[#This Row],[Quantity]]</f>
        <v>1008000</v>
      </c>
      <c r="O2008" s="9">
        <f>Table1[[#This Row],[Revenue]]-Table1[[#This Row],[COGS]]</f>
        <v>252000</v>
      </c>
      <c r="P2008" s="6">
        <v>2007</v>
      </c>
    </row>
    <row r="2009" spans="1:16">
      <c r="A2009" s="7" t="s">
        <v>142</v>
      </c>
      <c r="B2009" s="7" t="str">
        <f>TEXT(Table1[[#This Row],[Date]],"MMM")</f>
        <v>Apr</v>
      </c>
      <c r="C2009" t="s">
        <v>44</v>
      </c>
      <c r="D2009" t="s">
        <v>36</v>
      </c>
      <c r="E2009" t="s">
        <v>29</v>
      </c>
      <c r="F2009" t="s">
        <v>37</v>
      </c>
      <c r="G2009" t="s">
        <v>38</v>
      </c>
      <c r="H2009" t="s">
        <v>39</v>
      </c>
      <c r="I2009" s="9">
        <v>30000</v>
      </c>
      <c r="J2009">
        <v>9</v>
      </c>
      <c r="K2009" t="s">
        <v>58</v>
      </c>
      <c r="L2009" s="9">
        <f t="shared" si="31"/>
        <v>24000</v>
      </c>
      <c r="M2009" s="9">
        <f>Table1[[#This Row],[Unit Price]]*Table1[[#This Row],[Quantity]]</f>
        <v>270000</v>
      </c>
      <c r="N2009" s="9">
        <f>Table1[[#This Row],[Cost Price]]*Table1[[#This Row],[Quantity]]</f>
        <v>216000</v>
      </c>
      <c r="O2009" s="9">
        <f>Table1[[#This Row],[Revenue]]-Table1[[#This Row],[COGS]]</f>
        <v>54000</v>
      </c>
      <c r="P2009" s="6">
        <v>2008</v>
      </c>
    </row>
    <row r="2010" spans="1:16">
      <c r="A2010" s="7" t="s">
        <v>93</v>
      </c>
      <c r="B2010" s="7" t="str">
        <f>TEXT(Table1[[#This Row],[Date]],"MMM")</f>
        <v>Apr</v>
      </c>
      <c r="C2010" t="s">
        <v>35</v>
      </c>
      <c r="D2010" t="s">
        <v>28</v>
      </c>
      <c r="E2010" t="s">
        <v>41</v>
      </c>
      <c r="F2010" t="s">
        <v>37</v>
      </c>
      <c r="G2010" t="s">
        <v>56</v>
      </c>
      <c r="H2010" t="s">
        <v>32</v>
      </c>
      <c r="I2010" s="9">
        <v>320000</v>
      </c>
      <c r="J2010">
        <v>4</v>
      </c>
      <c r="K2010" t="s">
        <v>33</v>
      </c>
      <c r="L2010" s="9">
        <f t="shared" si="31"/>
        <v>256000</v>
      </c>
      <c r="M2010" s="9">
        <f>Table1[[#This Row],[Unit Price]]*Table1[[#This Row],[Quantity]]</f>
        <v>1280000</v>
      </c>
      <c r="N2010" s="9">
        <f>Table1[[#This Row],[Cost Price]]*Table1[[#This Row],[Quantity]]</f>
        <v>1024000</v>
      </c>
      <c r="O2010" s="9">
        <f>Table1[[#This Row],[Revenue]]-Table1[[#This Row],[COGS]]</f>
        <v>256000</v>
      </c>
      <c r="P2010" s="6">
        <v>2009</v>
      </c>
    </row>
    <row r="2011" spans="1:16">
      <c r="A2011" s="7" t="s">
        <v>143</v>
      </c>
      <c r="B2011" s="7" t="str">
        <f>TEXT(Table1[[#This Row],[Date]],"MMM")</f>
        <v>Apr</v>
      </c>
      <c r="C2011" t="s">
        <v>49</v>
      </c>
      <c r="D2011" t="s">
        <v>53</v>
      </c>
      <c r="E2011" t="s">
        <v>41</v>
      </c>
      <c r="F2011" t="s">
        <v>37</v>
      </c>
      <c r="G2011" t="s">
        <v>62</v>
      </c>
      <c r="H2011" t="s">
        <v>51</v>
      </c>
      <c r="I2011" s="9">
        <v>150000</v>
      </c>
      <c r="J2011">
        <v>5</v>
      </c>
      <c r="K2011" t="s">
        <v>42</v>
      </c>
      <c r="L2011" s="9">
        <f t="shared" si="31"/>
        <v>120000</v>
      </c>
      <c r="M2011" s="9">
        <f>Table1[[#This Row],[Unit Price]]*Table1[[#This Row],[Quantity]]</f>
        <v>750000</v>
      </c>
      <c r="N2011" s="9">
        <f>Table1[[#This Row],[Cost Price]]*Table1[[#This Row],[Quantity]]</f>
        <v>600000</v>
      </c>
      <c r="O2011" s="9">
        <f>Table1[[#This Row],[Revenue]]-Table1[[#This Row],[COGS]]</f>
        <v>150000</v>
      </c>
      <c r="P2011" s="6">
        <v>2010</v>
      </c>
    </row>
    <row r="2012" spans="1:16">
      <c r="A2012" s="7" t="s">
        <v>156</v>
      </c>
      <c r="B2012" s="7" t="str">
        <f>TEXT(Table1[[#This Row],[Date]],"MMM")</f>
        <v>Feb</v>
      </c>
      <c r="C2012" t="s">
        <v>44</v>
      </c>
      <c r="D2012" t="s">
        <v>28</v>
      </c>
      <c r="E2012" t="s">
        <v>41</v>
      </c>
      <c r="F2012" t="s">
        <v>37</v>
      </c>
      <c r="G2012" t="s">
        <v>31</v>
      </c>
      <c r="H2012" t="s">
        <v>32</v>
      </c>
      <c r="I2012" s="9">
        <v>85000</v>
      </c>
      <c r="J2012">
        <v>8</v>
      </c>
      <c r="K2012" t="s">
        <v>58</v>
      </c>
      <c r="L2012" s="9">
        <f t="shared" si="31"/>
        <v>68000</v>
      </c>
      <c r="M2012" s="9">
        <f>Table1[[#This Row],[Unit Price]]*Table1[[#This Row],[Quantity]]</f>
        <v>680000</v>
      </c>
      <c r="N2012" s="9">
        <f>Table1[[#This Row],[Cost Price]]*Table1[[#This Row],[Quantity]]</f>
        <v>544000</v>
      </c>
      <c r="O2012" s="9">
        <f>Table1[[#This Row],[Revenue]]-Table1[[#This Row],[COGS]]</f>
        <v>136000</v>
      </c>
      <c r="P2012" s="6">
        <v>2011</v>
      </c>
    </row>
    <row r="2013" spans="1:16">
      <c r="A2013" s="7" t="s">
        <v>114</v>
      </c>
      <c r="B2013" s="7" t="str">
        <f>TEXT(Table1[[#This Row],[Date]],"MMM")</f>
        <v>Apr</v>
      </c>
      <c r="C2013" t="s">
        <v>49</v>
      </c>
      <c r="D2013" t="s">
        <v>53</v>
      </c>
      <c r="E2013" t="s">
        <v>29</v>
      </c>
      <c r="F2013" t="s">
        <v>37</v>
      </c>
      <c r="G2013" t="s">
        <v>46</v>
      </c>
      <c r="H2013" t="s">
        <v>39</v>
      </c>
      <c r="I2013" s="9">
        <v>60000</v>
      </c>
      <c r="J2013">
        <v>1</v>
      </c>
      <c r="K2013" t="s">
        <v>33</v>
      </c>
      <c r="L2013" s="9">
        <f t="shared" si="31"/>
        <v>48000</v>
      </c>
      <c r="M2013" s="9">
        <f>Table1[[#This Row],[Unit Price]]*Table1[[#This Row],[Quantity]]</f>
        <v>60000</v>
      </c>
      <c r="N2013" s="9">
        <f>Table1[[#This Row],[Cost Price]]*Table1[[#This Row],[Quantity]]</f>
        <v>48000</v>
      </c>
      <c r="O2013" s="9">
        <f>Table1[[#This Row],[Revenue]]-Table1[[#This Row],[COGS]]</f>
        <v>12000</v>
      </c>
      <c r="P2013" s="6">
        <v>2012</v>
      </c>
    </row>
    <row r="2014" spans="1:16">
      <c r="A2014" s="7" t="s">
        <v>109</v>
      </c>
      <c r="B2014" s="7" t="str">
        <f>TEXT(Table1[[#This Row],[Date]],"MMM")</f>
        <v>Mar</v>
      </c>
      <c r="C2014" t="s">
        <v>44</v>
      </c>
      <c r="D2014" t="s">
        <v>36</v>
      </c>
      <c r="E2014" t="s">
        <v>29</v>
      </c>
      <c r="F2014" t="s">
        <v>30</v>
      </c>
      <c r="G2014" t="s">
        <v>73</v>
      </c>
      <c r="H2014" t="s">
        <v>39</v>
      </c>
      <c r="I2014" s="9">
        <v>220000</v>
      </c>
      <c r="J2014">
        <v>3</v>
      </c>
      <c r="K2014" t="s">
        <v>47</v>
      </c>
      <c r="L2014" s="9">
        <f t="shared" si="31"/>
        <v>176000</v>
      </c>
      <c r="M2014" s="9">
        <f>Table1[[#This Row],[Unit Price]]*Table1[[#This Row],[Quantity]]</f>
        <v>660000</v>
      </c>
      <c r="N2014" s="9">
        <f>Table1[[#This Row],[Cost Price]]*Table1[[#This Row],[Quantity]]</f>
        <v>528000</v>
      </c>
      <c r="O2014" s="9">
        <f>Table1[[#This Row],[Revenue]]-Table1[[#This Row],[COGS]]</f>
        <v>132000</v>
      </c>
      <c r="P2014" s="6">
        <v>2013</v>
      </c>
    </row>
    <row r="2015" spans="1:16">
      <c r="A2015" s="7" t="s">
        <v>125</v>
      </c>
      <c r="B2015" s="7" t="str">
        <f>TEXT(Table1[[#This Row],[Date]],"MMM")</f>
        <v>Feb</v>
      </c>
      <c r="C2015" t="s">
        <v>27</v>
      </c>
      <c r="D2015" t="s">
        <v>53</v>
      </c>
      <c r="E2015" t="s">
        <v>41</v>
      </c>
      <c r="F2015" t="s">
        <v>30</v>
      </c>
      <c r="G2015" t="s">
        <v>54</v>
      </c>
      <c r="H2015" t="s">
        <v>39</v>
      </c>
      <c r="I2015" s="9">
        <v>180000</v>
      </c>
      <c r="J2015">
        <v>2</v>
      </c>
      <c r="K2015" t="s">
        <v>65</v>
      </c>
      <c r="L2015" s="9">
        <f t="shared" si="31"/>
        <v>144000</v>
      </c>
      <c r="M2015" s="9">
        <f>Table1[[#This Row],[Unit Price]]*Table1[[#This Row],[Quantity]]</f>
        <v>360000</v>
      </c>
      <c r="N2015" s="9">
        <f>Table1[[#This Row],[Cost Price]]*Table1[[#This Row],[Quantity]]</f>
        <v>288000</v>
      </c>
      <c r="O2015" s="9">
        <f>Table1[[#This Row],[Revenue]]-Table1[[#This Row],[COGS]]</f>
        <v>72000</v>
      </c>
      <c r="P2015" s="6">
        <v>2014</v>
      </c>
    </row>
    <row r="2016" spans="1:16">
      <c r="A2016" s="7" t="s">
        <v>68</v>
      </c>
      <c r="B2016" s="7" t="str">
        <f>TEXT(Table1[[#This Row],[Date]],"MMM")</f>
        <v>Mar</v>
      </c>
      <c r="C2016" t="s">
        <v>44</v>
      </c>
      <c r="D2016" t="s">
        <v>28</v>
      </c>
      <c r="E2016" t="s">
        <v>41</v>
      </c>
      <c r="F2016" t="s">
        <v>30</v>
      </c>
      <c r="G2016" t="s">
        <v>71</v>
      </c>
      <c r="H2016" t="s">
        <v>51</v>
      </c>
      <c r="I2016" s="9">
        <v>250000</v>
      </c>
      <c r="J2016">
        <v>9</v>
      </c>
      <c r="K2016" t="s">
        <v>42</v>
      </c>
      <c r="L2016" s="9">
        <f t="shared" si="31"/>
        <v>200000</v>
      </c>
      <c r="M2016" s="9">
        <f>Table1[[#This Row],[Unit Price]]*Table1[[#This Row],[Quantity]]</f>
        <v>2250000</v>
      </c>
      <c r="N2016" s="9">
        <f>Table1[[#This Row],[Cost Price]]*Table1[[#This Row],[Quantity]]</f>
        <v>1800000</v>
      </c>
      <c r="O2016" s="9">
        <f>Table1[[#This Row],[Revenue]]-Table1[[#This Row],[COGS]]</f>
        <v>450000</v>
      </c>
      <c r="P2016" s="6">
        <v>2015</v>
      </c>
    </row>
    <row r="2017" spans="1:16">
      <c r="A2017" s="7" t="s">
        <v>163</v>
      </c>
      <c r="B2017" s="7" t="str">
        <f>TEXT(Table1[[#This Row],[Date]],"MMM")</f>
        <v>Apr</v>
      </c>
      <c r="C2017" t="s">
        <v>27</v>
      </c>
      <c r="D2017" t="s">
        <v>28</v>
      </c>
      <c r="E2017" t="s">
        <v>41</v>
      </c>
      <c r="F2017" t="s">
        <v>30</v>
      </c>
      <c r="G2017" t="s">
        <v>50</v>
      </c>
      <c r="H2017" t="s">
        <v>51</v>
      </c>
      <c r="I2017" s="9">
        <v>300000</v>
      </c>
      <c r="J2017">
        <v>8</v>
      </c>
      <c r="K2017" t="s">
        <v>65</v>
      </c>
      <c r="L2017" s="9">
        <f t="shared" si="31"/>
        <v>240000</v>
      </c>
      <c r="M2017" s="9">
        <f>Table1[[#This Row],[Unit Price]]*Table1[[#This Row],[Quantity]]</f>
        <v>2400000</v>
      </c>
      <c r="N2017" s="9">
        <f>Table1[[#This Row],[Cost Price]]*Table1[[#This Row],[Quantity]]</f>
        <v>1920000</v>
      </c>
      <c r="O2017" s="9">
        <f>Table1[[#This Row],[Revenue]]-Table1[[#This Row],[COGS]]</f>
        <v>480000</v>
      </c>
      <c r="P2017" s="6">
        <v>2016</v>
      </c>
    </row>
    <row r="2018" spans="1:16">
      <c r="A2018" s="7" t="s">
        <v>123</v>
      </c>
      <c r="B2018" s="7" t="str">
        <f>TEXT(Table1[[#This Row],[Date]],"MMM")</f>
        <v>Apr</v>
      </c>
      <c r="C2018" t="s">
        <v>27</v>
      </c>
      <c r="D2018" t="s">
        <v>36</v>
      </c>
      <c r="E2018" t="s">
        <v>29</v>
      </c>
      <c r="F2018" t="s">
        <v>30</v>
      </c>
      <c r="G2018" t="s">
        <v>62</v>
      </c>
      <c r="H2018" t="s">
        <v>51</v>
      </c>
      <c r="I2018" s="9">
        <v>150000</v>
      </c>
      <c r="J2018">
        <v>6</v>
      </c>
      <c r="K2018" t="s">
        <v>33</v>
      </c>
      <c r="L2018" s="9">
        <f t="shared" si="31"/>
        <v>120000</v>
      </c>
      <c r="M2018" s="9">
        <f>Table1[[#This Row],[Unit Price]]*Table1[[#This Row],[Quantity]]</f>
        <v>900000</v>
      </c>
      <c r="N2018" s="9">
        <f>Table1[[#This Row],[Cost Price]]*Table1[[#This Row],[Quantity]]</f>
        <v>720000</v>
      </c>
      <c r="O2018" s="9">
        <f>Table1[[#This Row],[Revenue]]-Table1[[#This Row],[COGS]]</f>
        <v>180000</v>
      </c>
      <c r="P2018" s="6">
        <v>2017</v>
      </c>
    </row>
    <row r="2019" spans="1:16">
      <c r="A2019" s="7" t="s">
        <v>86</v>
      </c>
      <c r="B2019" s="7" t="str">
        <f>TEXT(Table1[[#This Row],[Date]],"MMM")</f>
        <v>Feb</v>
      </c>
      <c r="C2019" t="s">
        <v>49</v>
      </c>
      <c r="D2019" t="s">
        <v>53</v>
      </c>
      <c r="E2019" t="s">
        <v>41</v>
      </c>
      <c r="F2019" t="s">
        <v>37</v>
      </c>
      <c r="G2019" t="s">
        <v>31</v>
      </c>
      <c r="H2019" t="s">
        <v>32</v>
      </c>
      <c r="I2019" s="9">
        <v>85000</v>
      </c>
      <c r="J2019">
        <v>9</v>
      </c>
      <c r="K2019" t="s">
        <v>47</v>
      </c>
      <c r="L2019" s="9">
        <f t="shared" si="31"/>
        <v>68000</v>
      </c>
      <c r="M2019" s="9">
        <f>Table1[[#This Row],[Unit Price]]*Table1[[#This Row],[Quantity]]</f>
        <v>765000</v>
      </c>
      <c r="N2019" s="9">
        <f>Table1[[#This Row],[Cost Price]]*Table1[[#This Row],[Quantity]]</f>
        <v>612000</v>
      </c>
      <c r="O2019" s="9">
        <f>Table1[[#This Row],[Revenue]]-Table1[[#This Row],[COGS]]</f>
        <v>153000</v>
      </c>
      <c r="P2019" s="6">
        <v>2018</v>
      </c>
    </row>
    <row r="2020" spans="1:16">
      <c r="A2020" s="7" t="s">
        <v>86</v>
      </c>
      <c r="B2020" s="7" t="str">
        <f>TEXT(Table1[[#This Row],[Date]],"MMM")</f>
        <v>Feb</v>
      </c>
      <c r="C2020" t="s">
        <v>49</v>
      </c>
      <c r="D2020" t="s">
        <v>45</v>
      </c>
      <c r="E2020" t="s">
        <v>41</v>
      </c>
      <c r="F2020" t="s">
        <v>30</v>
      </c>
      <c r="G2020" t="s">
        <v>46</v>
      </c>
      <c r="H2020" t="s">
        <v>39</v>
      </c>
      <c r="I2020" s="9">
        <v>60000</v>
      </c>
      <c r="J2020">
        <v>3</v>
      </c>
      <c r="K2020" t="s">
        <v>42</v>
      </c>
      <c r="L2020" s="9">
        <f t="shared" si="31"/>
        <v>48000</v>
      </c>
      <c r="M2020" s="9">
        <f>Table1[[#This Row],[Unit Price]]*Table1[[#This Row],[Quantity]]</f>
        <v>180000</v>
      </c>
      <c r="N2020" s="9">
        <f>Table1[[#This Row],[Cost Price]]*Table1[[#This Row],[Quantity]]</f>
        <v>144000</v>
      </c>
      <c r="O2020" s="9">
        <f>Table1[[#This Row],[Revenue]]-Table1[[#This Row],[COGS]]</f>
        <v>36000</v>
      </c>
      <c r="P2020" s="6">
        <v>2019</v>
      </c>
    </row>
    <row r="2021" spans="1:16">
      <c r="A2021" s="7" t="s">
        <v>142</v>
      </c>
      <c r="B2021" s="7" t="str">
        <f>TEXT(Table1[[#This Row],[Date]],"MMM")</f>
        <v>Apr</v>
      </c>
      <c r="C2021" t="s">
        <v>44</v>
      </c>
      <c r="D2021" t="s">
        <v>53</v>
      </c>
      <c r="E2021" t="s">
        <v>29</v>
      </c>
      <c r="F2021" t="s">
        <v>37</v>
      </c>
      <c r="G2021" t="s">
        <v>67</v>
      </c>
      <c r="H2021" t="s">
        <v>51</v>
      </c>
      <c r="I2021" s="9">
        <v>420000</v>
      </c>
      <c r="J2021">
        <v>7</v>
      </c>
      <c r="K2021" t="s">
        <v>58</v>
      </c>
      <c r="L2021" s="9">
        <f t="shared" si="31"/>
        <v>336000</v>
      </c>
      <c r="M2021" s="9">
        <f>Table1[[#This Row],[Unit Price]]*Table1[[#This Row],[Quantity]]</f>
        <v>2940000</v>
      </c>
      <c r="N2021" s="9">
        <f>Table1[[#This Row],[Cost Price]]*Table1[[#This Row],[Quantity]]</f>
        <v>2352000</v>
      </c>
      <c r="O2021" s="9">
        <f>Table1[[#This Row],[Revenue]]-Table1[[#This Row],[COGS]]</f>
        <v>588000</v>
      </c>
      <c r="P2021" s="6">
        <v>2020</v>
      </c>
    </row>
    <row r="2022" spans="1:16">
      <c r="A2022" s="7" t="s">
        <v>143</v>
      </c>
      <c r="B2022" s="7" t="str">
        <f>TEXT(Table1[[#This Row],[Date]],"MMM")</f>
        <v>Apr</v>
      </c>
      <c r="C2022" t="s">
        <v>44</v>
      </c>
      <c r="D2022" t="s">
        <v>28</v>
      </c>
      <c r="E2022" t="s">
        <v>41</v>
      </c>
      <c r="F2022" t="s">
        <v>30</v>
      </c>
      <c r="G2022" t="s">
        <v>31</v>
      </c>
      <c r="H2022" t="s">
        <v>32</v>
      </c>
      <c r="I2022" s="9">
        <v>85000</v>
      </c>
      <c r="J2022">
        <v>5</v>
      </c>
      <c r="K2022" t="s">
        <v>42</v>
      </c>
      <c r="L2022" s="9">
        <f t="shared" si="31"/>
        <v>68000</v>
      </c>
      <c r="M2022" s="9">
        <f>Table1[[#This Row],[Unit Price]]*Table1[[#This Row],[Quantity]]</f>
        <v>425000</v>
      </c>
      <c r="N2022" s="9">
        <f>Table1[[#This Row],[Cost Price]]*Table1[[#This Row],[Quantity]]</f>
        <v>340000</v>
      </c>
      <c r="O2022" s="9">
        <f>Table1[[#This Row],[Revenue]]-Table1[[#This Row],[COGS]]</f>
        <v>85000</v>
      </c>
      <c r="P2022" s="6">
        <v>2021</v>
      </c>
    </row>
    <row r="2023" spans="1:16">
      <c r="A2023" s="7" t="s">
        <v>141</v>
      </c>
      <c r="B2023" s="7" t="str">
        <f>TEXT(Table1[[#This Row],[Date]],"MMM")</f>
        <v>Mar</v>
      </c>
      <c r="C2023" t="s">
        <v>35</v>
      </c>
      <c r="D2023" t="s">
        <v>28</v>
      </c>
      <c r="E2023" t="s">
        <v>41</v>
      </c>
      <c r="F2023" t="s">
        <v>30</v>
      </c>
      <c r="G2023" t="s">
        <v>46</v>
      </c>
      <c r="H2023" t="s">
        <v>39</v>
      </c>
      <c r="I2023" s="9">
        <v>60000</v>
      </c>
      <c r="J2023">
        <v>7</v>
      </c>
      <c r="K2023" t="s">
        <v>42</v>
      </c>
      <c r="L2023" s="9">
        <f t="shared" si="31"/>
        <v>48000</v>
      </c>
      <c r="M2023" s="9">
        <f>Table1[[#This Row],[Unit Price]]*Table1[[#This Row],[Quantity]]</f>
        <v>420000</v>
      </c>
      <c r="N2023" s="9">
        <f>Table1[[#This Row],[Cost Price]]*Table1[[#This Row],[Quantity]]</f>
        <v>336000</v>
      </c>
      <c r="O2023" s="9">
        <f>Table1[[#This Row],[Revenue]]-Table1[[#This Row],[COGS]]</f>
        <v>84000</v>
      </c>
      <c r="P2023" s="6">
        <v>2022</v>
      </c>
    </row>
    <row r="2024" spans="1:16">
      <c r="A2024" s="7" t="s">
        <v>166</v>
      </c>
      <c r="B2024" s="7" t="str">
        <f>TEXT(Table1[[#This Row],[Date]],"MMM")</f>
        <v>Jan</v>
      </c>
      <c r="C2024" t="s">
        <v>35</v>
      </c>
      <c r="D2024" t="s">
        <v>53</v>
      </c>
      <c r="E2024" t="s">
        <v>29</v>
      </c>
      <c r="F2024" t="s">
        <v>30</v>
      </c>
      <c r="G2024" t="s">
        <v>54</v>
      </c>
      <c r="H2024" t="s">
        <v>39</v>
      </c>
      <c r="I2024" s="9">
        <v>180000</v>
      </c>
      <c r="J2024">
        <v>2</v>
      </c>
      <c r="K2024" t="s">
        <v>58</v>
      </c>
      <c r="L2024" s="9">
        <f t="shared" si="31"/>
        <v>144000</v>
      </c>
      <c r="M2024" s="9">
        <f>Table1[[#This Row],[Unit Price]]*Table1[[#This Row],[Quantity]]</f>
        <v>360000</v>
      </c>
      <c r="N2024" s="9">
        <f>Table1[[#This Row],[Cost Price]]*Table1[[#This Row],[Quantity]]</f>
        <v>288000</v>
      </c>
      <c r="O2024" s="9">
        <f>Table1[[#This Row],[Revenue]]-Table1[[#This Row],[COGS]]</f>
        <v>72000</v>
      </c>
      <c r="P2024" s="6">
        <v>2023</v>
      </c>
    </row>
    <row r="2025" spans="1:16">
      <c r="A2025" s="7" t="s">
        <v>127</v>
      </c>
      <c r="B2025" s="7" t="str">
        <f>TEXT(Table1[[#This Row],[Date]],"MMM")</f>
        <v>Jan</v>
      </c>
      <c r="C2025" t="s">
        <v>27</v>
      </c>
      <c r="D2025" t="s">
        <v>28</v>
      </c>
      <c r="E2025" t="s">
        <v>41</v>
      </c>
      <c r="F2025" t="s">
        <v>37</v>
      </c>
      <c r="G2025" t="s">
        <v>71</v>
      </c>
      <c r="H2025" t="s">
        <v>51</v>
      </c>
      <c r="I2025" s="9">
        <v>250000</v>
      </c>
      <c r="J2025">
        <v>3</v>
      </c>
      <c r="K2025" t="s">
        <v>65</v>
      </c>
      <c r="L2025" s="9">
        <f t="shared" si="31"/>
        <v>200000</v>
      </c>
      <c r="M2025" s="9">
        <f>Table1[[#This Row],[Unit Price]]*Table1[[#This Row],[Quantity]]</f>
        <v>750000</v>
      </c>
      <c r="N2025" s="9">
        <f>Table1[[#This Row],[Cost Price]]*Table1[[#This Row],[Quantity]]</f>
        <v>600000</v>
      </c>
      <c r="O2025" s="9">
        <f>Table1[[#This Row],[Revenue]]-Table1[[#This Row],[COGS]]</f>
        <v>150000</v>
      </c>
      <c r="P2025" s="6">
        <v>2024</v>
      </c>
    </row>
    <row r="2026" spans="1:16">
      <c r="A2026" s="7" t="s">
        <v>126</v>
      </c>
      <c r="B2026" s="7" t="str">
        <f>TEXT(Table1[[#This Row],[Date]],"MMM")</f>
        <v>Jan</v>
      </c>
      <c r="C2026" t="s">
        <v>35</v>
      </c>
      <c r="D2026" t="s">
        <v>45</v>
      </c>
      <c r="E2026" t="s">
        <v>41</v>
      </c>
      <c r="F2026" t="s">
        <v>30</v>
      </c>
      <c r="G2026" t="s">
        <v>54</v>
      </c>
      <c r="H2026" t="s">
        <v>39</v>
      </c>
      <c r="I2026" s="9">
        <v>180000</v>
      </c>
      <c r="J2026">
        <v>6</v>
      </c>
      <c r="K2026" t="s">
        <v>69</v>
      </c>
      <c r="L2026" s="9">
        <f t="shared" si="31"/>
        <v>144000</v>
      </c>
      <c r="M2026" s="9">
        <f>Table1[[#This Row],[Unit Price]]*Table1[[#This Row],[Quantity]]</f>
        <v>1080000</v>
      </c>
      <c r="N2026" s="9">
        <f>Table1[[#This Row],[Cost Price]]*Table1[[#This Row],[Quantity]]</f>
        <v>864000</v>
      </c>
      <c r="O2026" s="9">
        <f>Table1[[#This Row],[Revenue]]-Table1[[#This Row],[COGS]]</f>
        <v>216000</v>
      </c>
      <c r="P2026" s="6">
        <v>2025</v>
      </c>
    </row>
    <row r="2027" spans="1:16">
      <c r="A2027" s="7" t="s">
        <v>137</v>
      </c>
      <c r="B2027" s="7" t="str">
        <f>TEXT(Table1[[#This Row],[Date]],"MMM")</f>
        <v>Apr</v>
      </c>
      <c r="C2027" t="s">
        <v>35</v>
      </c>
      <c r="D2027" t="s">
        <v>53</v>
      </c>
      <c r="E2027" t="s">
        <v>29</v>
      </c>
      <c r="F2027" t="s">
        <v>37</v>
      </c>
      <c r="G2027" t="s">
        <v>31</v>
      </c>
      <c r="H2027" t="s">
        <v>32</v>
      </c>
      <c r="I2027" s="9">
        <v>85000</v>
      </c>
      <c r="J2027">
        <v>2</v>
      </c>
      <c r="K2027" t="s">
        <v>69</v>
      </c>
      <c r="L2027" s="9">
        <f t="shared" si="31"/>
        <v>68000</v>
      </c>
      <c r="M2027" s="9">
        <f>Table1[[#This Row],[Unit Price]]*Table1[[#This Row],[Quantity]]</f>
        <v>170000</v>
      </c>
      <c r="N2027" s="9">
        <f>Table1[[#This Row],[Cost Price]]*Table1[[#This Row],[Quantity]]</f>
        <v>136000</v>
      </c>
      <c r="O2027" s="9">
        <f>Table1[[#This Row],[Revenue]]-Table1[[#This Row],[COGS]]</f>
        <v>34000</v>
      </c>
      <c r="P2027" s="6">
        <v>2026</v>
      </c>
    </row>
    <row r="2028" spans="1:16">
      <c r="A2028" s="7" t="s">
        <v>156</v>
      </c>
      <c r="B2028" s="7" t="str">
        <f>TEXT(Table1[[#This Row],[Date]],"MMM")</f>
        <v>Feb</v>
      </c>
      <c r="C2028" t="s">
        <v>49</v>
      </c>
      <c r="D2028" t="s">
        <v>53</v>
      </c>
      <c r="E2028" t="s">
        <v>41</v>
      </c>
      <c r="F2028" t="s">
        <v>37</v>
      </c>
      <c r="G2028" t="s">
        <v>71</v>
      </c>
      <c r="H2028" t="s">
        <v>51</v>
      </c>
      <c r="I2028" s="9">
        <v>250000</v>
      </c>
      <c r="J2028">
        <v>5</v>
      </c>
      <c r="K2028" t="s">
        <v>47</v>
      </c>
      <c r="L2028" s="9">
        <f t="shared" si="31"/>
        <v>200000</v>
      </c>
      <c r="M2028" s="9">
        <f>Table1[[#This Row],[Unit Price]]*Table1[[#This Row],[Quantity]]</f>
        <v>1250000</v>
      </c>
      <c r="N2028" s="9">
        <f>Table1[[#This Row],[Cost Price]]*Table1[[#This Row],[Quantity]]</f>
        <v>1000000</v>
      </c>
      <c r="O2028" s="9">
        <f>Table1[[#This Row],[Revenue]]-Table1[[#This Row],[COGS]]</f>
        <v>250000</v>
      </c>
      <c r="P2028" s="6">
        <v>2027</v>
      </c>
    </row>
    <row r="2029" spans="1:16">
      <c r="A2029" s="7" t="s">
        <v>80</v>
      </c>
      <c r="B2029" s="7" t="str">
        <f>TEXT(Table1[[#This Row],[Date]],"MMM")</f>
        <v>Feb</v>
      </c>
      <c r="C2029" t="s">
        <v>27</v>
      </c>
      <c r="D2029" t="s">
        <v>28</v>
      </c>
      <c r="E2029" t="s">
        <v>41</v>
      </c>
      <c r="F2029" t="s">
        <v>37</v>
      </c>
      <c r="G2029" t="s">
        <v>73</v>
      </c>
      <c r="H2029" t="s">
        <v>39</v>
      </c>
      <c r="I2029" s="9">
        <v>220000</v>
      </c>
      <c r="J2029">
        <v>2</v>
      </c>
      <c r="K2029" t="s">
        <v>65</v>
      </c>
      <c r="L2029" s="9">
        <f t="shared" si="31"/>
        <v>176000</v>
      </c>
      <c r="M2029" s="9">
        <f>Table1[[#This Row],[Unit Price]]*Table1[[#This Row],[Quantity]]</f>
        <v>440000</v>
      </c>
      <c r="N2029" s="9">
        <f>Table1[[#This Row],[Cost Price]]*Table1[[#This Row],[Quantity]]</f>
        <v>352000</v>
      </c>
      <c r="O2029" s="9">
        <f>Table1[[#This Row],[Revenue]]-Table1[[#This Row],[COGS]]</f>
        <v>88000</v>
      </c>
      <c r="P2029" s="6">
        <v>2028</v>
      </c>
    </row>
    <row r="2030" spans="1:16">
      <c r="A2030" s="7" t="s">
        <v>138</v>
      </c>
      <c r="B2030" s="7" t="str">
        <f>TEXT(Table1[[#This Row],[Date]],"MMM")</f>
        <v>Apr</v>
      </c>
      <c r="C2030" t="s">
        <v>44</v>
      </c>
      <c r="D2030" t="s">
        <v>53</v>
      </c>
      <c r="E2030" t="s">
        <v>29</v>
      </c>
      <c r="F2030" t="s">
        <v>30</v>
      </c>
      <c r="G2030" t="s">
        <v>38</v>
      </c>
      <c r="H2030" t="s">
        <v>39</v>
      </c>
      <c r="I2030" s="9">
        <v>30000</v>
      </c>
      <c r="J2030">
        <v>2</v>
      </c>
      <c r="K2030" t="s">
        <v>42</v>
      </c>
      <c r="L2030" s="9">
        <f t="shared" si="31"/>
        <v>24000</v>
      </c>
      <c r="M2030" s="9">
        <f>Table1[[#This Row],[Unit Price]]*Table1[[#This Row],[Quantity]]</f>
        <v>60000</v>
      </c>
      <c r="N2030" s="9">
        <f>Table1[[#This Row],[Cost Price]]*Table1[[#This Row],[Quantity]]</f>
        <v>48000</v>
      </c>
      <c r="O2030" s="9">
        <f>Table1[[#This Row],[Revenue]]-Table1[[#This Row],[COGS]]</f>
        <v>12000</v>
      </c>
      <c r="P2030" s="6">
        <v>2029</v>
      </c>
    </row>
    <row r="2031" spans="1:16">
      <c r="A2031" s="7" t="s">
        <v>172</v>
      </c>
      <c r="B2031" s="7" t="str">
        <f>TEXT(Table1[[#This Row],[Date]],"MMM")</f>
        <v>Mar</v>
      </c>
      <c r="C2031" t="s">
        <v>35</v>
      </c>
      <c r="D2031" t="s">
        <v>45</v>
      </c>
      <c r="E2031" t="s">
        <v>41</v>
      </c>
      <c r="F2031" t="s">
        <v>37</v>
      </c>
      <c r="G2031" t="s">
        <v>67</v>
      </c>
      <c r="H2031" t="s">
        <v>51</v>
      </c>
      <c r="I2031" s="9">
        <v>420000</v>
      </c>
      <c r="J2031">
        <v>10</v>
      </c>
      <c r="K2031" t="s">
        <v>65</v>
      </c>
      <c r="L2031" s="9">
        <f t="shared" si="31"/>
        <v>336000</v>
      </c>
      <c r="M2031" s="9">
        <f>Table1[[#This Row],[Unit Price]]*Table1[[#This Row],[Quantity]]</f>
        <v>4200000</v>
      </c>
      <c r="N2031" s="9">
        <f>Table1[[#This Row],[Cost Price]]*Table1[[#This Row],[Quantity]]</f>
        <v>3360000</v>
      </c>
      <c r="O2031" s="9">
        <f>Table1[[#This Row],[Revenue]]-Table1[[#This Row],[COGS]]</f>
        <v>840000</v>
      </c>
      <c r="P2031" s="6">
        <v>2030</v>
      </c>
    </row>
    <row r="2032" spans="1:16">
      <c r="A2032" s="7" t="s">
        <v>74</v>
      </c>
      <c r="B2032" s="7" t="str">
        <f>TEXT(Table1[[#This Row],[Date]],"MMM")</f>
        <v>Feb</v>
      </c>
      <c r="C2032" t="s">
        <v>49</v>
      </c>
      <c r="D2032" t="s">
        <v>53</v>
      </c>
      <c r="E2032" t="s">
        <v>41</v>
      </c>
      <c r="F2032" t="s">
        <v>30</v>
      </c>
      <c r="G2032" t="s">
        <v>73</v>
      </c>
      <c r="H2032" t="s">
        <v>39</v>
      </c>
      <c r="I2032" s="9">
        <v>220000</v>
      </c>
      <c r="J2032">
        <v>2</v>
      </c>
      <c r="K2032" t="s">
        <v>58</v>
      </c>
      <c r="L2032" s="9">
        <f t="shared" si="31"/>
        <v>176000</v>
      </c>
      <c r="M2032" s="9">
        <f>Table1[[#This Row],[Unit Price]]*Table1[[#This Row],[Quantity]]</f>
        <v>440000</v>
      </c>
      <c r="N2032" s="9">
        <f>Table1[[#This Row],[Cost Price]]*Table1[[#This Row],[Quantity]]</f>
        <v>352000</v>
      </c>
      <c r="O2032" s="9">
        <f>Table1[[#This Row],[Revenue]]-Table1[[#This Row],[COGS]]</f>
        <v>88000</v>
      </c>
      <c r="P2032" s="6">
        <v>2031</v>
      </c>
    </row>
    <row r="2033" spans="1:16">
      <c r="A2033" s="7" t="s">
        <v>57</v>
      </c>
      <c r="B2033" s="7" t="str">
        <f>TEXT(Table1[[#This Row],[Date]],"MMM")</f>
        <v>Feb</v>
      </c>
      <c r="C2033" t="s">
        <v>44</v>
      </c>
      <c r="D2033" t="s">
        <v>45</v>
      </c>
      <c r="E2033" t="s">
        <v>41</v>
      </c>
      <c r="F2033" t="s">
        <v>37</v>
      </c>
      <c r="G2033" t="s">
        <v>73</v>
      </c>
      <c r="H2033" t="s">
        <v>39</v>
      </c>
      <c r="I2033" s="9">
        <v>220000</v>
      </c>
      <c r="J2033">
        <v>10</v>
      </c>
      <c r="K2033" t="s">
        <v>42</v>
      </c>
      <c r="L2033" s="9">
        <f t="shared" si="31"/>
        <v>176000</v>
      </c>
      <c r="M2033" s="9">
        <f>Table1[[#This Row],[Unit Price]]*Table1[[#This Row],[Quantity]]</f>
        <v>2200000</v>
      </c>
      <c r="N2033" s="9">
        <f>Table1[[#This Row],[Cost Price]]*Table1[[#This Row],[Quantity]]</f>
        <v>1760000</v>
      </c>
      <c r="O2033" s="9">
        <f>Table1[[#This Row],[Revenue]]-Table1[[#This Row],[COGS]]</f>
        <v>440000</v>
      </c>
      <c r="P2033" s="6">
        <v>2032</v>
      </c>
    </row>
    <row r="2034" spans="1:16">
      <c r="A2034" s="7" t="s">
        <v>40</v>
      </c>
      <c r="B2034" s="7" t="str">
        <f>TEXT(Table1[[#This Row],[Date]],"MMM")</f>
        <v>Feb</v>
      </c>
      <c r="C2034" t="s">
        <v>27</v>
      </c>
      <c r="D2034" t="s">
        <v>36</v>
      </c>
      <c r="E2034" t="s">
        <v>41</v>
      </c>
      <c r="F2034" t="s">
        <v>37</v>
      </c>
      <c r="G2034" t="s">
        <v>56</v>
      </c>
      <c r="H2034" t="s">
        <v>32</v>
      </c>
      <c r="I2034" s="9">
        <v>320000</v>
      </c>
      <c r="J2034">
        <v>6</v>
      </c>
      <c r="K2034" t="s">
        <v>58</v>
      </c>
      <c r="L2034" s="9">
        <f t="shared" si="31"/>
        <v>256000</v>
      </c>
      <c r="M2034" s="9">
        <f>Table1[[#This Row],[Unit Price]]*Table1[[#This Row],[Quantity]]</f>
        <v>1920000</v>
      </c>
      <c r="N2034" s="9">
        <f>Table1[[#This Row],[Cost Price]]*Table1[[#This Row],[Quantity]]</f>
        <v>1536000</v>
      </c>
      <c r="O2034" s="9">
        <f>Table1[[#This Row],[Revenue]]-Table1[[#This Row],[COGS]]</f>
        <v>384000</v>
      </c>
      <c r="P2034" s="6">
        <v>2033</v>
      </c>
    </row>
    <row r="2035" spans="1:16">
      <c r="A2035" s="7" t="s">
        <v>171</v>
      </c>
      <c r="B2035" s="7" t="str">
        <f>TEXT(Table1[[#This Row],[Date]],"MMM")</f>
        <v>Mar</v>
      </c>
      <c r="C2035" t="s">
        <v>49</v>
      </c>
      <c r="D2035" t="s">
        <v>28</v>
      </c>
      <c r="E2035" t="s">
        <v>41</v>
      </c>
      <c r="F2035" t="s">
        <v>37</v>
      </c>
      <c r="G2035" t="s">
        <v>67</v>
      </c>
      <c r="H2035" t="s">
        <v>51</v>
      </c>
      <c r="I2035" s="9">
        <v>420000</v>
      </c>
      <c r="J2035">
        <v>8</v>
      </c>
      <c r="K2035" t="s">
        <v>58</v>
      </c>
      <c r="L2035" s="9">
        <f t="shared" si="31"/>
        <v>336000</v>
      </c>
      <c r="M2035" s="9">
        <f>Table1[[#This Row],[Unit Price]]*Table1[[#This Row],[Quantity]]</f>
        <v>3360000</v>
      </c>
      <c r="N2035" s="9">
        <f>Table1[[#This Row],[Cost Price]]*Table1[[#This Row],[Quantity]]</f>
        <v>2688000</v>
      </c>
      <c r="O2035" s="9">
        <f>Table1[[#This Row],[Revenue]]-Table1[[#This Row],[COGS]]</f>
        <v>672000</v>
      </c>
      <c r="P2035" s="6">
        <v>2034</v>
      </c>
    </row>
    <row r="2036" spans="1:16">
      <c r="A2036" s="7" t="s">
        <v>114</v>
      </c>
      <c r="B2036" s="7" t="str">
        <f>TEXT(Table1[[#This Row],[Date]],"MMM")</f>
        <v>Apr</v>
      </c>
      <c r="C2036" t="s">
        <v>35</v>
      </c>
      <c r="D2036" t="s">
        <v>53</v>
      </c>
      <c r="E2036" t="s">
        <v>29</v>
      </c>
      <c r="F2036" t="s">
        <v>37</v>
      </c>
      <c r="G2036" t="s">
        <v>73</v>
      </c>
      <c r="H2036" t="s">
        <v>39</v>
      </c>
      <c r="I2036" s="9">
        <v>220000</v>
      </c>
      <c r="J2036">
        <v>9</v>
      </c>
      <c r="K2036" t="s">
        <v>58</v>
      </c>
      <c r="L2036" s="9">
        <f t="shared" si="31"/>
        <v>176000</v>
      </c>
      <c r="M2036" s="9">
        <f>Table1[[#This Row],[Unit Price]]*Table1[[#This Row],[Quantity]]</f>
        <v>1980000</v>
      </c>
      <c r="N2036" s="9">
        <f>Table1[[#This Row],[Cost Price]]*Table1[[#This Row],[Quantity]]</f>
        <v>1584000</v>
      </c>
      <c r="O2036" s="9">
        <f>Table1[[#This Row],[Revenue]]-Table1[[#This Row],[COGS]]</f>
        <v>396000</v>
      </c>
      <c r="P2036" s="6">
        <v>2035</v>
      </c>
    </row>
    <row r="2037" spans="1:16">
      <c r="A2037" s="7" t="s">
        <v>40</v>
      </c>
      <c r="B2037" s="7" t="str">
        <f>TEXT(Table1[[#This Row],[Date]],"MMM")</f>
        <v>Feb</v>
      </c>
      <c r="C2037" t="s">
        <v>49</v>
      </c>
      <c r="D2037" t="s">
        <v>36</v>
      </c>
      <c r="E2037" t="s">
        <v>41</v>
      </c>
      <c r="F2037" t="s">
        <v>30</v>
      </c>
      <c r="G2037" t="s">
        <v>73</v>
      </c>
      <c r="H2037" t="s">
        <v>39</v>
      </c>
      <c r="I2037" s="9">
        <v>220000</v>
      </c>
      <c r="J2037">
        <v>2</v>
      </c>
      <c r="K2037" t="s">
        <v>69</v>
      </c>
      <c r="L2037" s="9">
        <f t="shared" si="31"/>
        <v>176000</v>
      </c>
      <c r="M2037" s="9">
        <f>Table1[[#This Row],[Unit Price]]*Table1[[#This Row],[Quantity]]</f>
        <v>440000</v>
      </c>
      <c r="N2037" s="9">
        <f>Table1[[#This Row],[Cost Price]]*Table1[[#This Row],[Quantity]]</f>
        <v>352000</v>
      </c>
      <c r="O2037" s="9">
        <f>Table1[[#This Row],[Revenue]]-Table1[[#This Row],[COGS]]</f>
        <v>88000</v>
      </c>
      <c r="P2037" s="6">
        <v>2036</v>
      </c>
    </row>
    <row r="2038" spans="1:16">
      <c r="A2038" s="7" t="s">
        <v>120</v>
      </c>
      <c r="B2038" s="7" t="str">
        <f>TEXT(Table1[[#This Row],[Date]],"MMM")</f>
        <v>Mar</v>
      </c>
      <c r="C2038" t="s">
        <v>44</v>
      </c>
      <c r="D2038" t="s">
        <v>53</v>
      </c>
      <c r="E2038" t="s">
        <v>29</v>
      </c>
      <c r="F2038" t="s">
        <v>30</v>
      </c>
      <c r="G2038" t="s">
        <v>62</v>
      </c>
      <c r="H2038" t="s">
        <v>51</v>
      </c>
      <c r="I2038" s="9">
        <v>150000</v>
      </c>
      <c r="J2038">
        <v>4</v>
      </c>
      <c r="K2038" t="s">
        <v>65</v>
      </c>
      <c r="L2038" s="9">
        <f t="shared" si="31"/>
        <v>120000</v>
      </c>
      <c r="M2038" s="9">
        <f>Table1[[#This Row],[Unit Price]]*Table1[[#This Row],[Quantity]]</f>
        <v>600000</v>
      </c>
      <c r="N2038" s="9">
        <f>Table1[[#This Row],[Cost Price]]*Table1[[#This Row],[Quantity]]</f>
        <v>480000</v>
      </c>
      <c r="O2038" s="9">
        <f>Table1[[#This Row],[Revenue]]-Table1[[#This Row],[COGS]]</f>
        <v>120000</v>
      </c>
      <c r="P2038" s="6">
        <v>2037</v>
      </c>
    </row>
    <row r="2039" spans="1:16">
      <c r="A2039" s="7" t="s">
        <v>124</v>
      </c>
      <c r="B2039" s="7" t="str">
        <f>TEXT(Table1[[#This Row],[Date]],"MMM")</f>
        <v>Feb</v>
      </c>
      <c r="C2039" t="s">
        <v>35</v>
      </c>
      <c r="D2039" t="s">
        <v>45</v>
      </c>
      <c r="E2039" t="s">
        <v>29</v>
      </c>
      <c r="F2039" t="s">
        <v>37</v>
      </c>
      <c r="G2039" t="s">
        <v>50</v>
      </c>
      <c r="H2039" t="s">
        <v>51</v>
      </c>
      <c r="I2039" s="9">
        <v>300000</v>
      </c>
      <c r="J2039">
        <v>7</v>
      </c>
      <c r="K2039" t="s">
        <v>69</v>
      </c>
      <c r="L2039" s="9">
        <f t="shared" si="31"/>
        <v>240000</v>
      </c>
      <c r="M2039" s="9">
        <f>Table1[[#This Row],[Unit Price]]*Table1[[#This Row],[Quantity]]</f>
        <v>2100000</v>
      </c>
      <c r="N2039" s="9">
        <f>Table1[[#This Row],[Cost Price]]*Table1[[#This Row],[Quantity]]</f>
        <v>1680000</v>
      </c>
      <c r="O2039" s="9">
        <f>Table1[[#This Row],[Revenue]]-Table1[[#This Row],[COGS]]</f>
        <v>420000</v>
      </c>
      <c r="P2039" s="6">
        <v>2038</v>
      </c>
    </row>
    <row r="2040" spans="1:16">
      <c r="A2040" s="7" t="s">
        <v>145</v>
      </c>
      <c r="B2040" s="7" t="str">
        <f>TEXT(Table1[[#This Row],[Date]],"MMM")</f>
        <v>Jan</v>
      </c>
      <c r="C2040" t="s">
        <v>44</v>
      </c>
      <c r="D2040" t="s">
        <v>36</v>
      </c>
      <c r="E2040" t="s">
        <v>41</v>
      </c>
      <c r="F2040" t="s">
        <v>30</v>
      </c>
      <c r="G2040" t="s">
        <v>67</v>
      </c>
      <c r="H2040" t="s">
        <v>51</v>
      </c>
      <c r="I2040" s="9">
        <v>420000</v>
      </c>
      <c r="J2040">
        <v>4</v>
      </c>
      <c r="K2040" t="s">
        <v>69</v>
      </c>
      <c r="L2040" s="9">
        <f t="shared" si="31"/>
        <v>336000</v>
      </c>
      <c r="M2040" s="9">
        <f>Table1[[#This Row],[Unit Price]]*Table1[[#This Row],[Quantity]]</f>
        <v>1680000</v>
      </c>
      <c r="N2040" s="9">
        <f>Table1[[#This Row],[Cost Price]]*Table1[[#This Row],[Quantity]]</f>
        <v>1344000</v>
      </c>
      <c r="O2040" s="9">
        <f>Table1[[#This Row],[Revenue]]-Table1[[#This Row],[COGS]]</f>
        <v>336000</v>
      </c>
      <c r="P2040" s="6">
        <v>2039</v>
      </c>
    </row>
    <row r="2041" spans="1:16">
      <c r="A2041" s="7" t="s">
        <v>112</v>
      </c>
      <c r="B2041" s="7" t="str">
        <f>TEXT(Table1[[#This Row],[Date]],"MMM")</f>
        <v>Feb</v>
      </c>
      <c r="C2041" t="s">
        <v>27</v>
      </c>
      <c r="D2041" t="s">
        <v>45</v>
      </c>
      <c r="E2041" t="s">
        <v>41</v>
      </c>
      <c r="F2041" t="s">
        <v>37</v>
      </c>
      <c r="G2041" t="s">
        <v>46</v>
      </c>
      <c r="H2041" t="s">
        <v>39</v>
      </c>
      <c r="I2041" s="9">
        <v>60000</v>
      </c>
      <c r="J2041">
        <v>4</v>
      </c>
      <c r="K2041" t="s">
        <v>65</v>
      </c>
      <c r="L2041" s="9">
        <f t="shared" si="31"/>
        <v>48000</v>
      </c>
      <c r="M2041" s="9">
        <f>Table1[[#This Row],[Unit Price]]*Table1[[#This Row],[Quantity]]</f>
        <v>240000</v>
      </c>
      <c r="N2041" s="9">
        <f>Table1[[#This Row],[Cost Price]]*Table1[[#This Row],[Quantity]]</f>
        <v>192000</v>
      </c>
      <c r="O2041" s="9">
        <f>Table1[[#This Row],[Revenue]]-Table1[[#This Row],[COGS]]</f>
        <v>48000</v>
      </c>
      <c r="P2041" s="6">
        <v>2040</v>
      </c>
    </row>
    <row r="2042" spans="1:16">
      <c r="A2042" s="7" t="s">
        <v>107</v>
      </c>
      <c r="B2042" s="7" t="str">
        <f>TEXT(Table1[[#This Row],[Date]],"MMM")</f>
        <v>Feb</v>
      </c>
      <c r="C2042" t="s">
        <v>49</v>
      </c>
      <c r="D2042" t="s">
        <v>45</v>
      </c>
      <c r="E2042" t="s">
        <v>29</v>
      </c>
      <c r="F2042" t="s">
        <v>30</v>
      </c>
      <c r="G2042" t="s">
        <v>54</v>
      </c>
      <c r="H2042" t="s">
        <v>39</v>
      </c>
      <c r="I2042" s="9">
        <v>180000</v>
      </c>
      <c r="J2042">
        <v>6</v>
      </c>
      <c r="K2042" t="s">
        <v>33</v>
      </c>
      <c r="L2042" s="9">
        <f t="shared" si="31"/>
        <v>144000</v>
      </c>
      <c r="M2042" s="9">
        <f>Table1[[#This Row],[Unit Price]]*Table1[[#This Row],[Quantity]]</f>
        <v>1080000</v>
      </c>
      <c r="N2042" s="9">
        <f>Table1[[#This Row],[Cost Price]]*Table1[[#This Row],[Quantity]]</f>
        <v>864000</v>
      </c>
      <c r="O2042" s="9">
        <f>Table1[[#This Row],[Revenue]]-Table1[[#This Row],[COGS]]</f>
        <v>216000</v>
      </c>
      <c r="P2042" s="6">
        <v>2041</v>
      </c>
    </row>
    <row r="2043" spans="1:16">
      <c r="A2043" s="7" t="s">
        <v>159</v>
      </c>
      <c r="B2043" s="7" t="str">
        <f>TEXT(Table1[[#This Row],[Date]],"MMM")</f>
        <v>Feb</v>
      </c>
      <c r="C2043" t="s">
        <v>44</v>
      </c>
      <c r="D2043" t="s">
        <v>45</v>
      </c>
      <c r="E2043" t="s">
        <v>41</v>
      </c>
      <c r="F2043" t="s">
        <v>30</v>
      </c>
      <c r="G2043" t="s">
        <v>50</v>
      </c>
      <c r="H2043" t="s">
        <v>51</v>
      </c>
      <c r="I2043" s="9">
        <v>300000</v>
      </c>
      <c r="J2043">
        <v>8</v>
      </c>
      <c r="K2043" t="s">
        <v>58</v>
      </c>
      <c r="L2043" s="9">
        <f t="shared" si="31"/>
        <v>240000</v>
      </c>
      <c r="M2043" s="9">
        <f>Table1[[#This Row],[Unit Price]]*Table1[[#This Row],[Quantity]]</f>
        <v>2400000</v>
      </c>
      <c r="N2043" s="9">
        <f>Table1[[#This Row],[Cost Price]]*Table1[[#This Row],[Quantity]]</f>
        <v>1920000</v>
      </c>
      <c r="O2043" s="9">
        <f>Table1[[#This Row],[Revenue]]-Table1[[#This Row],[COGS]]</f>
        <v>480000</v>
      </c>
      <c r="P2043" s="6">
        <v>2042</v>
      </c>
    </row>
    <row r="2044" spans="1:16">
      <c r="A2044" s="7" t="s">
        <v>124</v>
      </c>
      <c r="B2044" s="7" t="str">
        <f>TEXT(Table1[[#This Row],[Date]],"MMM")</f>
        <v>Feb</v>
      </c>
      <c r="C2044" t="s">
        <v>27</v>
      </c>
      <c r="D2044" t="s">
        <v>28</v>
      </c>
      <c r="E2044" t="s">
        <v>29</v>
      </c>
      <c r="F2044" t="s">
        <v>37</v>
      </c>
      <c r="G2044" t="s">
        <v>56</v>
      </c>
      <c r="H2044" t="s">
        <v>32</v>
      </c>
      <c r="I2044" s="9">
        <v>320000</v>
      </c>
      <c r="J2044">
        <v>10</v>
      </c>
      <c r="K2044" t="s">
        <v>33</v>
      </c>
      <c r="L2044" s="9">
        <f t="shared" si="31"/>
        <v>256000</v>
      </c>
      <c r="M2044" s="9">
        <f>Table1[[#This Row],[Unit Price]]*Table1[[#This Row],[Quantity]]</f>
        <v>3200000</v>
      </c>
      <c r="N2044" s="9">
        <f>Table1[[#This Row],[Cost Price]]*Table1[[#This Row],[Quantity]]</f>
        <v>2560000</v>
      </c>
      <c r="O2044" s="9">
        <f>Table1[[#This Row],[Revenue]]-Table1[[#This Row],[COGS]]</f>
        <v>640000</v>
      </c>
      <c r="P2044" s="6">
        <v>2043</v>
      </c>
    </row>
    <row r="2045" spans="1:16">
      <c r="A2045" s="7" t="s">
        <v>173</v>
      </c>
      <c r="B2045" s="7" t="str">
        <f>TEXT(Table1[[#This Row],[Date]],"MMM")</f>
        <v>Mar</v>
      </c>
      <c r="C2045" t="s">
        <v>27</v>
      </c>
      <c r="D2045" t="s">
        <v>36</v>
      </c>
      <c r="E2045" t="s">
        <v>29</v>
      </c>
      <c r="F2045" t="s">
        <v>37</v>
      </c>
      <c r="G2045" t="s">
        <v>38</v>
      </c>
      <c r="H2045" t="s">
        <v>39</v>
      </c>
      <c r="I2045" s="9">
        <v>30000</v>
      </c>
      <c r="J2045">
        <v>1</v>
      </c>
      <c r="K2045" t="s">
        <v>33</v>
      </c>
      <c r="L2045" s="9">
        <f t="shared" si="31"/>
        <v>24000</v>
      </c>
      <c r="M2045" s="9">
        <f>Table1[[#This Row],[Unit Price]]*Table1[[#This Row],[Quantity]]</f>
        <v>30000</v>
      </c>
      <c r="N2045" s="9">
        <f>Table1[[#This Row],[Cost Price]]*Table1[[#This Row],[Quantity]]</f>
        <v>24000</v>
      </c>
      <c r="O2045" s="9">
        <f>Table1[[#This Row],[Revenue]]-Table1[[#This Row],[COGS]]</f>
        <v>6000</v>
      </c>
      <c r="P2045" s="6">
        <v>2044</v>
      </c>
    </row>
    <row r="2046" spans="1:16">
      <c r="A2046" s="7" t="s">
        <v>146</v>
      </c>
      <c r="B2046" s="7" t="str">
        <f>TEXT(Table1[[#This Row],[Date]],"MMM")</f>
        <v>Jan</v>
      </c>
      <c r="C2046" t="s">
        <v>35</v>
      </c>
      <c r="D2046" t="s">
        <v>36</v>
      </c>
      <c r="E2046" t="s">
        <v>41</v>
      </c>
      <c r="F2046" t="s">
        <v>37</v>
      </c>
      <c r="G2046" t="s">
        <v>31</v>
      </c>
      <c r="H2046" t="s">
        <v>32</v>
      </c>
      <c r="I2046" s="9">
        <v>85000</v>
      </c>
      <c r="J2046">
        <v>2</v>
      </c>
      <c r="K2046" t="s">
        <v>58</v>
      </c>
      <c r="L2046" s="9">
        <f t="shared" si="31"/>
        <v>68000</v>
      </c>
      <c r="M2046" s="9">
        <f>Table1[[#This Row],[Unit Price]]*Table1[[#This Row],[Quantity]]</f>
        <v>170000</v>
      </c>
      <c r="N2046" s="9">
        <f>Table1[[#This Row],[Cost Price]]*Table1[[#This Row],[Quantity]]</f>
        <v>136000</v>
      </c>
      <c r="O2046" s="9">
        <f>Table1[[#This Row],[Revenue]]-Table1[[#This Row],[COGS]]</f>
        <v>34000</v>
      </c>
      <c r="P2046" s="6">
        <v>2045</v>
      </c>
    </row>
    <row r="2047" spans="1:16">
      <c r="A2047" s="7" t="s">
        <v>43</v>
      </c>
      <c r="B2047" s="7" t="str">
        <f>TEXT(Table1[[#This Row],[Date]],"MMM")</f>
        <v>Apr</v>
      </c>
      <c r="C2047" t="s">
        <v>27</v>
      </c>
      <c r="D2047" t="s">
        <v>28</v>
      </c>
      <c r="E2047" t="s">
        <v>41</v>
      </c>
      <c r="F2047" t="s">
        <v>30</v>
      </c>
      <c r="G2047" t="s">
        <v>31</v>
      </c>
      <c r="H2047" t="s">
        <v>32</v>
      </c>
      <c r="I2047" s="9">
        <v>85000</v>
      </c>
      <c r="J2047">
        <v>5</v>
      </c>
      <c r="K2047" t="s">
        <v>65</v>
      </c>
      <c r="L2047" s="9">
        <f t="shared" si="31"/>
        <v>68000</v>
      </c>
      <c r="M2047" s="9">
        <f>Table1[[#This Row],[Unit Price]]*Table1[[#This Row],[Quantity]]</f>
        <v>425000</v>
      </c>
      <c r="N2047" s="9">
        <f>Table1[[#This Row],[Cost Price]]*Table1[[#This Row],[Quantity]]</f>
        <v>340000</v>
      </c>
      <c r="O2047" s="9">
        <f>Table1[[#This Row],[Revenue]]-Table1[[#This Row],[COGS]]</f>
        <v>85000</v>
      </c>
      <c r="P2047" s="6">
        <v>2046</v>
      </c>
    </row>
    <row r="2048" spans="1:16">
      <c r="A2048" s="7" t="s">
        <v>136</v>
      </c>
      <c r="B2048" s="7" t="str">
        <f>TEXT(Table1[[#This Row],[Date]],"MMM")</f>
        <v>Feb</v>
      </c>
      <c r="C2048" t="s">
        <v>44</v>
      </c>
      <c r="D2048" t="s">
        <v>28</v>
      </c>
      <c r="E2048" t="s">
        <v>29</v>
      </c>
      <c r="F2048" t="s">
        <v>37</v>
      </c>
      <c r="G2048" t="s">
        <v>71</v>
      </c>
      <c r="H2048" t="s">
        <v>51</v>
      </c>
      <c r="I2048" s="9">
        <v>250000</v>
      </c>
      <c r="J2048">
        <v>8</v>
      </c>
      <c r="K2048" t="s">
        <v>65</v>
      </c>
      <c r="L2048" s="9">
        <f t="shared" si="31"/>
        <v>200000</v>
      </c>
      <c r="M2048" s="9">
        <f>Table1[[#This Row],[Unit Price]]*Table1[[#This Row],[Quantity]]</f>
        <v>2000000</v>
      </c>
      <c r="N2048" s="9">
        <f>Table1[[#This Row],[Cost Price]]*Table1[[#This Row],[Quantity]]</f>
        <v>1600000</v>
      </c>
      <c r="O2048" s="9">
        <f>Table1[[#This Row],[Revenue]]-Table1[[#This Row],[COGS]]</f>
        <v>400000</v>
      </c>
      <c r="P2048" s="6">
        <v>2047</v>
      </c>
    </row>
    <row r="2049" spans="1:16">
      <c r="A2049" s="7" t="s">
        <v>107</v>
      </c>
      <c r="B2049" s="7" t="str">
        <f>TEXT(Table1[[#This Row],[Date]],"MMM")</f>
        <v>Feb</v>
      </c>
      <c r="C2049" t="s">
        <v>49</v>
      </c>
      <c r="D2049" t="s">
        <v>45</v>
      </c>
      <c r="E2049" t="s">
        <v>41</v>
      </c>
      <c r="F2049" t="s">
        <v>30</v>
      </c>
      <c r="G2049" t="s">
        <v>50</v>
      </c>
      <c r="H2049" t="s">
        <v>51</v>
      </c>
      <c r="I2049" s="9">
        <v>300000</v>
      </c>
      <c r="J2049">
        <v>8</v>
      </c>
      <c r="K2049" t="s">
        <v>58</v>
      </c>
      <c r="L2049" s="9">
        <f t="shared" si="31"/>
        <v>240000</v>
      </c>
      <c r="M2049" s="9">
        <f>Table1[[#This Row],[Unit Price]]*Table1[[#This Row],[Quantity]]</f>
        <v>2400000</v>
      </c>
      <c r="N2049" s="9">
        <f>Table1[[#This Row],[Cost Price]]*Table1[[#This Row],[Quantity]]</f>
        <v>1920000</v>
      </c>
      <c r="O2049" s="9">
        <f>Table1[[#This Row],[Revenue]]-Table1[[#This Row],[COGS]]</f>
        <v>480000</v>
      </c>
      <c r="P2049" s="6">
        <v>2048</v>
      </c>
    </row>
    <row r="2050" spans="1:16">
      <c r="A2050" s="7" t="s">
        <v>116</v>
      </c>
      <c r="B2050" s="7" t="str">
        <f>TEXT(Table1[[#This Row],[Date]],"MMM")</f>
        <v>Apr</v>
      </c>
      <c r="C2050" t="s">
        <v>27</v>
      </c>
      <c r="D2050" t="s">
        <v>36</v>
      </c>
      <c r="E2050" t="s">
        <v>41</v>
      </c>
      <c r="F2050" t="s">
        <v>37</v>
      </c>
      <c r="G2050" t="s">
        <v>54</v>
      </c>
      <c r="H2050" t="s">
        <v>39</v>
      </c>
      <c r="I2050" s="9">
        <v>180000</v>
      </c>
      <c r="J2050">
        <v>9</v>
      </c>
      <c r="K2050" t="s">
        <v>47</v>
      </c>
      <c r="L2050" s="9">
        <f t="shared" ref="L2050:L2099" si="32">I2050-I2050*0.2</f>
        <v>144000</v>
      </c>
      <c r="M2050" s="9">
        <f>Table1[[#This Row],[Unit Price]]*Table1[[#This Row],[Quantity]]</f>
        <v>1620000</v>
      </c>
      <c r="N2050" s="9">
        <f>Table1[[#This Row],[Cost Price]]*Table1[[#This Row],[Quantity]]</f>
        <v>1296000</v>
      </c>
      <c r="O2050" s="9">
        <f>Table1[[#This Row],[Revenue]]-Table1[[#This Row],[COGS]]</f>
        <v>324000</v>
      </c>
      <c r="P2050" s="6">
        <v>2049</v>
      </c>
    </row>
    <row r="2051" spans="1:16">
      <c r="A2051" s="7" t="s">
        <v>93</v>
      </c>
      <c r="B2051" s="7" t="str">
        <f>TEXT(Table1[[#This Row],[Date]],"MMM")</f>
        <v>Apr</v>
      </c>
      <c r="C2051" t="s">
        <v>49</v>
      </c>
      <c r="D2051" t="s">
        <v>53</v>
      </c>
      <c r="E2051" t="s">
        <v>41</v>
      </c>
      <c r="F2051" t="s">
        <v>30</v>
      </c>
      <c r="G2051" t="s">
        <v>46</v>
      </c>
      <c r="H2051" t="s">
        <v>39</v>
      </c>
      <c r="I2051" s="9">
        <v>60000</v>
      </c>
      <c r="J2051">
        <v>4</v>
      </c>
      <c r="K2051" t="s">
        <v>58</v>
      </c>
      <c r="L2051" s="9">
        <f t="shared" si="32"/>
        <v>48000</v>
      </c>
      <c r="M2051" s="9">
        <f>Table1[[#This Row],[Unit Price]]*Table1[[#This Row],[Quantity]]</f>
        <v>240000</v>
      </c>
      <c r="N2051" s="9">
        <f>Table1[[#This Row],[Cost Price]]*Table1[[#This Row],[Quantity]]</f>
        <v>192000</v>
      </c>
      <c r="O2051" s="9">
        <f>Table1[[#This Row],[Revenue]]-Table1[[#This Row],[COGS]]</f>
        <v>48000</v>
      </c>
      <c r="P2051" s="6">
        <v>2050</v>
      </c>
    </row>
    <row r="2052" spans="1:16">
      <c r="A2052" s="7" t="s">
        <v>134</v>
      </c>
      <c r="B2052" s="7" t="str">
        <f>TEXT(Table1[[#This Row],[Date]],"MMM")</f>
        <v>Jan</v>
      </c>
      <c r="C2052" t="s">
        <v>44</v>
      </c>
      <c r="D2052" t="s">
        <v>28</v>
      </c>
      <c r="E2052" t="s">
        <v>29</v>
      </c>
      <c r="F2052" t="s">
        <v>37</v>
      </c>
      <c r="G2052" t="s">
        <v>46</v>
      </c>
      <c r="H2052" t="s">
        <v>39</v>
      </c>
      <c r="I2052" s="9">
        <v>60000</v>
      </c>
      <c r="J2052">
        <v>3</v>
      </c>
      <c r="K2052" t="s">
        <v>58</v>
      </c>
      <c r="L2052" s="9">
        <f t="shared" si="32"/>
        <v>48000</v>
      </c>
      <c r="M2052" s="9">
        <f>Table1[[#This Row],[Unit Price]]*Table1[[#This Row],[Quantity]]</f>
        <v>180000</v>
      </c>
      <c r="N2052" s="9">
        <f>Table1[[#This Row],[Cost Price]]*Table1[[#This Row],[Quantity]]</f>
        <v>144000</v>
      </c>
      <c r="O2052" s="9">
        <f>Table1[[#This Row],[Revenue]]-Table1[[#This Row],[COGS]]</f>
        <v>36000</v>
      </c>
      <c r="P2052" s="6">
        <v>2051</v>
      </c>
    </row>
    <row r="2053" spans="1:16">
      <c r="A2053" s="7" t="s">
        <v>106</v>
      </c>
      <c r="B2053" s="7" t="str">
        <f>TEXT(Table1[[#This Row],[Date]],"MMM")</f>
        <v>Apr</v>
      </c>
      <c r="C2053" t="s">
        <v>44</v>
      </c>
      <c r="D2053" t="s">
        <v>28</v>
      </c>
      <c r="E2053" t="s">
        <v>29</v>
      </c>
      <c r="F2053" t="s">
        <v>30</v>
      </c>
      <c r="G2053" t="s">
        <v>73</v>
      </c>
      <c r="H2053" t="s">
        <v>39</v>
      </c>
      <c r="I2053" s="9">
        <v>220000</v>
      </c>
      <c r="J2053">
        <v>6</v>
      </c>
      <c r="K2053" t="s">
        <v>65</v>
      </c>
      <c r="L2053" s="9">
        <f t="shared" si="32"/>
        <v>176000</v>
      </c>
      <c r="M2053" s="9">
        <f>Table1[[#This Row],[Unit Price]]*Table1[[#This Row],[Quantity]]</f>
        <v>1320000</v>
      </c>
      <c r="N2053" s="9">
        <f>Table1[[#This Row],[Cost Price]]*Table1[[#This Row],[Quantity]]</f>
        <v>1056000</v>
      </c>
      <c r="O2053" s="9">
        <f>Table1[[#This Row],[Revenue]]-Table1[[#This Row],[COGS]]</f>
        <v>264000</v>
      </c>
      <c r="P2053" s="6">
        <v>2052</v>
      </c>
    </row>
    <row r="2054" spans="1:16">
      <c r="A2054" s="7" t="s">
        <v>55</v>
      </c>
      <c r="B2054" s="7" t="str">
        <f>TEXT(Table1[[#This Row],[Date]],"MMM")</f>
        <v>Mar</v>
      </c>
      <c r="C2054" t="s">
        <v>35</v>
      </c>
      <c r="D2054" t="s">
        <v>45</v>
      </c>
      <c r="E2054" t="s">
        <v>29</v>
      </c>
      <c r="F2054" t="s">
        <v>37</v>
      </c>
      <c r="G2054" t="s">
        <v>56</v>
      </c>
      <c r="H2054" t="s">
        <v>32</v>
      </c>
      <c r="I2054" s="9">
        <v>320000</v>
      </c>
      <c r="J2054">
        <v>9</v>
      </c>
      <c r="K2054" t="s">
        <v>58</v>
      </c>
      <c r="L2054" s="9">
        <f t="shared" si="32"/>
        <v>256000</v>
      </c>
      <c r="M2054" s="9">
        <f>Table1[[#This Row],[Unit Price]]*Table1[[#This Row],[Quantity]]</f>
        <v>2880000</v>
      </c>
      <c r="N2054" s="9">
        <f>Table1[[#This Row],[Cost Price]]*Table1[[#This Row],[Quantity]]</f>
        <v>2304000</v>
      </c>
      <c r="O2054" s="9">
        <f>Table1[[#This Row],[Revenue]]-Table1[[#This Row],[COGS]]</f>
        <v>576000</v>
      </c>
      <c r="P2054" s="6">
        <v>2053</v>
      </c>
    </row>
    <row r="2055" spans="1:16">
      <c r="A2055" s="7" t="s">
        <v>26</v>
      </c>
      <c r="B2055" s="7" t="str">
        <f>TEXT(Table1[[#This Row],[Date]],"MMM")</f>
        <v>Jan</v>
      </c>
      <c r="C2055" t="s">
        <v>44</v>
      </c>
      <c r="D2055" t="s">
        <v>45</v>
      </c>
      <c r="E2055" t="s">
        <v>29</v>
      </c>
      <c r="F2055" t="s">
        <v>37</v>
      </c>
      <c r="G2055" t="s">
        <v>67</v>
      </c>
      <c r="H2055" t="s">
        <v>51</v>
      </c>
      <c r="I2055" s="9">
        <v>420000</v>
      </c>
      <c r="J2055">
        <v>3</v>
      </c>
      <c r="K2055" t="s">
        <v>42</v>
      </c>
      <c r="L2055" s="9">
        <f t="shared" si="32"/>
        <v>336000</v>
      </c>
      <c r="M2055" s="9">
        <f>Table1[[#This Row],[Unit Price]]*Table1[[#This Row],[Quantity]]</f>
        <v>1260000</v>
      </c>
      <c r="N2055" s="9">
        <f>Table1[[#This Row],[Cost Price]]*Table1[[#This Row],[Quantity]]</f>
        <v>1008000</v>
      </c>
      <c r="O2055" s="9">
        <f>Table1[[#This Row],[Revenue]]-Table1[[#This Row],[COGS]]</f>
        <v>252000</v>
      </c>
      <c r="P2055" s="6">
        <v>2054</v>
      </c>
    </row>
    <row r="2056" spans="1:16">
      <c r="A2056" s="7" t="s">
        <v>123</v>
      </c>
      <c r="B2056" s="7" t="str">
        <f>TEXT(Table1[[#This Row],[Date]],"MMM")</f>
        <v>Apr</v>
      </c>
      <c r="C2056" t="s">
        <v>35</v>
      </c>
      <c r="D2056" t="s">
        <v>53</v>
      </c>
      <c r="E2056" t="s">
        <v>41</v>
      </c>
      <c r="F2056" t="s">
        <v>37</v>
      </c>
      <c r="G2056" t="s">
        <v>54</v>
      </c>
      <c r="H2056" t="s">
        <v>39</v>
      </c>
      <c r="I2056" s="9">
        <v>180000</v>
      </c>
      <c r="J2056">
        <v>9</v>
      </c>
      <c r="K2056" t="s">
        <v>33</v>
      </c>
      <c r="L2056" s="9">
        <f t="shared" si="32"/>
        <v>144000</v>
      </c>
      <c r="M2056" s="9">
        <f>Table1[[#This Row],[Unit Price]]*Table1[[#This Row],[Quantity]]</f>
        <v>1620000</v>
      </c>
      <c r="N2056" s="9">
        <f>Table1[[#This Row],[Cost Price]]*Table1[[#This Row],[Quantity]]</f>
        <v>1296000</v>
      </c>
      <c r="O2056" s="9">
        <f>Table1[[#This Row],[Revenue]]-Table1[[#This Row],[COGS]]</f>
        <v>324000</v>
      </c>
      <c r="P2056" s="6">
        <v>2055</v>
      </c>
    </row>
    <row r="2057" spans="1:16">
      <c r="A2057" s="7" t="s">
        <v>172</v>
      </c>
      <c r="B2057" s="7" t="str">
        <f>TEXT(Table1[[#This Row],[Date]],"MMM")</f>
        <v>Mar</v>
      </c>
      <c r="C2057" t="s">
        <v>44</v>
      </c>
      <c r="D2057" t="s">
        <v>53</v>
      </c>
      <c r="E2057" t="s">
        <v>41</v>
      </c>
      <c r="F2057" t="s">
        <v>37</v>
      </c>
      <c r="G2057" t="s">
        <v>46</v>
      </c>
      <c r="H2057" t="s">
        <v>39</v>
      </c>
      <c r="I2057" s="9">
        <v>60000</v>
      </c>
      <c r="J2057">
        <v>1</v>
      </c>
      <c r="K2057" t="s">
        <v>33</v>
      </c>
      <c r="L2057" s="9">
        <f t="shared" si="32"/>
        <v>48000</v>
      </c>
      <c r="M2057" s="9">
        <f>Table1[[#This Row],[Unit Price]]*Table1[[#This Row],[Quantity]]</f>
        <v>60000</v>
      </c>
      <c r="N2057" s="9">
        <f>Table1[[#This Row],[Cost Price]]*Table1[[#This Row],[Quantity]]</f>
        <v>48000</v>
      </c>
      <c r="O2057" s="9">
        <f>Table1[[#This Row],[Revenue]]-Table1[[#This Row],[COGS]]</f>
        <v>12000</v>
      </c>
      <c r="P2057" s="6">
        <v>2056</v>
      </c>
    </row>
    <row r="2058" spans="1:16">
      <c r="A2058" s="7" t="s">
        <v>87</v>
      </c>
      <c r="B2058" s="7" t="str">
        <f>TEXT(Table1[[#This Row],[Date]],"MMM")</f>
        <v>Mar</v>
      </c>
      <c r="C2058" t="s">
        <v>27</v>
      </c>
      <c r="D2058" t="s">
        <v>45</v>
      </c>
      <c r="E2058" t="s">
        <v>41</v>
      </c>
      <c r="F2058" t="s">
        <v>37</v>
      </c>
      <c r="G2058" t="s">
        <v>71</v>
      </c>
      <c r="H2058" t="s">
        <v>51</v>
      </c>
      <c r="I2058" s="9">
        <v>250000</v>
      </c>
      <c r="J2058">
        <v>5</v>
      </c>
      <c r="K2058" t="s">
        <v>58</v>
      </c>
      <c r="L2058" s="9">
        <f t="shared" si="32"/>
        <v>200000</v>
      </c>
      <c r="M2058" s="9">
        <f>Table1[[#This Row],[Unit Price]]*Table1[[#This Row],[Quantity]]</f>
        <v>1250000</v>
      </c>
      <c r="N2058" s="9">
        <f>Table1[[#This Row],[Cost Price]]*Table1[[#This Row],[Quantity]]</f>
        <v>1000000</v>
      </c>
      <c r="O2058" s="9">
        <f>Table1[[#This Row],[Revenue]]-Table1[[#This Row],[COGS]]</f>
        <v>250000</v>
      </c>
      <c r="P2058" s="6">
        <v>2057</v>
      </c>
    </row>
    <row r="2059" spans="1:16">
      <c r="A2059" s="7" t="s">
        <v>43</v>
      </c>
      <c r="B2059" s="7" t="str">
        <f>TEXT(Table1[[#This Row],[Date]],"MMM")</f>
        <v>Apr</v>
      </c>
      <c r="C2059" t="s">
        <v>27</v>
      </c>
      <c r="D2059" t="s">
        <v>28</v>
      </c>
      <c r="E2059" t="s">
        <v>41</v>
      </c>
      <c r="F2059" t="s">
        <v>37</v>
      </c>
      <c r="G2059" t="s">
        <v>38</v>
      </c>
      <c r="H2059" t="s">
        <v>39</v>
      </c>
      <c r="I2059" s="9">
        <v>30000</v>
      </c>
      <c r="J2059">
        <v>8</v>
      </c>
      <c r="K2059" t="s">
        <v>33</v>
      </c>
      <c r="L2059" s="9">
        <f t="shared" si="32"/>
        <v>24000</v>
      </c>
      <c r="M2059" s="9">
        <f>Table1[[#This Row],[Unit Price]]*Table1[[#This Row],[Quantity]]</f>
        <v>240000</v>
      </c>
      <c r="N2059" s="9">
        <f>Table1[[#This Row],[Cost Price]]*Table1[[#This Row],[Quantity]]</f>
        <v>192000</v>
      </c>
      <c r="O2059" s="9">
        <f>Table1[[#This Row],[Revenue]]-Table1[[#This Row],[COGS]]</f>
        <v>48000</v>
      </c>
      <c r="P2059" s="6">
        <v>2058</v>
      </c>
    </row>
    <row r="2060" spans="1:16">
      <c r="A2060" s="7" t="s">
        <v>136</v>
      </c>
      <c r="B2060" s="7" t="str">
        <f>TEXT(Table1[[#This Row],[Date]],"MMM")</f>
        <v>Feb</v>
      </c>
      <c r="C2060" t="s">
        <v>49</v>
      </c>
      <c r="D2060" t="s">
        <v>28</v>
      </c>
      <c r="E2060" t="s">
        <v>29</v>
      </c>
      <c r="F2060" t="s">
        <v>30</v>
      </c>
      <c r="G2060" t="s">
        <v>54</v>
      </c>
      <c r="H2060" t="s">
        <v>39</v>
      </c>
      <c r="I2060" s="9">
        <v>180000</v>
      </c>
      <c r="J2060">
        <v>6</v>
      </c>
      <c r="K2060" t="s">
        <v>33</v>
      </c>
      <c r="L2060" s="9">
        <f t="shared" si="32"/>
        <v>144000</v>
      </c>
      <c r="M2060" s="9">
        <f>Table1[[#This Row],[Unit Price]]*Table1[[#This Row],[Quantity]]</f>
        <v>1080000</v>
      </c>
      <c r="N2060" s="9">
        <f>Table1[[#This Row],[Cost Price]]*Table1[[#This Row],[Quantity]]</f>
        <v>864000</v>
      </c>
      <c r="O2060" s="9">
        <f>Table1[[#This Row],[Revenue]]-Table1[[#This Row],[COGS]]</f>
        <v>216000</v>
      </c>
      <c r="P2060" s="6">
        <v>2059</v>
      </c>
    </row>
    <row r="2061" spans="1:16">
      <c r="A2061" s="7" t="s">
        <v>123</v>
      </c>
      <c r="B2061" s="7" t="str">
        <f>TEXT(Table1[[#This Row],[Date]],"MMM")</f>
        <v>Apr</v>
      </c>
      <c r="C2061" t="s">
        <v>35</v>
      </c>
      <c r="D2061" t="s">
        <v>45</v>
      </c>
      <c r="E2061" t="s">
        <v>29</v>
      </c>
      <c r="F2061" t="s">
        <v>37</v>
      </c>
      <c r="G2061" t="s">
        <v>46</v>
      </c>
      <c r="H2061" t="s">
        <v>39</v>
      </c>
      <c r="I2061" s="9">
        <v>60000</v>
      </c>
      <c r="J2061">
        <v>1</v>
      </c>
      <c r="K2061" t="s">
        <v>47</v>
      </c>
      <c r="L2061" s="9">
        <f t="shared" si="32"/>
        <v>48000</v>
      </c>
      <c r="M2061" s="9">
        <f>Table1[[#This Row],[Unit Price]]*Table1[[#This Row],[Quantity]]</f>
        <v>60000</v>
      </c>
      <c r="N2061" s="9">
        <f>Table1[[#This Row],[Cost Price]]*Table1[[#This Row],[Quantity]]</f>
        <v>48000</v>
      </c>
      <c r="O2061" s="9">
        <f>Table1[[#This Row],[Revenue]]-Table1[[#This Row],[COGS]]</f>
        <v>12000</v>
      </c>
      <c r="P2061" s="6">
        <v>2060</v>
      </c>
    </row>
    <row r="2062" spans="1:16">
      <c r="A2062" s="7" t="s">
        <v>48</v>
      </c>
      <c r="B2062" s="7" t="str">
        <f>TEXT(Table1[[#This Row],[Date]],"MMM")</f>
        <v>Apr</v>
      </c>
      <c r="C2062" t="s">
        <v>35</v>
      </c>
      <c r="D2062" t="s">
        <v>45</v>
      </c>
      <c r="E2062" t="s">
        <v>29</v>
      </c>
      <c r="F2062" t="s">
        <v>30</v>
      </c>
      <c r="G2062" t="s">
        <v>62</v>
      </c>
      <c r="H2062" t="s">
        <v>51</v>
      </c>
      <c r="I2062" s="9">
        <v>150000</v>
      </c>
      <c r="J2062">
        <v>5</v>
      </c>
      <c r="K2062" t="s">
        <v>69</v>
      </c>
      <c r="L2062" s="9">
        <f t="shared" si="32"/>
        <v>120000</v>
      </c>
      <c r="M2062" s="9">
        <f>Table1[[#This Row],[Unit Price]]*Table1[[#This Row],[Quantity]]</f>
        <v>750000</v>
      </c>
      <c r="N2062" s="9">
        <f>Table1[[#This Row],[Cost Price]]*Table1[[#This Row],[Quantity]]</f>
        <v>600000</v>
      </c>
      <c r="O2062" s="9">
        <f>Table1[[#This Row],[Revenue]]-Table1[[#This Row],[COGS]]</f>
        <v>150000</v>
      </c>
      <c r="P2062" s="6">
        <v>2061</v>
      </c>
    </row>
    <row r="2063" spans="1:16">
      <c r="A2063" s="7" t="s">
        <v>177</v>
      </c>
      <c r="B2063" s="7" t="str">
        <f>TEXT(Table1[[#This Row],[Date]],"MMM")</f>
        <v>Mar</v>
      </c>
      <c r="C2063" t="s">
        <v>49</v>
      </c>
      <c r="D2063" t="s">
        <v>36</v>
      </c>
      <c r="E2063" t="s">
        <v>41</v>
      </c>
      <c r="F2063" t="s">
        <v>37</v>
      </c>
      <c r="G2063" t="s">
        <v>31</v>
      </c>
      <c r="H2063" t="s">
        <v>32</v>
      </c>
      <c r="I2063" s="9">
        <v>85000</v>
      </c>
      <c r="J2063">
        <v>1</v>
      </c>
      <c r="K2063" t="s">
        <v>69</v>
      </c>
      <c r="L2063" s="9">
        <f t="shared" si="32"/>
        <v>68000</v>
      </c>
      <c r="M2063" s="9">
        <f>Table1[[#This Row],[Unit Price]]*Table1[[#This Row],[Quantity]]</f>
        <v>85000</v>
      </c>
      <c r="N2063" s="9">
        <f>Table1[[#This Row],[Cost Price]]*Table1[[#This Row],[Quantity]]</f>
        <v>68000</v>
      </c>
      <c r="O2063" s="9">
        <f>Table1[[#This Row],[Revenue]]-Table1[[#This Row],[COGS]]</f>
        <v>17000</v>
      </c>
      <c r="P2063" s="6">
        <v>2062</v>
      </c>
    </row>
    <row r="2064" spans="1:16">
      <c r="A2064" s="7" t="s">
        <v>63</v>
      </c>
      <c r="B2064" s="7" t="str">
        <f>TEXT(Table1[[#This Row],[Date]],"MMM")</f>
        <v>Jan</v>
      </c>
      <c r="C2064" t="s">
        <v>44</v>
      </c>
      <c r="D2064" t="s">
        <v>36</v>
      </c>
      <c r="E2064" t="s">
        <v>41</v>
      </c>
      <c r="F2064" t="s">
        <v>37</v>
      </c>
      <c r="G2064" t="s">
        <v>62</v>
      </c>
      <c r="H2064" t="s">
        <v>51</v>
      </c>
      <c r="I2064" s="9">
        <v>150000</v>
      </c>
      <c r="J2064">
        <v>7</v>
      </c>
      <c r="K2064" t="s">
        <v>58</v>
      </c>
      <c r="L2064" s="9">
        <f t="shared" si="32"/>
        <v>120000</v>
      </c>
      <c r="M2064" s="9">
        <f>Table1[[#This Row],[Unit Price]]*Table1[[#This Row],[Quantity]]</f>
        <v>1050000</v>
      </c>
      <c r="N2064" s="9">
        <f>Table1[[#This Row],[Cost Price]]*Table1[[#This Row],[Quantity]]</f>
        <v>840000</v>
      </c>
      <c r="O2064" s="9">
        <f>Table1[[#This Row],[Revenue]]-Table1[[#This Row],[COGS]]</f>
        <v>210000</v>
      </c>
      <c r="P2064" s="6">
        <v>2063</v>
      </c>
    </row>
    <row r="2065" spans="1:16">
      <c r="A2065" s="7" t="s">
        <v>98</v>
      </c>
      <c r="B2065" s="7" t="str">
        <f>TEXT(Table1[[#This Row],[Date]],"MMM")</f>
        <v>Jan</v>
      </c>
      <c r="C2065" t="s">
        <v>49</v>
      </c>
      <c r="D2065" t="s">
        <v>45</v>
      </c>
      <c r="E2065" t="s">
        <v>41</v>
      </c>
      <c r="F2065" t="s">
        <v>37</v>
      </c>
      <c r="G2065" t="s">
        <v>54</v>
      </c>
      <c r="H2065" t="s">
        <v>39</v>
      </c>
      <c r="I2065" s="9">
        <v>180000</v>
      </c>
      <c r="J2065">
        <v>4</v>
      </c>
      <c r="K2065" t="s">
        <v>33</v>
      </c>
      <c r="L2065" s="9">
        <f t="shared" si="32"/>
        <v>144000</v>
      </c>
      <c r="M2065" s="9">
        <f>Table1[[#This Row],[Unit Price]]*Table1[[#This Row],[Quantity]]</f>
        <v>720000</v>
      </c>
      <c r="N2065" s="9">
        <f>Table1[[#This Row],[Cost Price]]*Table1[[#This Row],[Quantity]]</f>
        <v>576000</v>
      </c>
      <c r="O2065" s="9">
        <f>Table1[[#This Row],[Revenue]]-Table1[[#This Row],[COGS]]</f>
        <v>144000</v>
      </c>
      <c r="P2065" s="6">
        <v>2064</v>
      </c>
    </row>
    <row r="2066" spans="1:16">
      <c r="A2066" s="7" t="s">
        <v>117</v>
      </c>
      <c r="B2066" s="7" t="str">
        <f>TEXT(Table1[[#This Row],[Date]],"MMM")</f>
        <v>Jan</v>
      </c>
      <c r="C2066" t="s">
        <v>49</v>
      </c>
      <c r="D2066" t="s">
        <v>45</v>
      </c>
      <c r="E2066" t="s">
        <v>41</v>
      </c>
      <c r="F2066" t="s">
        <v>37</v>
      </c>
      <c r="G2066" t="s">
        <v>31</v>
      </c>
      <c r="H2066" t="s">
        <v>32</v>
      </c>
      <c r="I2066" s="9">
        <v>85000</v>
      </c>
      <c r="J2066">
        <v>8</v>
      </c>
      <c r="K2066" t="s">
        <v>33</v>
      </c>
      <c r="L2066" s="9">
        <f t="shared" si="32"/>
        <v>68000</v>
      </c>
      <c r="M2066" s="9">
        <f>Table1[[#This Row],[Unit Price]]*Table1[[#This Row],[Quantity]]</f>
        <v>680000</v>
      </c>
      <c r="N2066" s="9">
        <f>Table1[[#This Row],[Cost Price]]*Table1[[#This Row],[Quantity]]</f>
        <v>544000</v>
      </c>
      <c r="O2066" s="9">
        <f>Table1[[#This Row],[Revenue]]-Table1[[#This Row],[COGS]]</f>
        <v>136000</v>
      </c>
      <c r="P2066" s="6">
        <v>2065</v>
      </c>
    </row>
    <row r="2067" spans="1:16">
      <c r="A2067" s="7" t="s">
        <v>164</v>
      </c>
      <c r="B2067" s="7" t="str">
        <f>TEXT(Table1[[#This Row],[Date]],"MMM")</f>
        <v>Mar</v>
      </c>
      <c r="C2067" t="s">
        <v>49</v>
      </c>
      <c r="D2067" t="s">
        <v>53</v>
      </c>
      <c r="E2067" t="s">
        <v>41</v>
      </c>
      <c r="F2067" t="s">
        <v>37</v>
      </c>
      <c r="G2067" t="s">
        <v>56</v>
      </c>
      <c r="H2067" t="s">
        <v>32</v>
      </c>
      <c r="I2067" s="9">
        <v>320000</v>
      </c>
      <c r="J2067">
        <v>4</v>
      </c>
      <c r="K2067" t="s">
        <v>42</v>
      </c>
      <c r="L2067" s="9">
        <f t="shared" si="32"/>
        <v>256000</v>
      </c>
      <c r="M2067" s="9">
        <f>Table1[[#This Row],[Unit Price]]*Table1[[#This Row],[Quantity]]</f>
        <v>1280000</v>
      </c>
      <c r="N2067" s="9">
        <f>Table1[[#This Row],[Cost Price]]*Table1[[#This Row],[Quantity]]</f>
        <v>1024000</v>
      </c>
      <c r="O2067" s="9">
        <f>Table1[[#This Row],[Revenue]]-Table1[[#This Row],[COGS]]</f>
        <v>256000</v>
      </c>
      <c r="P2067" s="6">
        <v>2066</v>
      </c>
    </row>
    <row r="2068" spans="1:16">
      <c r="A2068" s="7" t="s">
        <v>81</v>
      </c>
      <c r="B2068" s="7" t="str">
        <f>TEXT(Table1[[#This Row],[Date]],"MMM")</f>
        <v>Mar</v>
      </c>
      <c r="C2068" t="s">
        <v>27</v>
      </c>
      <c r="D2068" t="s">
        <v>45</v>
      </c>
      <c r="E2068" t="s">
        <v>29</v>
      </c>
      <c r="F2068" t="s">
        <v>37</v>
      </c>
      <c r="G2068" t="s">
        <v>71</v>
      </c>
      <c r="H2068" t="s">
        <v>51</v>
      </c>
      <c r="I2068" s="9">
        <v>250000</v>
      </c>
      <c r="J2068">
        <v>6</v>
      </c>
      <c r="K2068" t="s">
        <v>58</v>
      </c>
      <c r="L2068" s="9">
        <f t="shared" si="32"/>
        <v>200000</v>
      </c>
      <c r="M2068" s="9">
        <f>Table1[[#This Row],[Unit Price]]*Table1[[#This Row],[Quantity]]</f>
        <v>1500000</v>
      </c>
      <c r="N2068" s="9">
        <f>Table1[[#This Row],[Cost Price]]*Table1[[#This Row],[Quantity]]</f>
        <v>1200000</v>
      </c>
      <c r="O2068" s="9">
        <f>Table1[[#This Row],[Revenue]]-Table1[[#This Row],[COGS]]</f>
        <v>300000</v>
      </c>
      <c r="P2068" s="6">
        <v>2067</v>
      </c>
    </row>
    <row r="2069" spans="1:16">
      <c r="A2069" s="7" t="s">
        <v>122</v>
      </c>
      <c r="B2069" s="7" t="str">
        <f>TEXT(Table1[[#This Row],[Date]],"MMM")</f>
        <v>Mar</v>
      </c>
      <c r="C2069" t="s">
        <v>27</v>
      </c>
      <c r="D2069" t="s">
        <v>45</v>
      </c>
      <c r="E2069" t="s">
        <v>29</v>
      </c>
      <c r="F2069" t="s">
        <v>37</v>
      </c>
      <c r="G2069" t="s">
        <v>73</v>
      </c>
      <c r="H2069" t="s">
        <v>39</v>
      </c>
      <c r="I2069" s="9">
        <v>220000</v>
      </c>
      <c r="J2069">
        <v>5</v>
      </c>
      <c r="K2069" t="s">
        <v>47</v>
      </c>
      <c r="L2069" s="9">
        <f t="shared" si="32"/>
        <v>176000</v>
      </c>
      <c r="M2069" s="9">
        <f>Table1[[#This Row],[Unit Price]]*Table1[[#This Row],[Quantity]]</f>
        <v>1100000</v>
      </c>
      <c r="N2069" s="9">
        <f>Table1[[#This Row],[Cost Price]]*Table1[[#This Row],[Quantity]]</f>
        <v>880000</v>
      </c>
      <c r="O2069" s="9">
        <f>Table1[[#This Row],[Revenue]]-Table1[[#This Row],[COGS]]</f>
        <v>220000</v>
      </c>
      <c r="P2069" s="6">
        <v>2068</v>
      </c>
    </row>
    <row r="2070" spans="1:16">
      <c r="A2070" s="7" t="s">
        <v>90</v>
      </c>
      <c r="B2070" s="7" t="str">
        <f>TEXT(Table1[[#This Row],[Date]],"MMM")</f>
        <v>Feb</v>
      </c>
      <c r="C2070" t="s">
        <v>44</v>
      </c>
      <c r="D2070" t="s">
        <v>36</v>
      </c>
      <c r="E2070" t="s">
        <v>41</v>
      </c>
      <c r="F2070" t="s">
        <v>37</v>
      </c>
      <c r="G2070" t="s">
        <v>50</v>
      </c>
      <c r="H2070" t="s">
        <v>51</v>
      </c>
      <c r="I2070" s="9">
        <v>300000</v>
      </c>
      <c r="J2070">
        <v>8</v>
      </c>
      <c r="K2070" t="s">
        <v>65</v>
      </c>
      <c r="L2070" s="9">
        <f t="shared" si="32"/>
        <v>240000</v>
      </c>
      <c r="M2070" s="9">
        <f>Table1[[#This Row],[Unit Price]]*Table1[[#This Row],[Quantity]]</f>
        <v>2400000</v>
      </c>
      <c r="N2070" s="9">
        <f>Table1[[#This Row],[Cost Price]]*Table1[[#This Row],[Quantity]]</f>
        <v>1920000</v>
      </c>
      <c r="O2070" s="9">
        <f>Table1[[#This Row],[Revenue]]-Table1[[#This Row],[COGS]]</f>
        <v>480000</v>
      </c>
      <c r="P2070" s="6">
        <v>2069</v>
      </c>
    </row>
    <row r="2071" spans="1:16">
      <c r="A2071" s="7" t="s">
        <v>105</v>
      </c>
      <c r="B2071" s="7" t="str">
        <f>TEXT(Table1[[#This Row],[Date]],"MMM")</f>
        <v>Mar</v>
      </c>
      <c r="C2071" t="s">
        <v>44</v>
      </c>
      <c r="D2071" t="s">
        <v>53</v>
      </c>
      <c r="E2071" t="s">
        <v>29</v>
      </c>
      <c r="F2071" t="s">
        <v>37</v>
      </c>
      <c r="G2071" t="s">
        <v>46</v>
      </c>
      <c r="H2071" t="s">
        <v>39</v>
      </c>
      <c r="I2071" s="9">
        <v>60000</v>
      </c>
      <c r="J2071">
        <v>10</v>
      </c>
      <c r="K2071" t="s">
        <v>47</v>
      </c>
      <c r="L2071" s="9">
        <f t="shared" si="32"/>
        <v>48000</v>
      </c>
      <c r="M2071" s="9">
        <f>Table1[[#This Row],[Unit Price]]*Table1[[#This Row],[Quantity]]</f>
        <v>600000</v>
      </c>
      <c r="N2071" s="9">
        <f>Table1[[#This Row],[Cost Price]]*Table1[[#This Row],[Quantity]]</f>
        <v>480000</v>
      </c>
      <c r="O2071" s="9">
        <f>Table1[[#This Row],[Revenue]]-Table1[[#This Row],[COGS]]</f>
        <v>120000</v>
      </c>
      <c r="P2071" s="6">
        <v>2070</v>
      </c>
    </row>
    <row r="2072" spans="1:16">
      <c r="A2072" s="7" t="s">
        <v>100</v>
      </c>
      <c r="B2072" s="7" t="str">
        <f>TEXT(Table1[[#This Row],[Date]],"MMM")</f>
        <v>Jan</v>
      </c>
      <c r="C2072" t="s">
        <v>44</v>
      </c>
      <c r="D2072" t="s">
        <v>36</v>
      </c>
      <c r="E2072" t="s">
        <v>29</v>
      </c>
      <c r="F2072" t="s">
        <v>37</v>
      </c>
      <c r="G2072" t="s">
        <v>54</v>
      </c>
      <c r="H2072" t="s">
        <v>39</v>
      </c>
      <c r="I2072" s="9">
        <v>180000</v>
      </c>
      <c r="J2072">
        <v>6</v>
      </c>
      <c r="K2072" t="s">
        <v>69</v>
      </c>
      <c r="L2072" s="9">
        <f t="shared" si="32"/>
        <v>144000</v>
      </c>
      <c r="M2072" s="9">
        <f>Table1[[#This Row],[Unit Price]]*Table1[[#This Row],[Quantity]]</f>
        <v>1080000</v>
      </c>
      <c r="N2072" s="9">
        <f>Table1[[#This Row],[Cost Price]]*Table1[[#This Row],[Quantity]]</f>
        <v>864000</v>
      </c>
      <c r="O2072" s="9">
        <f>Table1[[#This Row],[Revenue]]-Table1[[#This Row],[COGS]]</f>
        <v>216000</v>
      </c>
      <c r="P2072" s="6">
        <v>2071</v>
      </c>
    </row>
    <row r="2073" spans="1:16">
      <c r="A2073" s="7" t="s">
        <v>165</v>
      </c>
      <c r="B2073" s="7" t="str">
        <f>TEXT(Table1[[#This Row],[Date]],"MMM")</f>
        <v>Apr</v>
      </c>
      <c r="C2073" t="s">
        <v>44</v>
      </c>
      <c r="D2073" t="s">
        <v>45</v>
      </c>
      <c r="E2073" t="s">
        <v>41</v>
      </c>
      <c r="F2073" t="s">
        <v>37</v>
      </c>
      <c r="G2073" t="s">
        <v>46</v>
      </c>
      <c r="H2073" t="s">
        <v>39</v>
      </c>
      <c r="I2073" s="9">
        <v>60000</v>
      </c>
      <c r="J2073">
        <v>3</v>
      </c>
      <c r="K2073" t="s">
        <v>65</v>
      </c>
      <c r="L2073" s="9">
        <f t="shared" si="32"/>
        <v>48000</v>
      </c>
      <c r="M2073" s="9">
        <f>Table1[[#This Row],[Unit Price]]*Table1[[#This Row],[Quantity]]</f>
        <v>180000</v>
      </c>
      <c r="N2073" s="9">
        <f>Table1[[#This Row],[Cost Price]]*Table1[[#This Row],[Quantity]]</f>
        <v>144000</v>
      </c>
      <c r="O2073" s="9">
        <f>Table1[[#This Row],[Revenue]]-Table1[[#This Row],[COGS]]</f>
        <v>36000</v>
      </c>
      <c r="P2073" s="6">
        <v>2072</v>
      </c>
    </row>
    <row r="2074" spans="1:16">
      <c r="A2074" s="7" t="s">
        <v>133</v>
      </c>
      <c r="B2074" s="7" t="str">
        <f>TEXT(Table1[[#This Row],[Date]],"MMM")</f>
        <v>Jan</v>
      </c>
      <c r="C2074" t="s">
        <v>44</v>
      </c>
      <c r="D2074" t="s">
        <v>45</v>
      </c>
      <c r="E2074" t="s">
        <v>29</v>
      </c>
      <c r="F2074" t="s">
        <v>37</v>
      </c>
      <c r="G2074" t="s">
        <v>38</v>
      </c>
      <c r="H2074" t="s">
        <v>39</v>
      </c>
      <c r="I2074" s="9">
        <v>30000</v>
      </c>
      <c r="J2074">
        <v>4</v>
      </c>
      <c r="K2074" t="s">
        <v>42</v>
      </c>
      <c r="L2074" s="9">
        <f t="shared" si="32"/>
        <v>24000</v>
      </c>
      <c r="M2074" s="9">
        <f>Table1[[#This Row],[Unit Price]]*Table1[[#This Row],[Quantity]]</f>
        <v>120000</v>
      </c>
      <c r="N2074" s="9">
        <f>Table1[[#This Row],[Cost Price]]*Table1[[#This Row],[Quantity]]</f>
        <v>96000</v>
      </c>
      <c r="O2074" s="9">
        <f>Table1[[#This Row],[Revenue]]-Table1[[#This Row],[COGS]]</f>
        <v>24000</v>
      </c>
      <c r="P2074" s="6">
        <v>2073</v>
      </c>
    </row>
    <row r="2075" spans="1:16">
      <c r="A2075" s="7" t="s">
        <v>162</v>
      </c>
      <c r="B2075" s="7" t="str">
        <f>TEXT(Table1[[#This Row],[Date]],"MMM")</f>
        <v>Apr</v>
      </c>
      <c r="C2075" t="s">
        <v>35</v>
      </c>
      <c r="D2075" t="s">
        <v>28</v>
      </c>
      <c r="E2075" t="s">
        <v>41</v>
      </c>
      <c r="F2075" t="s">
        <v>37</v>
      </c>
      <c r="G2075" t="s">
        <v>46</v>
      </c>
      <c r="H2075" t="s">
        <v>39</v>
      </c>
      <c r="I2075" s="9">
        <v>60000</v>
      </c>
      <c r="J2075">
        <v>4</v>
      </c>
      <c r="K2075" t="s">
        <v>65</v>
      </c>
      <c r="L2075" s="9">
        <f t="shared" si="32"/>
        <v>48000</v>
      </c>
      <c r="M2075" s="9">
        <f>Table1[[#This Row],[Unit Price]]*Table1[[#This Row],[Quantity]]</f>
        <v>240000</v>
      </c>
      <c r="N2075" s="9">
        <f>Table1[[#This Row],[Cost Price]]*Table1[[#This Row],[Quantity]]</f>
        <v>192000</v>
      </c>
      <c r="O2075" s="9">
        <f>Table1[[#This Row],[Revenue]]-Table1[[#This Row],[COGS]]</f>
        <v>48000</v>
      </c>
      <c r="P2075" s="6">
        <v>2074</v>
      </c>
    </row>
    <row r="2076" spans="1:16">
      <c r="A2076" s="7" t="s">
        <v>141</v>
      </c>
      <c r="B2076" s="7" t="str">
        <f>TEXT(Table1[[#This Row],[Date]],"MMM")</f>
        <v>Mar</v>
      </c>
      <c r="C2076" t="s">
        <v>27</v>
      </c>
      <c r="D2076" t="s">
        <v>45</v>
      </c>
      <c r="E2076" t="s">
        <v>41</v>
      </c>
      <c r="F2076" t="s">
        <v>37</v>
      </c>
      <c r="G2076" t="s">
        <v>54</v>
      </c>
      <c r="H2076" t="s">
        <v>39</v>
      </c>
      <c r="I2076" s="9">
        <v>180000</v>
      </c>
      <c r="J2076">
        <v>5</v>
      </c>
      <c r="K2076" t="s">
        <v>47</v>
      </c>
      <c r="L2076" s="9">
        <f t="shared" si="32"/>
        <v>144000</v>
      </c>
      <c r="M2076" s="9">
        <f>Table1[[#This Row],[Unit Price]]*Table1[[#This Row],[Quantity]]</f>
        <v>900000</v>
      </c>
      <c r="N2076" s="9">
        <f>Table1[[#This Row],[Cost Price]]*Table1[[#This Row],[Quantity]]</f>
        <v>720000</v>
      </c>
      <c r="O2076" s="9">
        <f>Table1[[#This Row],[Revenue]]-Table1[[#This Row],[COGS]]</f>
        <v>180000</v>
      </c>
      <c r="P2076" s="6">
        <v>2075</v>
      </c>
    </row>
    <row r="2077" spans="1:16">
      <c r="A2077" s="7" t="s">
        <v>139</v>
      </c>
      <c r="B2077" s="7" t="str">
        <f>TEXT(Table1[[#This Row],[Date]],"MMM")</f>
        <v>Jan</v>
      </c>
      <c r="C2077" t="s">
        <v>49</v>
      </c>
      <c r="D2077" t="s">
        <v>28</v>
      </c>
      <c r="E2077" t="s">
        <v>29</v>
      </c>
      <c r="F2077" t="s">
        <v>37</v>
      </c>
      <c r="G2077" t="s">
        <v>31</v>
      </c>
      <c r="H2077" t="s">
        <v>32</v>
      </c>
      <c r="I2077" s="9">
        <v>85000</v>
      </c>
      <c r="J2077">
        <v>9</v>
      </c>
      <c r="K2077" t="s">
        <v>42</v>
      </c>
      <c r="L2077" s="9">
        <f t="shared" si="32"/>
        <v>68000</v>
      </c>
      <c r="M2077" s="9">
        <f>Table1[[#This Row],[Unit Price]]*Table1[[#This Row],[Quantity]]</f>
        <v>765000</v>
      </c>
      <c r="N2077" s="9">
        <f>Table1[[#This Row],[Cost Price]]*Table1[[#This Row],[Quantity]]</f>
        <v>612000</v>
      </c>
      <c r="O2077" s="9">
        <f>Table1[[#This Row],[Revenue]]-Table1[[#This Row],[COGS]]</f>
        <v>153000</v>
      </c>
      <c r="P2077" s="6">
        <v>2076</v>
      </c>
    </row>
    <row r="2078" spans="1:16">
      <c r="A2078" s="7" t="s">
        <v>81</v>
      </c>
      <c r="B2078" s="7" t="str">
        <f>TEXT(Table1[[#This Row],[Date]],"MMM")</f>
        <v>Mar</v>
      </c>
      <c r="C2078" t="s">
        <v>27</v>
      </c>
      <c r="D2078" t="s">
        <v>53</v>
      </c>
      <c r="E2078" t="s">
        <v>29</v>
      </c>
      <c r="F2078" t="s">
        <v>37</v>
      </c>
      <c r="G2078" t="s">
        <v>31</v>
      </c>
      <c r="H2078" t="s">
        <v>32</v>
      </c>
      <c r="I2078" s="9">
        <v>85000</v>
      </c>
      <c r="J2078">
        <v>9</v>
      </c>
      <c r="K2078" t="s">
        <v>65</v>
      </c>
      <c r="L2078" s="9">
        <f t="shared" si="32"/>
        <v>68000</v>
      </c>
      <c r="M2078" s="9">
        <f>Table1[[#This Row],[Unit Price]]*Table1[[#This Row],[Quantity]]</f>
        <v>765000</v>
      </c>
      <c r="N2078" s="9">
        <f>Table1[[#This Row],[Cost Price]]*Table1[[#This Row],[Quantity]]</f>
        <v>612000</v>
      </c>
      <c r="O2078" s="9">
        <f>Table1[[#This Row],[Revenue]]-Table1[[#This Row],[COGS]]</f>
        <v>153000</v>
      </c>
      <c r="P2078" s="6">
        <v>2077</v>
      </c>
    </row>
    <row r="2079" spans="1:16">
      <c r="A2079" s="7" t="s">
        <v>152</v>
      </c>
      <c r="B2079" s="7" t="str">
        <f>TEXT(Table1[[#This Row],[Date]],"MMM")</f>
        <v>Jan</v>
      </c>
      <c r="C2079" t="s">
        <v>49</v>
      </c>
      <c r="D2079" t="s">
        <v>28</v>
      </c>
      <c r="E2079" t="s">
        <v>41</v>
      </c>
      <c r="F2079" t="s">
        <v>37</v>
      </c>
      <c r="G2079" t="s">
        <v>54</v>
      </c>
      <c r="H2079" t="s">
        <v>39</v>
      </c>
      <c r="I2079" s="9">
        <v>180000</v>
      </c>
      <c r="J2079">
        <v>8</v>
      </c>
      <c r="K2079" t="s">
        <v>69</v>
      </c>
      <c r="L2079" s="9">
        <f t="shared" si="32"/>
        <v>144000</v>
      </c>
      <c r="M2079" s="9">
        <f>Table1[[#This Row],[Unit Price]]*Table1[[#This Row],[Quantity]]</f>
        <v>1440000</v>
      </c>
      <c r="N2079" s="9">
        <f>Table1[[#This Row],[Cost Price]]*Table1[[#This Row],[Quantity]]</f>
        <v>1152000</v>
      </c>
      <c r="O2079" s="9">
        <f>Table1[[#This Row],[Revenue]]-Table1[[#This Row],[COGS]]</f>
        <v>288000</v>
      </c>
      <c r="P2079" s="6">
        <v>2078</v>
      </c>
    </row>
    <row r="2080" spans="1:16">
      <c r="A2080" s="7" t="s">
        <v>145</v>
      </c>
      <c r="B2080" s="7" t="str">
        <f>TEXT(Table1[[#This Row],[Date]],"MMM")</f>
        <v>Jan</v>
      </c>
      <c r="C2080" t="s">
        <v>49</v>
      </c>
      <c r="D2080" t="s">
        <v>36</v>
      </c>
      <c r="E2080" t="s">
        <v>41</v>
      </c>
      <c r="F2080" t="s">
        <v>37</v>
      </c>
      <c r="G2080" t="s">
        <v>62</v>
      </c>
      <c r="H2080" t="s">
        <v>51</v>
      </c>
      <c r="I2080" s="9">
        <v>150000</v>
      </c>
      <c r="J2080">
        <v>2</v>
      </c>
      <c r="K2080" t="s">
        <v>69</v>
      </c>
      <c r="L2080" s="9">
        <f t="shared" si="32"/>
        <v>120000</v>
      </c>
      <c r="M2080" s="9">
        <f>Table1[[#This Row],[Unit Price]]*Table1[[#This Row],[Quantity]]</f>
        <v>300000</v>
      </c>
      <c r="N2080" s="9">
        <f>Table1[[#This Row],[Cost Price]]*Table1[[#This Row],[Quantity]]</f>
        <v>240000</v>
      </c>
      <c r="O2080" s="9">
        <f>Table1[[#This Row],[Revenue]]-Table1[[#This Row],[COGS]]</f>
        <v>60000</v>
      </c>
      <c r="P2080" s="6">
        <v>2079</v>
      </c>
    </row>
    <row r="2081" spans="1:16">
      <c r="A2081" s="7" t="s">
        <v>100</v>
      </c>
      <c r="B2081" s="7" t="str">
        <f>TEXT(Table1[[#This Row],[Date]],"MMM")</f>
        <v>Jan</v>
      </c>
      <c r="C2081" t="s">
        <v>35</v>
      </c>
      <c r="D2081" t="s">
        <v>45</v>
      </c>
      <c r="E2081" t="s">
        <v>41</v>
      </c>
      <c r="F2081" t="s">
        <v>37</v>
      </c>
      <c r="G2081" t="s">
        <v>38</v>
      </c>
      <c r="H2081" t="s">
        <v>39</v>
      </c>
      <c r="I2081" s="9">
        <v>30000</v>
      </c>
      <c r="J2081">
        <v>3</v>
      </c>
      <c r="K2081" t="s">
        <v>33</v>
      </c>
      <c r="L2081" s="9">
        <f t="shared" si="32"/>
        <v>24000</v>
      </c>
      <c r="M2081" s="9">
        <f>Table1[[#This Row],[Unit Price]]*Table1[[#This Row],[Quantity]]</f>
        <v>90000</v>
      </c>
      <c r="N2081" s="9">
        <f>Table1[[#This Row],[Cost Price]]*Table1[[#This Row],[Quantity]]</f>
        <v>72000</v>
      </c>
      <c r="O2081" s="9">
        <f>Table1[[#This Row],[Revenue]]-Table1[[#This Row],[COGS]]</f>
        <v>18000</v>
      </c>
      <c r="P2081" s="6">
        <v>2080</v>
      </c>
    </row>
    <row r="2082" spans="1:16">
      <c r="A2082" s="7" t="s">
        <v>81</v>
      </c>
      <c r="B2082" s="7" t="str">
        <f>TEXT(Table1[[#This Row],[Date]],"MMM")</f>
        <v>Mar</v>
      </c>
      <c r="C2082" t="s">
        <v>49</v>
      </c>
      <c r="D2082" t="s">
        <v>28</v>
      </c>
      <c r="E2082" t="s">
        <v>41</v>
      </c>
      <c r="F2082" t="s">
        <v>37</v>
      </c>
      <c r="G2082" t="s">
        <v>38</v>
      </c>
      <c r="H2082" t="s">
        <v>39</v>
      </c>
      <c r="I2082" s="9">
        <v>30000</v>
      </c>
      <c r="J2082">
        <v>5</v>
      </c>
      <c r="K2082" t="s">
        <v>42</v>
      </c>
      <c r="L2082" s="9">
        <f t="shared" si="32"/>
        <v>24000</v>
      </c>
      <c r="M2082" s="9">
        <f>Table1[[#This Row],[Unit Price]]*Table1[[#This Row],[Quantity]]</f>
        <v>150000</v>
      </c>
      <c r="N2082" s="9">
        <f>Table1[[#This Row],[Cost Price]]*Table1[[#This Row],[Quantity]]</f>
        <v>120000</v>
      </c>
      <c r="O2082" s="9">
        <f>Table1[[#This Row],[Revenue]]-Table1[[#This Row],[COGS]]</f>
        <v>30000</v>
      </c>
      <c r="P2082" s="6">
        <v>2081</v>
      </c>
    </row>
    <row r="2083" spans="1:16">
      <c r="A2083" s="7" t="s">
        <v>43</v>
      </c>
      <c r="B2083" s="7" t="str">
        <f>TEXT(Table1[[#This Row],[Date]],"MMM")</f>
        <v>Apr</v>
      </c>
      <c r="C2083" t="s">
        <v>35</v>
      </c>
      <c r="D2083" t="s">
        <v>36</v>
      </c>
      <c r="E2083" t="s">
        <v>41</v>
      </c>
      <c r="F2083" t="s">
        <v>37</v>
      </c>
      <c r="G2083" t="s">
        <v>38</v>
      </c>
      <c r="H2083" t="s">
        <v>39</v>
      </c>
      <c r="I2083" s="9">
        <v>30000</v>
      </c>
      <c r="J2083">
        <v>7</v>
      </c>
      <c r="K2083" t="s">
        <v>69</v>
      </c>
      <c r="L2083" s="9">
        <f t="shared" si="32"/>
        <v>24000</v>
      </c>
      <c r="M2083" s="9">
        <f>Table1[[#This Row],[Unit Price]]*Table1[[#This Row],[Quantity]]</f>
        <v>210000</v>
      </c>
      <c r="N2083" s="9">
        <f>Table1[[#This Row],[Cost Price]]*Table1[[#This Row],[Quantity]]</f>
        <v>168000</v>
      </c>
      <c r="O2083" s="9">
        <f>Table1[[#This Row],[Revenue]]-Table1[[#This Row],[COGS]]</f>
        <v>42000</v>
      </c>
      <c r="P2083" s="6">
        <v>2082</v>
      </c>
    </row>
    <row r="2084" spans="1:16">
      <c r="A2084" s="7" t="s">
        <v>162</v>
      </c>
      <c r="B2084" s="7" t="str">
        <f>TEXT(Table1[[#This Row],[Date]],"MMM")</f>
        <v>Apr</v>
      </c>
      <c r="C2084" t="s">
        <v>35</v>
      </c>
      <c r="D2084" t="s">
        <v>28</v>
      </c>
      <c r="E2084" t="s">
        <v>29</v>
      </c>
      <c r="F2084" t="s">
        <v>37</v>
      </c>
      <c r="G2084" t="s">
        <v>54</v>
      </c>
      <c r="H2084" t="s">
        <v>39</v>
      </c>
      <c r="I2084" s="9">
        <v>180000</v>
      </c>
      <c r="J2084">
        <v>4</v>
      </c>
      <c r="K2084" t="s">
        <v>33</v>
      </c>
      <c r="L2084" s="9">
        <f t="shared" si="32"/>
        <v>144000</v>
      </c>
      <c r="M2084" s="9">
        <f>Table1[[#This Row],[Unit Price]]*Table1[[#This Row],[Quantity]]</f>
        <v>720000</v>
      </c>
      <c r="N2084" s="9">
        <f>Table1[[#This Row],[Cost Price]]*Table1[[#This Row],[Quantity]]</f>
        <v>576000</v>
      </c>
      <c r="O2084" s="9">
        <f>Table1[[#This Row],[Revenue]]-Table1[[#This Row],[COGS]]</f>
        <v>144000</v>
      </c>
      <c r="P2084" s="6">
        <v>2083</v>
      </c>
    </row>
    <row r="2085" spans="1:16">
      <c r="A2085" s="7" t="s">
        <v>144</v>
      </c>
      <c r="B2085" s="7" t="str">
        <f>TEXT(Table1[[#This Row],[Date]],"MMM")</f>
        <v>Feb</v>
      </c>
      <c r="C2085" t="s">
        <v>35</v>
      </c>
      <c r="D2085" t="s">
        <v>28</v>
      </c>
      <c r="E2085" t="s">
        <v>41</v>
      </c>
      <c r="F2085" t="s">
        <v>37</v>
      </c>
      <c r="G2085" t="s">
        <v>54</v>
      </c>
      <c r="H2085" t="s">
        <v>39</v>
      </c>
      <c r="I2085" s="9">
        <v>180000</v>
      </c>
      <c r="J2085">
        <v>1</v>
      </c>
      <c r="K2085" t="s">
        <v>58</v>
      </c>
      <c r="L2085" s="9">
        <f t="shared" si="32"/>
        <v>144000</v>
      </c>
      <c r="M2085" s="9">
        <f>Table1[[#This Row],[Unit Price]]*Table1[[#This Row],[Quantity]]</f>
        <v>180000</v>
      </c>
      <c r="N2085" s="9">
        <f>Table1[[#This Row],[Cost Price]]*Table1[[#This Row],[Quantity]]</f>
        <v>144000</v>
      </c>
      <c r="O2085" s="9">
        <f>Table1[[#This Row],[Revenue]]-Table1[[#This Row],[COGS]]</f>
        <v>36000</v>
      </c>
      <c r="P2085" s="6">
        <v>2084</v>
      </c>
    </row>
    <row r="2086" spans="1:16">
      <c r="A2086" s="7" t="s">
        <v>131</v>
      </c>
      <c r="B2086" s="7" t="str">
        <f>TEXT(Table1[[#This Row],[Date]],"MMM")</f>
        <v>Mar</v>
      </c>
      <c r="C2086" t="s">
        <v>44</v>
      </c>
      <c r="D2086" t="s">
        <v>36</v>
      </c>
      <c r="E2086" t="s">
        <v>29</v>
      </c>
      <c r="F2086" t="s">
        <v>37</v>
      </c>
      <c r="G2086" t="s">
        <v>46</v>
      </c>
      <c r="H2086" t="s">
        <v>39</v>
      </c>
      <c r="I2086" s="9">
        <v>60000</v>
      </c>
      <c r="J2086">
        <v>10</v>
      </c>
      <c r="K2086" t="s">
        <v>65</v>
      </c>
      <c r="L2086" s="9">
        <f t="shared" si="32"/>
        <v>48000</v>
      </c>
      <c r="M2086" s="9">
        <f>Table1[[#This Row],[Unit Price]]*Table1[[#This Row],[Quantity]]</f>
        <v>600000</v>
      </c>
      <c r="N2086" s="9">
        <f>Table1[[#This Row],[Cost Price]]*Table1[[#This Row],[Quantity]]</f>
        <v>480000</v>
      </c>
      <c r="O2086" s="9">
        <f>Table1[[#This Row],[Revenue]]-Table1[[#This Row],[COGS]]</f>
        <v>120000</v>
      </c>
      <c r="P2086" s="6">
        <v>2085</v>
      </c>
    </row>
    <row r="2087" spans="1:16">
      <c r="A2087" s="7" t="s">
        <v>75</v>
      </c>
      <c r="B2087" s="7" t="str">
        <f>TEXT(Table1[[#This Row],[Date]],"MMM")</f>
        <v>Mar</v>
      </c>
      <c r="C2087" t="s">
        <v>49</v>
      </c>
      <c r="D2087" t="s">
        <v>36</v>
      </c>
      <c r="E2087" t="s">
        <v>29</v>
      </c>
      <c r="F2087" t="s">
        <v>37</v>
      </c>
      <c r="G2087" t="s">
        <v>71</v>
      </c>
      <c r="H2087" t="s">
        <v>51</v>
      </c>
      <c r="I2087" s="9">
        <v>250000</v>
      </c>
      <c r="J2087">
        <v>8</v>
      </c>
      <c r="K2087" t="s">
        <v>47</v>
      </c>
      <c r="L2087" s="9">
        <f t="shared" si="32"/>
        <v>200000</v>
      </c>
      <c r="M2087" s="9">
        <f>Table1[[#This Row],[Unit Price]]*Table1[[#This Row],[Quantity]]</f>
        <v>2000000</v>
      </c>
      <c r="N2087" s="9">
        <f>Table1[[#This Row],[Cost Price]]*Table1[[#This Row],[Quantity]]</f>
        <v>1600000</v>
      </c>
      <c r="O2087" s="9">
        <f>Table1[[#This Row],[Revenue]]-Table1[[#This Row],[COGS]]</f>
        <v>400000</v>
      </c>
      <c r="P2087" s="6">
        <v>2086</v>
      </c>
    </row>
    <row r="2088" spans="1:16">
      <c r="A2088" s="7" t="s">
        <v>126</v>
      </c>
      <c r="B2088" s="7" t="str">
        <f>TEXT(Table1[[#This Row],[Date]],"MMM")</f>
        <v>Jan</v>
      </c>
      <c r="C2088" t="s">
        <v>49</v>
      </c>
      <c r="D2088" t="s">
        <v>45</v>
      </c>
      <c r="E2088" t="s">
        <v>29</v>
      </c>
      <c r="F2088" t="s">
        <v>37</v>
      </c>
      <c r="G2088" t="s">
        <v>38</v>
      </c>
      <c r="H2088" t="s">
        <v>39</v>
      </c>
      <c r="I2088" s="9">
        <v>30000</v>
      </c>
      <c r="J2088">
        <v>8</v>
      </c>
      <c r="K2088" t="s">
        <v>65</v>
      </c>
      <c r="L2088" s="9">
        <f t="shared" si="32"/>
        <v>24000</v>
      </c>
      <c r="M2088" s="9">
        <f>Table1[[#This Row],[Unit Price]]*Table1[[#This Row],[Quantity]]</f>
        <v>240000</v>
      </c>
      <c r="N2088" s="9">
        <f>Table1[[#This Row],[Cost Price]]*Table1[[#This Row],[Quantity]]</f>
        <v>192000</v>
      </c>
      <c r="O2088" s="9">
        <f>Table1[[#This Row],[Revenue]]-Table1[[#This Row],[COGS]]</f>
        <v>48000</v>
      </c>
      <c r="P2088" s="6">
        <v>2087</v>
      </c>
    </row>
    <row r="2089" spans="1:16">
      <c r="A2089" s="7" t="s">
        <v>60</v>
      </c>
      <c r="B2089" s="7" t="str">
        <f>TEXT(Table1[[#This Row],[Date]],"MMM")</f>
        <v>Mar</v>
      </c>
      <c r="C2089" t="s">
        <v>49</v>
      </c>
      <c r="D2089" t="s">
        <v>28</v>
      </c>
      <c r="E2089" t="s">
        <v>41</v>
      </c>
      <c r="F2089" t="s">
        <v>30</v>
      </c>
      <c r="G2089" t="s">
        <v>54</v>
      </c>
      <c r="H2089" t="s">
        <v>39</v>
      </c>
      <c r="I2089" s="9">
        <v>180000</v>
      </c>
      <c r="J2089">
        <v>4</v>
      </c>
      <c r="K2089" t="s">
        <v>47</v>
      </c>
      <c r="L2089" s="9">
        <f t="shared" si="32"/>
        <v>144000</v>
      </c>
      <c r="M2089" s="9">
        <f>Table1[[#This Row],[Unit Price]]*Table1[[#This Row],[Quantity]]</f>
        <v>720000</v>
      </c>
      <c r="N2089" s="9">
        <f>Table1[[#This Row],[Cost Price]]*Table1[[#This Row],[Quantity]]</f>
        <v>576000</v>
      </c>
      <c r="O2089" s="9">
        <f>Table1[[#This Row],[Revenue]]-Table1[[#This Row],[COGS]]</f>
        <v>144000</v>
      </c>
      <c r="P2089" s="6">
        <v>2088</v>
      </c>
    </row>
    <row r="2090" spans="1:16">
      <c r="A2090" s="7" t="s">
        <v>144</v>
      </c>
      <c r="B2090" s="7" t="str">
        <f>TEXT(Table1[[#This Row],[Date]],"MMM")</f>
        <v>Feb</v>
      </c>
      <c r="C2090" t="s">
        <v>35</v>
      </c>
      <c r="D2090" t="s">
        <v>36</v>
      </c>
      <c r="E2090" t="s">
        <v>41</v>
      </c>
      <c r="F2090" t="s">
        <v>30</v>
      </c>
      <c r="G2090" t="s">
        <v>62</v>
      </c>
      <c r="H2090" t="s">
        <v>51</v>
      </c>
      <c r="I2090" s="9">
        <v>150000</v>
      </c>
      <c r="J2090">
        <v>1</v>
      </c>
      <c r="K2090" t="s">
        <v>47</v>
      </c>
      <c r="L2090" s="9">
        <f t="shared" si="32"/>
        <v>120000</v>
      </c>
      <c r="M2090" s="9">
        <f>Table1[[#This Row],[Unit Price]]*Table1[[#This Row],[Quantity]]</f>
        <v>150000</v>
      </c>
      <c r="N2090" s="9">
        <f>Table1[[#This Row],[Cost Price]]*Table1[[#This Row],[Quantity]]</f>
        <v>120000</v>
      </c>
      <c r="O2090" s="9">
        <f>Table1[[#This Row],[Revenue]]-Table1[[#This Row],[COGS]]</f>
        <v>30000</v>
      </c>
      <c r="P2090" s="6">
        <v>2089</v>
      </c>
    </row>
    <row r="2091" spans="1:16">
      <c r="A2091" s="7" t="s">
        <v>168</v>
      </c>
      <c r="B2091" s="7" t="str">
        <f>TEXT(Table1[[#This Row],[Date]],"MMM")</f>
        <v>Apr</v>
      </c>
      <c r="C2091" t="s">
        <v>49</v>
      </c>
      <c r="D2091" t="s">
        <v>53</v>
      </c>
      <c r="E2091" t="s">
        <v>29</v>
      </c>
      <c r="F2091" t="s">
        <v>37</v>
      </c>
      <c r="G2091" t="s">
        <v>50</v>
      </c>
      <c r="H2091" t="s">
        <v>51</v>
      </c>
      <c r="I2091" s="9">
        <v>300000</v>
      </c>
      <c r="J2091">
        <v>3</v>
      </c>
      <c r="K2091" t="s">
        <v>33</v>
      </c>
      <c r="L2091" s="9">
        <f t="shared" si="32"/>
        <v>240000</v>
      </c>
      <c r="M2091" s="9">
        <f>Table1[[#This Row],[Unit Price]]*Table1[[#This Row],[Quantity]]</f>
        <v>900000</v>
      </c>
      <c r="N2091" s="9">
        <f>Table1[[#This Row],[Cost Price]]*Table1[[#This Row],[Quantity]]</f>
        <v>720000</v>
      </c>
      <c r="O2091" s="9">
        <f>Table1[[#This Row],[Revenue]]-Table1[[#This Row],[COGS]]</f>
        <v>180000</v>
      </c>
      <c r="P2091" s="6">
        <v>2090</v>
      </c>
    </row>
    <row r="2092" spans="1:16">
      <c r="A2092" s="7" t="s">
        <v>162</v>
      </c>
      <c r="B2092" s="7" t="str">
        <f>TEXT(Table1[[#This Row],[Date]],"MMM")</f>
        <v>Apr</v>
      </c>
      <c r="C2092" t="s">
        <v>27</v>
      </c>
      <c r="D2092" t="s">
        <v>45</v>
      </c>
      <c r="E2092" t="s">
        <v>29</v>
      </c>
      <c r="F2092" t="s">
        <v>30</v>
      </c>
      <c r="G2092" t="s">
        <v>56</v>
      </c>
      <c r="H2092" t="s">
        <v>32</v>
      </c>
      <c r="I2092" s="9">
        <v>320000</v>
      </c>
      <c r="J2092">
        <v>5</v>
      </c>
      <c r="K2092" t="s">
        <v>33</v>
      </c>
      <c r="L2092" s="9">
        <f t="shared" si="32"/>
        <v>256000</v>
      </c>
      <c r="M2092" s="9">
        <f>Table1[[#This Row],[Unit Price]]*Table1[[#This Row],[Quantity]]</f>
        <v>1600000</v>
      </c>
      <c r="N2092" s="9">
        <f>Table1[[#This Row],[Cost Price]]*Table1[[#This Row],[Quantity]]</f>
        <v>1280000</v>
      </c>
      <c r="O2092" s="9">
        <f>Table1[[#This Row],[Revenue]]-Table1[[#This Row],[COGS]]</f>
        <v>320000</v>
      </c>
      <c r="P2092" s="6">
        <v>2091</v>
      </c>
    </row>
    <row r="2093" spans="1:16">
      <c r="A2093" s="7" t="s">
        <v>148</v>
      </c>
      <c r="B2093" s="7" t="str">
        <f>TEXT(Table1[[#This Row],[Date]],"MMM")</f>
        <v>Feb</v>
      </c>
      <c r="C2093" t="s">
        <v>27</v>
      </c>
      <c r="D2093" t="s">
        <v>53</v>
      </c>
      <c r="E2093" t="s">
        <v>41</v>
      </c>
      <c r="F2093" t="s">
        <v>30</v>
      </c>
      <c r="G2093" t="s">
        <v>50</v>
      </c>
      <c r="H2093" t="s">
        <v>51</v>
      </c>
      <c r="I2093" s="9">
        <v>300000</v>
      </c>
      <c r="J2093">
        <v>1</v>
      </c>
      <c r="K2093" t="s">
        <v>42</v>
      </c>
      <c r="L2093" s="9">
        <f t="shared" si="32"/>
        <v>240000</v>
      </c>
      <c r="M2093" s="9">
        <f>Table1[[#This Row],[Unit Price]]*Table1[[#This Row],[Quantity]]</f>
        <v>300000</v>
      </c>
      <c r="N2093" s="9">
        <f>Table1[[#This Row],[Cost Price]]*Table1[[#This Row],[Quantity]]</f>
        <v>240000</v>
      </c>
      <c r="O2093" s="9">
        <f>Table1[[#This Row],[Revenue]]-Table1[[#This Row],[COGS]]</f>
        <v>60000</v>
      </c>
      <c r="P2093" s="6">
        <v>2092</v>
      </c>
    </row>
    <row r="2094" spans="1:16">
      <c r="A2094" s="7" t="s">
        <v>151</v>
      </c>
      <c r="B2094" s="7" t="str">
        <f>TEXT(Table1[[#This Row],[Date]],"MMM")</f>
        <v>Feb</v>
      </c>
      <c r="C2094" t="s">
        <v>27</v>
      </c>
      <c r="D2094" t="s">
        <v>36</v>
      </c>
      <c r="E2094" t="s">
        <v>41</v>
      </c>
      <c r="F2094" t="s">
        <v>30</v>
      </c>
      <c r="G2094" t="s">
        <v>62</v>
      </c>
      <c r="H2094" t="s">
        <v>51</v>
      </c>
      <c r="I2094" s="9">
        <v>150000</v>
      </c>
      <c r="J2094">
        <v>4</v>
      </c>
      <c r="K2094" t="s">
        <v>47</v>
      </c>
      <c r="L2094" s="9">
        <f t="shared" si="32"/>
        <v>120000</v>
      </c>
      <c r="M2094" s="9">
        <f>Table1[[#This Row],[Unit Price]]*Table1[[#This Row],[Quantity]]</f>
        <v>600000</v>
      </c>
      <c r="N2094" s="9">
        <f>Table1[[#This Row],[Cost Price]]*Table1[[#This Row],[Quantity]]</f>
        <v>480000</v>
      </c>
      <c r="O2094" s="9">
        <f>Table1[[#This Row],[Revenue]]-Table1[[#This Row],[COGS]]</f>
        <v>120000</v>
      </c>
      <c r="P2094" s="6">
        <v>2093</v>
      </c>
    </row>
    <row r="2095" spans="1:16">
      <c r="A2095" s="7" t="s">
        <v>121</v>
      </c>
      <c r="B2095" s="7" t="str">
        <f>TEXT(Table1[[#This Row],[Date]],"MMM")</f>
        <v>Apr</v>
      </c>
      <c r="C2095" t="s">
        <v>44</v>
      </c>
      <c r="D2095" t="s">
        <v>28</v>
      </c>
      <c r="E2095" t="s">
        <v>41</v>
      </c>
      <c r="F2095" t="s">
        <v>30</v>
      </c>
      <c r="G2095" t="s">
        <v>71</v>
      </c>
      <c r="H2095" t="s">
        <v>51</v>
      </c>
      <c r="I2095" s="9">
        <v>250000</v>
      </c>
      <c r="J2095">
        <v>2</v>
      </c>
      <c r="K2095" t="s">
        <v>58</v>
      </c>
      <c r="L2095" s="9">
        <f t="shared" si="32"/>
        <v>200000</v>
      </c>
      <c r="M2095" s="9">
        <f>Table1[[#This Row],[Unit Price]]*Table1[[#This Row],[Quantity]]</f>
        <v>500000</v>
      </c>
      <c r="N2095" s="9">
        <f>Table1[[#This Row],[Cost Price]]*Table1[[#This Row],[Quantity]]</f>
        <v>400000</v>
      </c>
      <c r="O2095" s="9">
        <f>Table1[[#This Row],[Revenue]]-Table1[[#This Row],[COGS]]</f>
        <v>100000</v>
      </c>
      <c r="P2095" s="6">
        <v>2094</v>
      </c>
    </row>
    <row r="2096" spans="1:16">
      <c r="A2096" s="7" t="s">
        <v>165</v>
      </c>
      <c r="B2096" s="7" t="str">
        <f>TEXT(Table1[[#This Row],[Date]],"MMM")</f>
        <v>Apr</v>
      </c>
      <c r="C2096" t="s">
        <v>49</v>
      </c>
      <c r="D2096" t="s">
        <v>36</v>
      </c>
      <c r="E2096" t="s">
        <v>29</v>
      </c>
      <c r="F2096" t="s">
        <v>37</v>
      </c>
      <c r="G2096" t="s">
        <v>71</v>
      </c>
      <c r="H2096" t="s">
        <v>51</v>
      </c>
      <c r="I2096" s="9">
        <v>250000</v>
      </c>
      <c r="J2096">
        <v>10</v>
      </c>
      <c r="K2096" t="s">
        <v>65</v>
      </c>
      <c r="L2096" s="9">
        <f t="shared" si="32"/>
        <v>200000</v>
      </c>
      <c r="M2096" s="9">
        <f>Table1[[#This Row],[Unit Price]]*Table1[[#This Row],[Quantity]]</f>
        <v>2500000</v>
      </c>
      <c r="N2096" s="9">
        <f>Table1[[#This Row],[Cost Price]]*Table1[[#This Row],[Quantity]]</f>
        <v>2000000</v>
      </c>
      <c r="O2096" s="9">
        <f>Table1[[#This Row],[Revenue]]-Table1[[#This Row],[COGS]]</f>
        <v>500000</v>
      </c>
      <c r="P2096" s="6">
        <v>2095</v>
      </c>
    </row>
    <row r="2097" spans="1:16">
      <c r="A2097" s="7" t="s">
        <v>116</v>
      </c>
      <c r="B2097" s="7" t="str">
        <f>TEXT(Table1[[#This Row],[Date]],"MMM")</f>
        <v>Apr</v>
      </c>
      <c r="C2097" t="s">
        <v>44</v>
      </c>
      <c r="D2097" t="s">
        <v>53</v>
      </c>
      <c r="E2097" t="s">
        <v>41</v>
      </c>
      <c r="F2097" t="s">
        <v>37</v>
      </c>
      <c r="G2097" t="s">
        <v>62</v>
      </c>
      <c r="H2097" t="s">
        <v>51</v>
      </c>
      <c r="I2097" s="9">
        <v>150000</v>
      </c>
      <c r="J2097">
        <v>2</v>
      </c>
      <c r="K2097" t="s">
        <v>33</v>
      </c>
      <c r="L2097" s="9">
        <f t="shared" si="32"/>
        <v>120000</v>
      </c>
      <c r="M2097" s="9">
        <f>Table1[[#This Row],[Unit Price]]*Table1[[#This Row],[Quantity]]</f>
        <v>300000</v>
      </c>
      <c r="N2097" s="9">
        <f>Table1[[#This Row],[Cost Price]]*Table1[[#This Row],[Quantity]]</f>
        <v>240000</v>
      </c>
      <c r="O2097" s="9">
        <f>Table1[[#This Row],[Revenue]]-Table1[[#This Row],[COGS]]</f>
        <v>60000</v>
      </c>
      <c r="P2097" s="6">
        <v>2096</v>
      </c>
    </row>
    <row r="2098" spans="1:16">
      <c r="A2098" s="7" t="s">
        <v>52</v>
      </c>
      <c r="B2098" s="7" t="str">
        <f>TEXT(Table1[[#This Row],[Date]],"MMM")</f>
        <v>Mar</v>
      </c>
      <c r="C2098" t="s">
        <v>44</v>
      </c>
      <c r="D2098" t="s">
        <v>28</v>
      </c>
      <c r="E2098" t="s">
        <v>29</v>
      </c>
      <c r="F2098" t="s">
        <v>30</v>
      </c>
      <c r="G2098" t="s">
        <v>71</v>
      </c>
      <c r="H2098" t="s">
        <v>51</v>
      </c>
      <c r="I2098" s="9">
        <v>250000</v>
      </c>
      <c r="J2098">
        <v>9</v>
      </c>
      <c r="K2098" t="s">
        <v>58</v>
      </c>
      <c r="L2098" s="9">
        <f t="shared" si="32"/>
        <v>200000</v>
      </c>
      <c r="M2098" s="9">
        <f>Table1[[#This Row],[Unit Price]]*Table1[[#This Row],[Quantity]]</f>
        <v>2250000</v>
      </c>
      <c r="N2098" s="9">
        <f>Table1[[#This Row],[Cost Price]]*Table1[[#This Row],[Quantity]]</f>
        <v>1800000</v>
      </c>
      <c r="O2098" s="9">
        <f>Table1[[#This Row],[Revenue]]-Table1[[#This Row],[COGS]]</f>
        <v>450000</v>
      </c>
      <c r="P2098" s="6">
        <v>2097</v>
      </c>
    </row>
    <row r="2099" spans="1:16">
      <c r="A2099" s="7" t="s">
        <v>107</v>
      </c>
      <c r="B2099" s="7" t="str">
        <f>TEXT(Table1[[#This Row],[Date]],"MMM")</f>
        <v>Feb</v>
      </c>
      <c r="C2099" t="s">
        <v>44</v>
      </c>
      <c r="D2099" t="s">
        <v>28</v>
      </c>
      <c r="E2099" t="s">
        <v>29</v>
      </c>
      <c r="F2099" t="s">
        <v>30</v>
      </c>
      <c r="G2099" t="s">
        <v>56</v>
      </c>
      <c r="H2099" t="s">
        <v>32</v>
      </c>
      <c r="I2099" s="9">
        <v>320000</v>
      </c>
      <c r="J2099">
        <v>4</v>
      </c>
      <c r="K2099" t="s">
        <v>42</v>
      </c>
      <c r="L2099" s="9">
        <f t="shared" si="32"/>
        <v>256000</v>
      </c>
      <c r="M2099" s="9">
        <f>Table1[[#This Row],[Unit Price]]*Table1[[#This Row],[Quantity]]</f>
        <v>1280000</v>
      </c>
      <c r="N2099" s="9">
        <f>Table1[[#This Row],[Cost Price]]*Table1[[#This Row],[Quantity]]</f>
        <v>1024000</v>
      </c>
      <c r="O2099" s="9">
        <f>Table1[[#This Row],[Revenue]]-Table1[[#This Row],[COGS]]</f>
        <v>256000</v>
      </c>
      <c r="P2099" s="6">
        <v>2098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27F2-7D05-4DE8-9A66-D66483B08470}">
  <dimension ref="A2:D54"/>
  <sheetViews>
    <sheetView workbookViewId="0">
      <selection activeCell="T13" sqref="T13"/>
    </sheetView>
  </sheetViews>
  <sheetFormatPr defaultRowHeight="15"/>
  <cols>
    <col min="1" max="1" width="15.85546875" customWidth="1"/>
    <col min="2" max="2" width="22.85546875" bestFit="1" customWidth="1"/>
    <col min="3" max="3" width="17.7109375" bestFit="1" customWidth="1"/>
    <col min="4" max="4" width="22.85546875" bestFit="1" customWidth="1"/>
    <col min="5" max="5" width="4.28515625" bestFit="1" customWidth="1"/>
    <col min="6" max="6" width="4.85546875" bestFit="1" customWidth="1"/>
    <col min="7" max="7" width="11.28515625" bestFit="1" customWidth="1"/>
    <col min="8" max="24" width="6" bestFit="1" customWidth="1"/>
    <col min="25" max="78" width="7" bestFit="1" customWidth="1"/>
    <col min="79" max="79" width="7.28515625" bestFit="1" customWidth="1"/>
    <col min="80" max="80" width="11.28515625" bestFit="1" customWidth="1"/>
    <col min="81" max="81" width="15.5703125" bestFit="1" customWidth="1"/>
    <col min="82" max="82" width="12.5703125" bestFit="1" customWidth="1"/>
    <col min="83" max="83" width="17.7109375" bestFit="1" customWidth="1"/>
    <col min="84" max="84" width="15.5703125" bestFit="1" customWidth="1"/>
    <col min="85" max="85" width="12.5703125" bestFit="1" customWidth="1"/>
    <col min="86" max="86" width="17.7109375" bestFit="1" customWidth="1"/>
    <col min="87" max="87" width="15.5703125" bestFit="1" customWidth="1"/>
    <col min="88" max="88" width="13.28515625" bestFit="1" customWidth="1"/>
    <col min="89" max="89" width="17.7109375" bestFit="1" customWidth="1"/>
    <col min="90" max="90" width="15.5703125" bestFit="1" customWidth="1"/>
    <col min="91" max="91" width="12.5703125" bestFit="1" customWidth="1"/>
    <col min="92" max="92" width="17.7109375" bestFit="1" customWidth="1"/>
    <col min="93" max="93" width="15.5703125" bestFit="1" customWidth="1"/>
    <col min="94" max="94" width="13.28515625" bestFit="1" customWidth="1"/>
    <col min="95" max="95" width="17.7109375" bestFit="1" customWidth="1"/>
    <col min="96" max="96" width="15.5703125" bestFit="1" customWidth="1"/>
    <col min="97" max="97" width="12.5703125" bestFit="1" customWidth="1"/>
    <col min="98" max="98" width="17.7109375" bestFit="1" customWidth="1"/>
    <col min="99" max="99" width="15.5703125" bestFit="1" customWidth="1"/>
    <col min="100" max="100" width="13.28515625" bestFit="1" customWidth="1"/>
    <col min="101" max="101" width="17.7109375" bestFit="1" customWidth="1"/>
    <col min="102" max="102" width="15.5703125" bestFit="1" customWidth="1"/>
    <col min="103" max="103" width="13.28515625" bestFit="1" customWidth="1"/>
    <col min="104" max="104" width="17.7109375" bestFit="1" customWidth="1"/>
    <col min="105" max="105" width="15.5703125" bestFit="1" customWidth="1"/>
    <col min="106" max="106" width="12.5703125" bestFit="1" customWidth="1"/>
    <col min="107" max="107" width="17.7109375" bestFit="1" customWidth="1"/>
    <col min="108" max="108" width="15.5703125" bestFit="1" customWidth="1"/>
    <col min="109" max="109" width="12.5703125" bestFit="1" customWidth="1"/>
    <col min="110" max="110" width="17.7109375" bestFit="1" customWidth="1"/>
    <col min="111" max="111" width="15.5703125" bestFit="1" customWidth="1"/>
    <col min="112" max="112" width="13.28515625" bestFit="1" customWidth="1"/>
    <col min="113" max="113" width="17.7109375" bestFit="1" customWidth="1"/>
    <col min="114" max="114" width="15.5703125" bestFit="1" customWidth="1"/>
    <col min="115" max="115" width="13.28515625" bestFit="1" customWidth="1"/>
    <col min="116" max="116" width="17.7109375" bestFit="1" customWidth="1"/>
    <col min="117" max="117" width="15.5703125" bestFit="1" customWidth="1"/>
    <col min="118" max="118" width="13.28515625" bestFit="1" customWidth="1"/>
    <col min="119" max="119" width="17.7109375" bestFit="1" customWidth="1"/>
    <col min="120" max="120" width="15.5703125" bestFit="1" customWidth="1"/>
    <col min="121" max="121" width="12.5703125" bestFit="1" customWidth="1"/>
    <col min="122" max="122" width="17.7109375" bestFit="1" customWidth="1"/>
    <col min="123" max="123" width="15.5703125" bestFit="1" customWidth="1"/>
    <col min="124" max="124" width="12.5703125" bestFit="1" customWidth="1"/>
    <col min="125" max="125" width="17.7109375" bestFit="1" customWidth="1"/>
    <col min="126" max="126" width="15.5703125" bestFit="1" customWidth="1"/>
    <col min="127" max="127" width="12.5703125" bestFit="1" customWidth="1"/>
    <col min="128" max="128" width="17.7109375" bestFit="1" customWidth="1"/>
    <col min="129" max="129" width="15.5703125" bestFit="1" customWidth="1"/>
    <col min="130" max="130" width="12.5703125" bestFit="1" customWidth="1"/>
    <col min="131" max="131" width="17.7109375" bestFit="1" customWidth="1"/>
    <col min="132" max="132" width="15.5703125" bestFit="1" customWidth="1"/>
    <col min="133" max="133" width="12.5703125" bestFit="1" customWidth="1"/>
    <col min="134" max="134" width="17.7109375" bestFit="1" customWidth="1"/>
    <col min="135" max="135" width="15.5703125" bestFit="1" customWidth="1"/>
    <col min="136" max="136" width="12.5703125" bestFit="1" customWidth="1"/>
    <col min="137" max="137" width="17.7109375" bestFit="1" customWidth="1"/>
    <col min="138" max="138" width="15.5703125" bestFit="1" customWidth="1"/>
    <col min="139" max="139" width="12.5703125" bestFit="1" customWidth="1"/>
    <col min="140" max="140" width="17.7109375" bestFit="1" customWidth="1"/>
    <col min="141" max="141" width="15.5703125" bestFit="1" customWidth="1"/>
    <col min="142" max="142" width="13.28515625" bestFit="1" customWidth="1"/>
    <col min="143" max="143" width="17.7109375" bestFit="1" customWidth="1"/>
    <col min="144" max="144" width="15.5703125" bestFit="1" customWidth="1"/>
    <col min="145" max="145" width="13.28515625" bestFit="1" customWidth="1"/>
    <col min="146" max="146" width="17.7109375" bestFit="1" customWidth="1"/>
    <col min="147" max="147" width="15.5703125" bestFit="1" customWidth="1"/>
    <col min="148" max="148" width="13.28515625" bestFit="1" customWidth="1"/>
    <col min="149" max="149" width="17.7109375" bestFit="1" customWidth="1"/>
    <col min="150" max="150" width="15.5703125" bestFit="1" customWidth="1"/>
    <col min="151" max="151" width="12.5703125" bestFit="1" customWidth="1"/>
    <col min="152" max="152" width="17.7109375" bestFit="1" customWidth="1"/>
    <col min="153" max="153" width="15.5703125" bestFit="1" customWidth="1"/>
    <col min="154" max="154" width="13.28515625" bestFit="1" customWidth="1"/>
    <col min="155" max="155" width="17.7109375" bestFit="1" customWidth="1"/>
    <col min="156" max="156" width="15.5703125" bestFit="1" customWidth="1"/>
    <col min="157" max="157" width="12.5703125" bestFit="1" customWidth="1"/>
    <col min="158" max="158" width="17.7109375" bestFit="1" customWidth="1"/>
    <col min="159" max="159" width="15.5703125" bestFit="1" customWidth="1"/>
    <col min="160" max="160" width="12.5703125" bestFit="1" customWidth="1"/>
    <col min="161" max="161" width="17.7109375" bestFit="1" customWidth="1"/>
    <col min="162" max="162" width="15.5703125" bestFit="1" customWidth="1"/>
    <col min="163" max="163" width="13.28515625" bestFit="1" customWidth="1"/>
    <col min="164" max="164" width="17.7109375" bestFit="1" customWidth="1"/>
    <col min="165" max="165" width="15.5703125" bestFit="1" customWidth="1"/>
    <col min="166" max="166" width="13.28515625" bestFit="1" customWidth="1"/>
    <col min="167" max="167" width="17.7109375" bestFit="1" customWidth="1"/>
    <col min="168" max="168" width="15.5703125" bestFit="1" customWidth="1"/>
    <col min="169" max="169" width="13.28515625" bestFit="1" customWidth="1"/>
    <col min="170" max="170" width="17.7109375" bestFit="1" customWidth="1"/>
    <col min="171" max="171" width="15.5703125" bestFit="1" customWidth="1"/>
    <col min="172" max="172" width="12.5703125" bestFit="1" customWidth="1"/>
    <col min="173" max="173" width="17.7109375" bestFit="1" customWidth="1"/>
    <col min="174" max="174" width="15.5703125" bestFit="1" customWidth="1"/>
    <col min="175" max="175" width="12.5703125" bestFit="1" customWidth="1"/>
    <col min="176" max="176" width="17.7109375" bestFit="1" customWidth="1"/>
    <col min="177" max="177" width="15.5703125" bestFit="1" customWidth="1"/>
    <col min="178" max="178" width="12.5703125" bestFit="1" customWidth="1"/>
    <col min="179" max="179" width="17.7109375" bestFit="1" customWidth="1"/>
    <col min="180" max="180" width="15.5703125" bestFit="1" customWidth="1"/>
    <col min="181" max="181" width="12.5703125" bestFit="1" customWidth="1"/>
    <col min="182" max="182" width="17.7109375" bestFit="1" customWidth="1"/>
    <col min="183" max="183" width="15.5703125" bestFit="1" customWidth="1"/>
    <col min="184" max="184" width="13.28515625" bestFit="1" customWidth="1"/>
    <col min="185" max="185" width="17.7109375" bestFit="1" customWidth="1"/>
    <col min="186" max="186" width="15.5703125" bestFit="1" customWidth="1"/>
    <col min="187" max="187" width="12.5703125" bestFit="1" customWidth="1"/>
    <col min="188" max="188" width="17.7109375" bestFit="1" customWidth="1"/>
    <col min="189" max="189" width="15.5703125" bestFit="1" customWidth="1"/>
    <col min="190" max="190" width="12.5703125" bestFit="1" customWidth="1"/>
    <col min="191" max="191" width="17.7109375" bestFit="1" customWidth="1"/>
    <col min="192" max="192" width="15.5703125" bestFit="1" customWidth="1"/>
    <col min="193" max="193" width="13.28515625" bestFit="1" customWidth="1"/>
    <col min="194" max="194" width="17.7109375" bestFit="1" customWidth="1"/>
    <col min="195" max="195" width="15.5703125" bestFit="1" customWidth="1"/>
    <col min="196" max="196" width="13.28515625" bestFit="1" customWidth="1"/>
    <col min="197" max="197" width="17.7109375" bestFit="1" customWidth="1"/>
    <col min="198" max="198" width="15.5703125" bestFit="1" customWidth="1"/>
    <col min="199" max="199" width="12.5703125" bestFit="1" customWidth="1"/>
    <col min="200" max="200" width="17.7109375" bestFit="1" customWidth="1"/>
    <col min="201" max="201" width="15.5703125" bestFit="1" customWidth="1"/>
    <col min="202" max="202" width="12.5703125" bestFit="1" customWidth="1"/>
    <col min="203" max="203" width="17.7109375" bestFit="1" customWidth="1"/>
    <col min="204" max="204" width="15.5703125" bestFit="1" customWidth="1"/>
    <col min="205" max="205" width="12.5703125" bestFit="1" customWidth="1"/>
    <col min="206" max="206" width="17.7109375" bestFit="1" customWidth="1"/>
    <col min="207" max="207" width="15.5703125" bestFit="1" customWidth="1"/>
    <col min="208" max="208" width="12.5703125" bestFit="1" customWidth="1"/>
    <col min="209" max="209" width="17.7109375" bestFit="1" customWidth="1"/>
    <col min="210" max="210" width="15.5703125" bestFit="1" customWidth="1"/>
    <col min="211" max="211" width="12.5703125" bestFit="1" customWidth="1"/>
    <col min="212" max="212" width="17.7109375" bestFit="1" customWidth="1"/>
    <col min="213" max="213" width="15.5703125" bestFit="1" customWidth="1"/>
    <col min="214" max="214" width="12.5703125" bestFit="1" customWidth="1"/>
    <col min="215" max="215" width="17.7109375" bestFit="1" customWidth="1"/>
    <col min="216" max="216" width="15.5703125" bestFit="1" customWidth="1"/>
    <col min="217" max="217" width="12.5703125" bestFit="1" customWidth="1"/>
    <col min="218" max="218" width="17.7109375" bestFit="1" customWidth="1"/>
    <col min="219" max="219" width="15.5703125" bestFit="1" customWidth="1"/>
    <col min="220" max="220" width="12.5703125" bestFit="1" customWidth="1"/>
    <col min="221" max="221" width="17.7109375" bestFit="1" customWidth="1"/>
    <col min="222" max="222" width="15.5703125" bestFit="1" customWidth="1"/>
    <col min="223" max="223" width="12.5703125" bestFit="1" customWidth="1"/>
    <col min="224" max="224" width="17.7109375" bestFit="1" customWidth="1"/>
    <col min="225" max="225" width="15.5703125" bestFit="1" customWidth="1"/>
    <col min="226" max="226" width="12.5703125" bestFit="1" customWidth="1"/>
    <col min="227" max="227" width="17.7109375" bestFit="1" customWidth="1"/>
    <col min="228" max="228" width="15.5703125" bestFit="1" customWidth="1"/>
    <col min="229" max="229" width="12.5703125" bestFit="1" customWidth="1"/>
    <col min="230" max="230" width="17.7109375" bestFit="1" customWidth="1"/>
    <col min="231" max="231" width="15.5703125" bestFit="1" customWidth="1"/>
    <col min="232" max="232" width="12.5703125" bestFit="1" customWidth="1"/>
    <col min="233" max="233" width="17.7109375" bestFit="1" customWidth="1"/>
    <col min="234" max="234" width="15.5703125" bestFit="1" customWidth="1"/>
    <col min="235" max="235" width="12.5703125" bestFit="1" customWidth="1"/>
    <col min="236" max="236" width="17.7109375" bestFit="1" customWidth="1"/>
    <col min="237" max="237" width="15.5703125" bestFit="1" customWidth="1"/>
    <col min="238" max="238" width="12.5703125" bestFit="1" customWidth="1"/>
    <col min="239" max="239" width="17.7109375" bestFit="1" customWidth="1"/>
    <col min="240" max="240" width="15.5703125" bestFit="1" customWidth="1"/>
    <col min="241" max="241" width="12.5703125" bestFit="1" customWidth="1"/>
    <col min="242" max="242" width="17.7109375" bestFit="1" customWidth="1"/>
    <col min="243" max="243" width="15.5703125" bestFit="1" customWidth="1"/>
    <col min="244" max="244" width="12.5703125" bestFit="1" customWidth="1"/>
    <col min="245" max="245" width="17.7109375" bestFit="1" customWidth="1"/>
    <col min="246" max="246" width="15.5703125" bestFit="1" customWidth="1"/>
    <col min="247" max="247" width="12.5703125" bestFit="1" customWidth="1"/>
    <col min="248" max="248" width="17.7109375" bestFit="1" customWidth="1"/>
    <col min="249" max="249" width="15.5703125" bestFit="1" customWidth="1"/>
    <col min="250" max="250" width="12.5703125" bestFit="1" customWidth="1"/>
    <col min="251" max="251" width="17.7109375" bestFit="1" customWidth="1"/>
    <col min="252" max="252" width="15.5703125" bestFit="1" customWidth="1"/>
    <col min="253" max="253" width="12.5703125" bestFit="1" customWidth="1"/>
    <col min="254" max="254" width="17.7109375" bestFit="1" customWidth="1"/>
    <col min="255" max="255" width="15.5703125" bestFit="1" customWidth="1"/>
    <col min="256" max="256" width="12.5703125" bestFit="1" customWidth="1"/>
    <col min="257" max="257" width="17.7109375" bestFit="1" customWidth="1"/>
    <col min="258" max="258" width="15.5703125" bestFit="1" customWidth="1"/>
    <col min="259" max="259" width="13.28515625" bestFit="1" customWidth="1"/>
    <col min="260" max="260" width="17.7109375" bestFit="1" customWidth="1"/>
    <col min="261" max="261" width="15.5703125" bestFit="1" customWidth="1"/>
    <col min="262" max="262" width="12.5703125" bestFit="1" customWidth="1"/>
    <col min="263" max="263" width="17.7109375" bestFit="1" customWidth="1"/>
    <col min="264" max="264" width="15.5703125" bestFit="1" customWidth="1"/>
    <col min="265" max="265" width="13.28515625" bestFit="1" customWidth="1"/>
    <col min="266" max="266" width="17.7109375" bestFit="1" customWidth="1"/>
    <col min="267" max="267" width="15.5703125" bestFit="1" customWidth="1"/>
    <col min="268" max="268" width="12.5703125" bestFit="1" customWidth="1"/>
    <col min="269" max="269" width="17.7109375" bestFit="1" customWidth="1"/>
    <col min="270" max="270" width="15.5703125" bestFit="1" customWidth="1"/>
    <col min="271" max="271" width="12.5703125" bestFit="1" customWidth="1"/>
    <col min="272" max="272" width="17.7109375" bestFit="1" customWidth="1"/>
    <col min="273" max="273" width="15.5703125" bestFit="1" customWidth="1"/>
    <col min="274" max="274" width="13.28515625" bestFit="1" customWidth="1"/>
    <col min="275" max="275" width="17.7109375" bestFit="1" customWidth="1"/>
    <col min="276" max="276" width="15.5703125" bestFit="1" customWidth="1"/>
    <col min="277" max="277" width="12.5703125" bestFit="1" customWidth="1"/>
    <col min="278" max="278" width="17.7109375" bestFit="1" customWidth="1"/>
    <col min="279" max="279" width="15.5703125" bestFit="1" customWidth="1"/>
    <col min="280" max="280" width="12.5703125" bestFit="1" customWidth="1"/>
    <col min="281" max="281" width="17.7109375" bestFit="1" customWidth="1"/>
    <col min="282" max="282" width="15.5703125" bestFit="1" customWidth="1"/>
    <col min="283" max="283" width="12.5703125" bestFit="1" customWidth="1"/>
    <col min="284" max="284" width="17.7109375" bestFit="1" customWidth="1"/>
    <col min="285" max="285" width="15.5703125" bestFit="1" customWidth="1"/>
    <col min="286" max="286" width="12.5703125" bestFit="1" customWidth="1"/>
    <col min="287" max="287" width="17.7109375" bestFit="1" customWidth="1"/>
    <col min="288" max="288" width="15.5703125" bestFit="1" customWidth="1"/>
    <col min="289" max="289" width="13.28515625" bestFit="1" customWidth="1"/>
    <col min="290" max="290" width="17.7109375" bestFit="1" customWidth="1"/>
    <col min="291" max="291" width="15.5703125" bestFit="1" customWidth="1"/>
    <col min="292" max="292" width="13.28515625" bestFit="1" customWidth="1"/>
    <col min="293" max="293" width="17.7109375" bestFit="1" customWidth="1"/>
    <col min="294" max="294" width="15.5703125" bestFit="1" customWidth="1"/>
    <col min="295" max="295" width="13.28515625" bestFit="1" customWidth="1"/>
    <col min="296" max="296" width="17.7109375" bestFit="1" customWidth="1"/>
    <col min="297" max="297" width="15.5703125" bestFit="1" customWidth="1"/>
    <col min="298" max="298" width="12.5703125" bestFit="1" customWidth="1"/>
    <col min="299" max="299" width="17.7109375" bestFit="1" customWidth="1"/>
    <col min="300" max="300" width="15.5703125" bestFit="1" customWidth="1"/>
    <col min="301" max="301" width="12.5703125" bestFit="1" customWidth="1"/>
    <col min="302" max="302" width="17.7109375" bestFit="1" customWidth="1"/>
    <col min="303" max="303" width="15.5703125" bestFit="1" customWidth="1"/>
    <col min="304" max="304" width="12.5703125" bestFit="1" customWidth="1"/>
    <col min="305" max="305" width="17.7109375" bestFit="1" customWidth="1"/>
    <col min="306" max="306" width="15.5703125" bestFit="1" customWidth="1"/>
    <col min="307" max="307" width="13.28515625" bestFit="1" customWidth="1"/>
    <col min="308" max="308" width="17.7109375" bestFit="1" customWidth="1"/>
    <col min="309" max="309" width="15.5703125" bestFit="1" customWidth="1"/>
    <col min="310" max="310" width="12.5703125" bestFit="1" customWidth="1"/>
    <col min="311" max="311" width="17.7109375" bestFit="1" customWidth="1"/>
    <col min="312" max="312" width="15.5703125" bestFit="1" customWidth="1"/>
    <col min="313" max="313" width="13.28515625" bestFit="1" customWidth="1"/>
    <col min="314" max="314" width="17.7109375" bestFit="1" customWidth="1"/>
    <col min="315" max="315" width="15.5703125" bestFit="1" customWidth="1"/>
    <col min="316" max="316" width="13.28515625" bestFit="1" customWidth="1"/>
    <col min="317" max="317" width="17.7109375" bestFit="1" customWidth="1"/>
    <col min="318" max="318" width="15.5703125" bestFit="1" customWidth="1"/>
    <col min="319" max="319" width="12.5703125" bestFit="1" customWidth="1"/>
    <col min="320" max="320" width="17.7109375" bestFit="1" customWidth="1"/>
    <col min="321" max="321" width="15.5703125" bestFit="1" customWidth="1"/>
    <col min="322" max="322" width="12.5703125" bestFit="1" customWidth="1"/>
    <col min="323" max="323" width="17.7109375" bestFit="1" customWidth="1"/>
    <col min="324" max="324" width="15.5703125" bestFit="1" customWidth="1"/>
    <col min="325" max="325" width="13.28515625" bestFit="1" customWidth="1"/>
    <col min="326" max="326" width="17.7109375" bestFit="1" customWidth="1"/>
    <col min="327" max="327" width="15.5703125" bestFit="1" customWidth="1"/>
    <col min="328" max="328" width="12.5703125" bestFit="1" customWidth="1"/>
    <col min="329" max="329" width="17.7109375" bestFit="1" customWidth="1"/>
    <col min="330" max="330" width="15.5703125" bestFit="1" customWidth="1"/>
    <col min="331" max="331" width="12.5703125" bestFit="1" customWidth="1"/>
    <col min="332" max="332" width="17.7109375" bestFit="1" customWidth="1"/>
    <col min="333" max="333" width="15.5703125" bestFit="1" customWidth="1"/>
    <col min="334" max="334" width="13.28515625" bestFit="1" customWidth="1"/>
    <col min="335" max="335" width="17.7109375" bestFit="1" customWidth="1"/>
    <col min="336" max="336" width="15.5703125" bestFit="1" customWidth="1"/>
    <col min="337" max="337" width="12.5703125" bestFit="1" customWidth="1"/>
    <col min="338" max="338" width="17.7109375" bestFit="1" customWidth="1"/>
    <col min="339" max="339" width="15.5703125" bestFit="1" customWidth="1"/>
    <col min="340" max="340" width="12.5703125" bestFit="1" customWidth="1"/>
    <col min="341" max="341" width="17.7109375" bestFit="1" customWidth="1"/>
    <col min="342" max="342" width="15.5703125" bestFit="1" customWidth="1"/>
    <col min="343" max="343" width="12.5703125" bestFit="1" customWidth="1"/>
    <col min="344" max="344" width="17.7109375" bestFit="1" customWidth="1"/>
    <col min="345" max="345" width="15.5703125" bestFit="1" customWidth="1"/>
    <col min="346" max="346" width="12.5703125" bestFit="1" customWidth="1"/>
    <col min="347" max="347" width="17.7109375" bestFit="1" customWidth="1"/>
    <col min="348" max="348" width="15.5703125" bestFit="1" customWidth="1"/>
    <col min="349" max="349" width="12.5703125" bestFit="1" customWidth="1"/>
    <col min="350" max="350" width="17.7109375" bestFit="1" customWidth="1"/>
    <col min="351" max="351" width="15.5703125" bestFit="1" customWidth="1"/>
    <col min="352" max="352" width="12.5703125" bestFit="1" customWidth="1"/>
    <col min="353" max="353" width="17.7109375" bestFit="1" customWidth="1"/>
    <col min="354" max="354" width="15.5703125" bestFit="1" customWidth="1"/>
    <col min="355" max="355" width="12.5703125" bestFit="1" customWidth="1"/>
    <col min="356" max="356" width="17.7109375" bestFit="1" customWidth="1"/>
    <col min="357" max="357" width="15.5703125" bestFit="1" customWidth="1"/>
    <col min="358" max="358" width="12.5703125" bestFit="1" customWidth="1"/>
    <col min="359" max="359" width="17.7109375" bestFit="1" customWidth="1"/>
    <col min="360" max="360" width="15.5703125" bestFit="1" customWidth="1"/>
    <col min="361" max="361" width="13.28515625" bestFit="1" customWidth="1"/>
    <col min="362" max="362" width="17.7109375" bestFit="1" customWidth="1"/>
    <col min="363" max="363" width="15.5703125" bestFit="1" customWidth="1"/>
    <col min="364" max="364" width="12.5703125" bestFit="1" customWidth="1"/>
    <col min="365" max="365" width="17.7109375" bestFit="1" customWidth="1"/>
    <col min="366" max="366" width="15.5703125" bestFit="1" customWidth="1"/>
    <col min="367" max="367" width="12.5703125" bestFit="1" customWidth="1"/>
    <col min="368" max="368" width="17.7109375" bestFit="1" customWidth="1"/>
    <col min="369" max="369" width="15.5703125" bestFit="1" customWidth="1"/>
    <col min="370" max="370" width="12.5703125" bestFit="1" customWidth="1"/>
    <col min="371" max="371" width="17.7109375" bestFit="1" customWidth="1"/>
    <col min="372" max="372" width="15.5703125" bestFit="1" customWidth="1"/>
    <col min="373" max="373" width="12.5703125" bestFit="1" customWidth="1"/>
    <col min="374" max="374" width="17.7109375" bestFit="1" customWidth="1"/>
    <col min="375" max="375" width="15.5703125" bestFit="1" customWidth="1"/>
    <col min="376" max="376" width="13.28515625" bestFit="1" customWidth="1"/>
    <col min="377" max="377" width="17.7109375" bestFit="1" customWidth="1"/>
    <col min="378" max="378" width="15.5703125" bestFit="1" customWidth="1"/>
    <col min="379" max="379" width="13.28515625" bestFit="1" customWidth="1"/>
    <col min="380" max="380" width="17.7109375" bestFit="1" customWidth="1"/>
    <col min="381" max="381" width="15.5703125" bestFit="1" customWidth="1"/>
    <col min="382" max="382" width="12.5703125" bestFit="1" customWidth="1"/>
    <col min="383" max="383" width="17.7109375" bestFit="1" customWidth="1"/>
    <col min="384" max="384" width="15.5703125" bestFit="1" customWidth="1"/>
    <col min="385" max="385" width="13.28515625" bestFit="1" customWidth="1"/>
    <col min="386" max="386" width="17.7109375" bestFit="1" customWidth="1"/>
    <col min="387" max="387" width="15.5703125" bestFit="1" customWidth="1"/>
    <col min="388" max="388" width="13.28515625" bestFit="1" customWidth="1"/>
    <col min="389" max="389" width="17.7109375" bestFit="1" customWidth="1"/>
    <col min="390" max="390" width="15.5703125" bestFit="1" customWidth="1"/>
    <col min="391" max="391" width="12.5703125" bestFit="1" customWidth="1"/>
    <col min="392" max="392" width="17.7109375" bestFit="1" customWidth="1"/>
    <col min="393" max="393" width="15.5703125" bestFit="1" customWidth="1"/>
    <col min="394" max="394" width="12.5703125" bestFit="1" customWidth="1"/>
    <col min="395" max="395" width="17.7109375" bestFit="1" customWidth="1"/>
    <col min="396" max="396" width="15.5703125" bestFit="1" customWidth="1"/>
    <col min="397" max="397" width="12.5703125" bestFit="1" customWidth="1"/>
    <col min="398" max="398" width="17.7109375" bestFit="1" customWidth="1"/>
    <col min="399" max="399" width="15.5703125" bestFit="1" customWidth="1"/>
    <col min="400" max="400" width="12.5703125" bestFit="1" customWidth="1"/>
    <col min="401" max="401" width="17.7109375" bestFit="1" customWidth="1"/>
    <col min="402" max="402" width="15.5703125" bestFit="1" customWidth="1"/>
    <col min="403" max="403" width="12.5703125" bestFit="1" customWidth="1"/>
    <col min="404" max="404" width="17.7109375" bestFit="1" customWidth="1"/>
    <col min="405" max="405" width="15.5703125" bestFit="1" customWidth="1"/>
    <col min="406" max="406" width="13.28515625" bestFit="1" customWidth="1"/>
    <col min="407" max="407" width="17.7109375" bestFit="1" customWidth="1"/>
    <col min="408" max="408" width="15.5703125" bestFit="1" customWidth="1"/>
    <col min="409" max="409" width="13.28515625" bestFit="1" customWidth="1"/>
    <col min="410" max="410" width="17.7109375" bestFit="1" customWidth="1"/>
    <col min="411" max="411" width="15.5703125" bestFit="1" customWidth="1"/>
    <col min="412" max="412" width="12.5703125" bestFit="1" customWidth="1"/>
    <col min="413" max="413" width="17.7109375" bestFit="1" customWidth="1"/>
    <col min="414" max="414" width="15.5703125" bestFit="1" customWidth="1"/>
    <col min="415" max="415" width="12.5703125" bestFit="1" customWidth="1"/>
    <col min="416" max="416" width="17.7109375" bestFit="1" customWidth="1"/>
    <col min="417" max="417" width="15.5703125" bestFit="1" customWidth="1"/>
    <col min="418" max="418" width="12.5703125" bestFit="1" customWidth="1"/>
    <col min="419" max="419" width="17.7109375" bestFit="1" customWidth="1"/>
    <col min="420" max="420" width="15.5703125" bestFit="1" customWidth="1"/>
    <col min="421" max="421" width="13.28515625" bestFit="1" customWidth="1"/>
    <col min="422" max="422" width="17.7109375" bestFit="1" customWidth="1"/>
    <col min="423" max="423" width="15.5703125" bestFit="1" customWidth="1"/>
    <col min="424" max="424" width="12.5703125" bestFit="1" customWidth="1"/>
    <col min="425" max="425" width="17.7109375" bestFit="1" customWidth="1"/>
    <col min="426" max="426" width="15.5703125" bestFit="1" customWidth="1"/>
    <col min="427" max="427" width="13.28515625" bestFit="1" customWidth="1"/>
    <col min="428" max="428" width="17.7109375" bestFit="1" customWidth="1"/>
    <col min="429" max="429" width="15.5703125" bestFit="1" customWidth="1"/>
    <col min="430" max="430" width="12.5703125" bestFit="1" customWidth="1"/>
    <col min="431" max="431" width="17.7109375" bestFit="1" customWidth="1"/>
    <col min="432" max="432" width="15.5703125" bestFit="1" customWidth="1"/>
    <col min="433" max="433" width="12.5703125" bestFit="1" customWidth="1"/>
    <col min="434" max="434" width="17.7109375" bestFit="1" customWidth="1"/>
    <col min="435" max="435" width="15.5703125" bestFit="1" customWidth="1"/>
    <col min="436" max="436" width="12.5703125" bestFit="1" customWidth="1"/>
    <col min="437" max="437" width="17.7109375" bestFit="1" customWidth="1"/>
    <col min="438" max="438" width="15.5703125" bestFit="1" customWidth="1"/>
    <col min="439" max="439" width="12.5703125" bestFit="1" customWidth="1"/>
    <col min="440" max="440" width="17.7109375" bestFit="1" customWidth="1"/>
    <col min="441" max="441" width="15.5703125" bestFit="1" customWidth="1"/>
    <col min="442" max="442" width="12.5703125" bestFit="1" customWidth="1"/>
    <col min="443" max="443" width="17.7109375" bestFit="1" customWidth="1"/>
    <col min="444" max="444" width="15.5703125" bestFit="1" customWidth="1"/>
    <col min="445" max="445" width="13.28515625" bestFit="1" customWidth="1"/>
    <col min="446" max="446" width="17.7109375" bestFit="1" customWidth="1"/>
    <col min="447" max="447" width="15.5703125" bestFit="1" customWidth="1"/>
    <col min="448" max="448" width="13.28515625" bestFit="1" customWidth="1"/>
    <col min="449" max="449" width="17.7109375" bestFit="1" customWidth="1"/>
    <col min="450" max="450" width="15.5703125" bestFit="1" customWidth="1"/>
    <col min="451" max="451" width="12.5703125" bestFit="1" customWidth="1"/>
    <col min="452" max="452" width="17.7109375" bestFit="1" customWidth="1"/>
    <col min="453" max="453" width="15.5703125" bestFit="1" customWidth="1"/>
    <col min="454" max="454" width="12.5703125" bestFit="1" customWidth="1"/>
    <col min="455" max="455" width="17.7109375" bestFit="1" customWidth="1"/>
    <col min="456" max="456" width="15.5703125" bestFit="1" customWidth="1"/>
    <col min="457" max="457" width="13.28515625" bestFit="1" customWidth="1"/>
    <col min="458" max="458" width="17.7109375" bestFit="1" customWidth="1"/>
    <col min="459" max="459" width="15.5703125" bestFit="1" customWidth="1"/>
    <col min="460" max="460" width="12.5703125" bestFit="1" customWidth="1"/>
    <col min="461" max="461" width="17.7109375" bestFit="1" customWidth="1"/>
    <col min="462" max="462" width="15.5703125" bestFit="1" customWidth="1"/>
    <col min="463" max="463" width="12.5703125" bestFit="1" customWidth="1"/>
    <col min="464" max="464" width="17.7109375" bestFit="1" customWidth="1"/>
    <col min="465" max="465" width="15.5703125" bestFit="1" customWidth="1"/>
    <col min="466" max="466" width="13.28515625" bestFit="1" customWidth="1"/>
    <col min="467" max="467" width="17.7109375" bestFit="1" customWidth="1"/>
    <col min="468" max="468" width="15.5703125" bestFit="1" customWidth="1"/>
    <col min="469" max="469" width="12.5703125" bestFit="1" customWidth="1"/>
    <col min="470" max="470" width="17.7109375" bestFit="1" customWidth="1"/>
    <col min="471" max="471" width="15.5703125" bestFit="1" customWidth="1"/>
    <col min="472" max="472" width="13.28515625" bestFit="1" customWidth="1"/>
    <col min="473" max="473" width="17.7109375" bestFit="1" customWidth="1"/>
    <col min="474" max="474" width="15.5703125" bestFit="1" customWidth="1"/>
    <col min="475" max="475" width="12.5703125" bestFit="1" customWidth="1"/>
    <col min="476" max="476" width="17.7109375" bestFit="1" customWidth="1"/>
    <col min="477" max="477" width="15.5703125" bestFit="1" customWidth="1"/>
    <col min="478" max="478" width="12.5703125" bestFit="1" customWidth="1"/>
    <col min="479" max="479" width="17.7109375" bestFit="1" customWidth="1"/>
    <col min="480" max="480" width="15.5703125" bestFit="1" customWidth="1"/>
    <col min="481" max="481" width="12.5703125" bestFit="1" customWidth="1"/>
    <col min="482" max="482" width="17.7109375" bestFit="1" customWidth="1"/>
    <col min="483" max="483" width="15.5703125" bestFit="1" customWidth="1"/>
    <col min="484" max="484" width="12.5703125" bestFit="1" customWidth="1"/>
    <col min="485" max="485" width="17.7109375" bestFit="1" customWidth="1"/>
    <col min="486" max="486" width="15.5703125" bestFit="1" customWidth="1"/>
    <col min="487" max="487" width="12.5703125" bestFit="1" customWidth="1"/>
    <col min="488" max="488" width="17.7109375" bestFit="1" customWidth="1"/>
    <col min="489" max="489" width="15.5703125" bestFit="1" customWidth="1"/>
    <col min="490" max="490" width="13.28515625" bestFit="1" customWidth="1"/>
    <col min="491" max="491" width="17.7109375" bestFit="1" customWidth="1"/>
    <col min="492" max="492" width="15.5703125" bestFit="1" customWidth="1"/>
    <col min="493" max="493" width="12.5703125" bestFit="1" customWidth="1"/>
    <col min="494" max="494" width="17.7109375" bestFit="1" customWidth="1"/>
    <col min="495" max="495" width="15.5703125" bestFit="1" customWidth="1"/>
    <col min="496" max="496" width="12.5703125" bestFit="1" customWidth="1"/>
    <col min="497" max="497" width="17.7109375" bestFit="1" customWidth="1"/>
    <col min="498" max="498" width="15.5703125" bestFit="1" customWidth="1"/>
    <col min="499" max="499" width="12.5703125" bestFit="1" customWidth="1"/>
    <col min="500" max="500" width="17.7109375" bestFit="1" customWidth="1"/>
    <col min="501" max="501" width="15.5703125" bestFit="1" customWidth="1"/>
    <col min="502" max="502" width="12.5703125" bestFit="1" customWidth="1"/>
    <col min="503" max="503" width="17.7109375" bestFit="1" customWidth="1"/>
    <col min="504" max="504" width="15.5703125" bestFit="1" customWidth="1"/>
    <col min="505" max="505" width="13.28515625" bestFit="1" customWidth="1"/>
    <col min="506" max="506" width="17.7109375" bestFit="1" customWidth="1"/>
    <col min="507" max="507" width="15.5703125" bestFit="1" customWidth="1"/>
    <col min="508" max="508" width="13.28515625" bestFit="1" customWidth="1"/>
    <col min="509" max="509" width="17.7109375" bestFit="1" customWidth="1"/>
    <col min="510" max="510" width="15.5703125" bestFit="1" customWidth="1"/>
    <col min="511" max="511" width="12.5703125" bestFit="1" customWidth="1"/>
    <col min="512" max="512" width="17.7109375" bestFit="1" customWidth="1"/>
    <col min="513" max="513" width="15.5703125" bestFit="1" customWidth="1"/>
    <col min="514" max="514" width="12.5703125" bestFit="1" customWidth="1"/>
    <col min="515" max="515" width="17.7109375" bestFit="1" customWidth="1"/>
    <col min="516" max="516" width="15.5703125" bestFit="1" customWidth="1"/>
    <col min="517" max="517" width="13.28515625" bestFit="1" customWidth="1"/>
    <col min="518" max="518" width="17.7109375" bestFit="1" customWidth="1"/>
    <col min="519" max="519" width="15.5703125" bestFit="1" customWidth="1"/>
    <col min="520" max="520" width="12.5703125" bestFit="1" customWidth="1"/>
    <col min="521" max="521" width="17.7109375" bestFit="1" customWidth="1"/>
    <col min="522" max="522" width="15.5703125" bestFit="1" customWidth="1"/>
    <col min="523" max="523" width="12.5703125" bestFit="1" customWidth="1"/>
    <col min="524" max="524" width="17.7109375" bestFit="1" customWidth="1"/>
    <col min="525" max="525" width="15.5703125" bestFit="1" customWidth="1"/>
    <col min="526" max="526" width="13.28515625" bestFit="1" customWidth="1"/>
    <col min="527" max="527" width="17.7109375" bestFit="1" customWidth="1"/>
    <col min="528" max="528" width="15.5703125" bestFit="1" customWidth="1"/>
    <col min="529" max="529" width="12.5703125" bestFit="1" customWidth="1"/>
    <col min="530" max="530" width="17.7109375" bestFit="1" customWidth="1"/>
    <col min="531" max="531" width="15.5703125" bestFit="1" customWidth="1"/>
    <col min="532" max="532" width="13.28515625" bestFit="1" customWidth="1"/>
    <col min="533" max="533" width="17.7109375" bestFit="1" customWidth="1"/>
    <col min="534" max="534" width="15.5703125" bestFit="1" customWidth="1"/>
    <col min="535" max="535" width="12.5703125" bestFit="1" customWidth="1"/>
    <col min="536" max="536" width="17.7109375" bestFit="1" customWidth="1"/>
    <col min="537" max="537" width="15.5703125" bestFit="1" customWidth="1"/>
    <col min="538" max="538" width="12.5703125" bestFit="1" customWidth="1"/>
    <col min="539" max="539" width="17.7109375" bestFit="1" customWidth="1"/>
    <col min="540" max="540" width="15.5703125" bestFit="1" customWidth="1"/>
    <col min="541" max="541" width="13.28515625" bestFit="1" customWidth="1"/>
    <col min="542" max="542" width="17.7109375" bestFit="1" customWidth="1"/>
    <col min="543" max="543" width="15.5703125" bestFit="1" customWidth="1"/>
    <col min="544" max="544" width="12.5703125" bestFit="1" customWidth="1"/>
    <col min="545" max="545" width="17.7109375" bestFit="1" customWidth="1"/>
    <col min="546" max="546" width="15.5703125" bestFit="1" customWidth="1"/>
    <col min="547" max="547" width="12.5703125" bestFit="1" customWidth="1"/>
    <col min="548" max="548" width="17.7109375" bestFit="1" customWidth="1"/>
    <col min="549" max="549" width="15.5703125" bestFit="1" customWidth="1"/>
    <col min="550" max="550" width="12.5703125" bestFit="1" customWidth="1"/>
    <col min="551" max="551" width="17.7109375" bestFit="1" customWidth="1"/>
    <col min="552" max="552" width="15.5703125" bestFit="1" customWidth="1"/>
    <col min="553" max="553" width="13.28515625" bestFit="1" customWidth="1"/>
    <col min="554" max="554" width="17.7109375" bestFit="1" customWidth="1"/>
    <col min="555" max="555" width="15.5703125" bestFit="1" customWidth="1"/>
    <col min="556" max="556" width="12.5703125" bestFit="1" customWidth="1"/>
    <col min="557" max="557" width="17.7109375" bestFit="1" customWidth="1"/>
    <col min="558" max="558" width="15.5703125" bestFit="1" customWidth="1"/>
    <col min="559" max="559" width="13.28515625" bestFit="1" customWidth="1"/>
    <col min="560" max="560" width="17.7109375" bestFit="1" customWidth="1"/>
    <col min="561" max="561" width="15.5703125" bestFit="1" customWidth="1"/>
    <col min="562" max="562" width="12.5703125" bestFit="1" customWidth="1"/>
    <col min="563" max="563" width="17.7109375" bestFit="1" customWidth="1"/>
    <col min="564" max="564" width="15.5703125" bestFit="1" customWidth="1"/>
    <col min="565" max="565" width="12.5703125" bestFit="1" customWidth="1"/>
    <col min="566" max="566" width="17.7109375" bestFit="1" customWidth="1"/>
    <col min="567" max="567" width="15.5703125" bestFit="1" customWidth="1"/>
    <col min="568" max="568" width="12.5703125" bestFit="1" customWidth="1"/>
    <col min="569" max="569" width="17.7109375" bestFit="1" customWidth="1"/>
    <col min="570" max="570" width="15.5703125" bestFit="1" customWidth="1"/>
    <col min="571" max="571" width="12.5703125" bestFit="1" customWidth="1"/>
    <col min="572" max="572" width="17.7109375" bestFit="1" customWidth="1"/>
    <col min="573" max="573" width="15.5703125" bestFit="1" customWidth="1"/>
    <col min="574" max="574" width="12.5703125" bestFit="1" customWidth="1"/>
    <col min="575" max="575" width="17.7109375" bestFit="1" customWidth="1"/>
    <col min="576" max="576" width="15.5703125" bestFit="1" customWidth="1"/>
    <col min="577" max="577" width="12.5703125" bestFit="1" customWidth="1"/>
    <col min="578" max="578" width="17.7109375" bestFit="1" customWidth="1"/>
    <col min="579" max="579" width="15.5703125" bestFit="1" customWidth="1"/>
    <col min="580" max="580" width="12.5703125" bestFit="1" customWidth="1"/>
    <col min="581" max="581" width="17.7109375" bestFit="1" customWidth="1"/>
    <col min="582" max="582" width="15.5703125" bestFit="1" customWidth="1"/>
    <col min="583" max="583" width="12.5703125" bestFit="1" customWidth="1"/>
    <col min="584" max="584" width="17.7109375" bestFit="1" customWidth="1"/>
    <col min="585" max="585" width="15.5703125" bestFit="1" customWidth="1"/>
    <col min="586" max="586" width="12.5703125" bestFit="1" customWidth="1"/>
    <col min="587" max="587" width="17.7109375" bestFit="1" customWidth="1"/>
    <col min="588" max="588" width="15.5703125" bestFit="1" customWidth="1"/>
    <col min="589" max="589" width="12.5703125" bestFit="1" customWidth="1"/>
    <col min="590" max="590" width="17.7109375" bestFit="1" customWidth="1"/>
    <col min="591" max="591" width="15.5703125" bestFit="1" customWidth="1"/>
    <col min="592" max="592" width="12.5703125" bestFit="1" customWidth="1"/>
    <col min="593" max="593" width="17.7109375" bestFit="1" customWidth="1"/>
    <col min="594" max="594" width="15.5703125" bestFit="1" customWidth="1"/>
    <col min="595" max="595" width="13.28515625" bestFit="1" customWidth="1"/>
    <col min="596" max="596" width="17.7109375" bestFit="1" customWidth="1"/>
    <col min="597" max="597" width="15.5703125" bestFit="1" customWidth="1"/>
    <col min="598" max="598" width="12.5703125" bestFit="1" customWidth="1"/>
    <col min="599" max="599" width="17.7109375" bestFit="1" customWidth="1"/>
    <col min="600" max="600" width="15.5703125" bestFit="1" customWidth="1"/>
    <col min="601" max="601" width="13.28515625" bestFit="1" customWidth="1"/>
    <col min="602" max="602" width="17.7109375" bestFit="1" customWidth="1"/>
    <col min="603" max="603" width="15.5703125" bestFit="1" customWidth="1"/>
    <col min="604" max="604" width="13.28515625" bestFit="1" customWidth="1"/>
    <col min="605" max="605" width="17.7109375" bestFit="1" customWidth="1"/>
    <col min="606" max="606" width="15.5703125" bestFit="1" customWidth="1"/>
    <col min="607" max="607" width="12.5703125" bestFit="1" customWidth="1"/>
    <col min="608" max="608" width="17.7109375" bestFit="1" customWidth="1"/>
    <col min="609" max="609" width="15.5703125" bestFit="1" customWidth="1"/>
    <col min="610" max="610" width="12.5703125" bestFit="1" customWidth="1"/>
    <col min="611" max="611" width="17.7109375" bestFit="1" customWidth="1"/>
    <col min="612" max="612" width="15.5703125" bestFit="1" customWidth="1"/>
    <col min="613" max="613" width="12.5703125" bestFit="1" customWidth="1"/>
    <col min="614" max="614" width="17.7109375" bestFit="1" customWidth="1"/>
    <col min="615" max="615" width="15.5703125" bestFit="1" customWidth="1"/>
    <col min="616" max="616" width="13.28515625" bestFit="1" customWidth="1"/>
    <col min="617" max="617" width="17.7109375" bestFit="1" customWidth="1"/>
    <col min="618" max="618" width="15.5703125" bestFit="1" customWidth="1"/>
    <col min="619" max="619" width="13.28515625" bestFit="1" customWidth="1"/>
    <col min="620" max="620" width="17.7109375" bestFit="1" customWidth="1"/>
    <col min="621" max="621" width="15.5703125" bestFit="1" customWidth="1"/>
    <col min="622" max="622" width="13.28515625" bestFit="1" customWidth="1"/>
    <col min="623" max="623" width="17.7109375" bestFit="1" customWidth="1"/>
    <col min="624" max="624" width="15.5703125" bestFit="1" customWidth="1"/>
    <col min="625" max="625" width="12.5703125" bestFit="1" customWidth="1"/>
    <col min="626" max="626" width="17.7109375" bestFit="1" customWidth="1"/>
    <col min="627" max="627" width="15.5703125" bestFit="1" customWidth="1"/>
    <col min="628" max="628" width="12.5703125" bestFit="1" customWidth="1"/>
    <col min="629" max="629" width="17.7109375" bestFit="1" customWidth="1"/>
    <col min="630" max="630" width="15.5703125" bestFit="1" customWidth="1"/>
    <col min="631" max="631" width="13.28515625" bestFit="1" customWidth="1"/>
    <col min="632" max="632" width="17.7109375" bestFit="1" customWidth="1"/>
    <col min="633" max="633" width="15.5703125" bestFit="1" customWidth="1"/>
    <col min="634" max="634" width="12.5703125" bestFit="1" customWidth="1"/>
    <col min="635" max="635" width="17.7109375" bestFit="1" customWidth="1"/>
    <col min="636" max="636" width="15.5703125" bestFit="1" customWidth="1"/>
    <col min="637" max="637" width="13.28515625" bestFit="1" customWidth="1"/>
    <col min="638" max="638" width="17.7109375" bestFit="1" customWidth="1"/>
    <col min="639" max="639" width="15.5703125" bestFit="1" customWidth="1"/>
    <col min="640" max="640" width="12.5703125" bestFit="1" customWidth="1"/>
    <col min="641" max="641" width="17.7109375" bestFit="1" customWidth="1"/>
    <col min="642" max="642" width="15.5703125" bestFit="1" customWidth="1"/>
    <col min="643" max="643" width="12.5703125" bestFit="1" customWidth="1"/>
    <col min="644" max="644" width="17.7109375" bestFit="1" customWidth="1"/>
    <col min="645" max="645" width="15.5703125" bestFit="1" customWidth="1"/>
    <col min="646" max="646" width="13.28515625" bestFit="1" customWidth="1"/>
    <col min="647" max="647" width="17.7109375" bestFit="1" customWidth="1"/>
    <col min="648" max="648" width="15.5703125" bestFit="1" customWidth="1"/>
    <col min="649" max="649" width="13.28515625" bestFit="1" customWidth="1"/>
    <col min="650" max="650" width="17.7109375" bestFit="1" customWidth="1"/>
    <col min="651" max="651" width="15.5703125" bestFit="1" customWidth="1"/>
    <col min="652" max="652" width="13.28515625" bestFit="1" customWidth="1"/>
    <col min="653" max="653" width="17.7109375" bestFit="1" customWidth="1"/>
    <col min="654" max="654" width="15.5703125" bestFit="1" customWidth="1"/>
    <col min="655" max="655" width="13.28515625" bestFit="1" customWidth="1"/>
    <col min="656" max="656" width="17.7109375" bestFit="1" customWidth="1"/>
    <col min="657" max="657" width="15.5703125" bestFit="1" customWidth="1"/>
    <col min="658" max="658" width="13.28515625" bestFit="1" customWidth="1"/>
    <col min="659" max="659" width="17.7109375" bestFit="1" customWidth="1"/>
    <col min="660" max="660" width="15.5703125" bestFit="1" customWidth="1"/>
    <col min="661" max="661" width="12.5703125" bestFit="1" customWidth="1"/>
    <col min="662" max="662" width="17.7109375" bestFit="1" customWidth="1"/>
    <col min="663" max="663" width="15.5703125" bestFit="1" customWidth="1"/>
    <col min="664" max="664" width="13.28515625" bestFit="1" customWidth="1"/>
    <col min="665" max="665" width="17.7109375" bestFit="1" customWidth="1"/>
    <col min="666" max="666" width="15.5703125" bestFit="1" customWidth="1"/>
    <col min="667" max="667" width="12.5703125" bestFit="1" customWidth="1"/>
    <col min="668" max="668" width="17.7109375" bestFit="1" customWidth="1"/>
    <col min="669" max="669" width="15.5703125" bestFit="1" customWidth="1"/>
    <col min="670" max="670" width="12.5703125" bestFit="1" customWidth="1"/>
    <col min="671" max="671" width="17.7109375" bestFit="1" customWidth="1"/>
    <col min="672" max="672" width="15.5703125" bestFit="1" customWidth="1"/>
    <col min="673" max="673" width="12.5703125" bestFit="1" customWidth="1"/>
    <col min="674" max="674" width="17.7109375" bestFit="1" customWidth="1"/>
    <col min="675" max="675" width="15.5703125" bestFit="1" customWidth="1"/>
    <col min="676" max="676" width="12.5703125" bestFit="1" customWidth="1"/>
    <col min="677" max="677" width="17.7109375" bestFit="1" customWidth="1"/>
    <col min="678" max="678" width="15.5703125" bestFit="1" customWidth="1"/>
    <col min="679" max="679" width="12.5703125" bestFit="1" customWidth="1"/>
    <col min="680" max="680" width="17.7109375" bestFit="1" customWidth="1"/>
    <col min="681" max="681" width="15.5703125" bestFit="1" customWidth="1"/>
    <col min="682" max="682" width="12.5703125" bestFit="1" customWidth="1"/>
    <col min="683" max="683" width="17.7109375" bestFit="1" customWidth="1"/>
    <col min="684" max="684" width="15.5703125" bestFit="1" customWidth="1"/>
    <col min="685" max="685" width="12.5703125" bestFit="1" customWidth="1"/>
    <col min="686" max="686" width="17.7109375" bestFit="1" customWidth="1"/>
    <col min="687" max="687" width="15.5703125" bestFit="1" customWidth="1"/>
    <col min="688" max="688" width="12.5703125" bestFit="1" customWidth="1"/>
    <col min="689" max="689" width="17.7109375" bestFit="1" customWidth="1"/>
    <col min="690" max="690" width="15.5703125" bestFit="1" customWidth="1"/>
    <col min="691" max="691" width="12.5703125" bestFit="1" customWidth="1"/>
    <col min="692" max="692" width="17.7109375" bestFit="1" customWidth="1"/>
    <col min="693" max="693" width="15.5703125" bestFit="1" customWidth="1"/>
    <col min="694" max="694" width="12.5703125" bestFit="1" customWidth="1"/>
    <col min="695" max="695" width="17.7109375" bestFit="1" customWidth="1"/>
    <col min="696" max="696" width="15.5703125" bestFit="1" customWidth="1"/>
    <col min="697" max="697" width="12.5703125" bestFit="1" customWidth="1"/>
    <col min="698" max="698" width="17.7109375" bestFit="1" customWidth="1"/>
    <col min="699" max="699" width="15.5703125" bestFit="1" customWidth="1"/>
    <col min="700" max="700" width="12.5703125" bestFit="1" customWidth="1"/>
    <col min="701" max="701" width="17.7109375" bestFit="1" customWidth="1"/>
    <col min="702" max="702" width="15.5703125" bestFit="1" customWidth="1"/>
    <col min="703" max="703" width="12.5703125" bestFit="1" customWidth="1"/>
    <col min="704" max="704" width="17.7109375" bestFit="1" customWidth="1"/>
    <col min="705" max="705" width="15.5703125" bestFit="1" customWidth="1"/>
    <col min="706" max="706" width="12.5703125" bestFit="1" customWidth="1"/>
    <col min="707" max="707" width="17.7109375" bestFit="1" customWidth="1"/>
    <col min="708" max="708" width="15.5703125" bestFit="1" customWidth="1"/>
    <col min="709" max="709" width="12.5703125" bestFit="1" customWidth="1"/>
    <col min="710" max="710" width="17.7109375" bestFit="1" customWidth="1"/>
    <col min="711" max="711" width="15.5703125" bestFit="1" customWidth="1"/>
    <col min="712" max="712" width="13.28515625" bestFit="1" customWidth="1"/>
    <col min="713" max="713" width="17.7109375" bestFit="1" customWidth="1"/>
    <col min="714" max="714" width="15.5703125" bestFit="1" customWidth="1"/>
    <col min="715" max="715" width="12.5703125" bestFit="1" customWidth="1"/>
    <col min="716" max="716" width="17.7109375" bestFit="1" customWidth="1"/>
    <col min="717" max="717" width="15.5703125" bestFit="1" customWidth="1"/>
    <col min="718" max="718" width="12.5703125" bestFit="1" customWidth="1"/>
    <col min="719" max="719" width="17.7109375" bestFit="1" customWidth="1"/>
    <col min="720" max="720" width="15.5703125" bestFit="1" customWidth="1"/>
    <col min="721" max="721" width="12.5703125" bestFit="1" customWidth="1"/>
    <col min="722" max="722" width="17.7109375" bestFit="1" customWidth="1"/>
    <col min="723" max="723" width="15.5703125" bestFit="1" customWidth="1"/>
    <col min="724" max="724" width="13.28515625" bestFit="1" customWidth="1"/>
    <col min="725" max="725" width="17.7109375" bestFit="1" customWidth="1"/>
    <col min="726" max="726" width="15.5703125" bestFit="1" customWidth="1"/>
    <col min="727" max="727" width="13.28515625" bestFit="1" customWidth="1"/>
    <col min="728" max="728" width="17.7109375" bestFit="1" customWidth="1"/>
    <col min="729" max="729" width="15.5703125" bestFit="1" customWidth="1"/>
    <col min="730" max="730" width="13.28515625" bestFit="1" customWidth="1"/>
    <col min="731" max="731" width="17.7109375" bestFit="1" customWidth="1"/>
    <col min="732" max="732" width="15.5703125" bestFit="1" customWidth="1"/>
    <col min="733" max="733" width="12.5703125" bestFit="1" customWidth="1"/>
    <col min="734" max="734" width="17.7109375" bestFit="1" customWidth="1"/>
    <col min="735" max="735" width="15.5703125" bestFit="1" customWidth="1"/>
    <col min="736" max="736" width="12.5703125" bestFit="1" customWidth="1"/>
    <col min="737" max="737" width="17.7109375" bestFit="1" customWidth="1"/>
    <col min="738" max="738" width="15.5703125" bestFit="1" customWidth="1"/>
    <col min="739" max="739" width="12.5703125" bestFit="1" customWidth="1"/>
    <col min="740" max="740" width="17.7109375" bestFit="1" customWidth="1"/>
    <col min="741" max="741" width="15.5703125" bestFit="1" customWidth="1"/>
    <col min="742" max="742" width="13.28515625" bestFit="1" customWidth="1"/>
    <col min="743" max="743" width="17.7109375" bestFit="1" customWidth="1"/>
    <col min="744" max="744" width="15.5703125" bestFit="1" customWidth="1"/>
    <col min="745" max="745" width="12.5703125" bestFit="1" customWidth="1"/>
    <col min="746" max="746" width="17.7109375" bestFit="1" customWidth="1"/>
    <col min="747" max="747" width="15.5703125" bestFit="1" customWidth="1"/>
    <col min="748" max="748" width="12.5703125" bestFit="1" customWidth="1"/>
    <col min="749" max="749" width="17.7109375" bestFit="1" customWidth="1"/>
    <col min="750" max="750" width="15.5703125" bestFit="1" customWidth="1"/>
    <col min="751" max="751" width="12.5703125" bestFit="1" customWidth="1"/>
    <col min="752" max="752" width="17.7109375" bestFit="1" customWidth="1"/>
    <col min="753" max="753" width="15.5703125" bestFit="1" customWidth="1"/>
    <col min="754" max="754" width="12.5703125" bestFit="1" customWidth="1"/>
    <col min="755" max="755" width="17.7109375" bestFit="1" customWidth="1"/>
    <col min="756" max="756" width="15.5703125" bestFit="1" customWidth="1"/>
    <col min="757" max="757" width="12.5703125" bestFit="1" customWidth="1"/>
    <col min="758" max="758" width="17.7109375" bestFit="1" customWidth="1"/>
    <col min="759" max="759" width="15.5703125" bestFit="1" customWidth="1"/>
    <col min="760" max="760" width="12.5703125" bestFit="1" customWidth="1"/>
    <col min="761" max="761" width="17.7109375" bestFit="1" customWidth="1"/>
    <col min="762" max="762" width="15.5703125" bestFit="1" customWidth="1"/>
    <col min="763" max="763" width="12.5703125" bestFit="1" customWidth="1"/>
    <col min="764" max="764" width="17.7109375" bestFit="1" customWidth="1"/>
    <col min="765" max="765" width="15.5703125" bestFit="1" customWidth="1"/>
    <col min="766" max="766" width="13.28515625" bestFit="1" customWidth="1"/>
    <col min="767" max="767" width="17.7109375" bestFit="1" customWidth="1"/>
    <col min="768" max="768" width="15.5703125" bestFit="1" customWidth="1"/>
    <col min="769" max="769" width="12.5703125" bestFit="1" customWidth="1"/>
    <col min="770" max="770" width="17.7109375" bestFit="1" customWidth="1"/>
    <col min="771" max="771" width="15.5703125" bestFit="1" customWidth="1"/>
    <col min="772" max="772" width="12.5703125" bestFit="1" customWidth="1"/>
    <col min="773" max="773" width="17.7109375" bestFit="1" customWidth="1"/>
    <col min="774" max="774" width="15.5703125" bestFit="1" customWidth="1"/>
    <col min="775" max="775" width="12.5703125" bestFit="1" customWidth="1"/>
    <col min="776" max="776" width="17.7109375" bestFit="1" customWidth="1"/>
    <col min="777" max="777" width="15.5703125" bestFit="1" customWidth="1"/>
    <col min="778" max="778" width="12.5703125" bestFit="1" customWidth="1"/>
    <col min="779" max="779" width="17.7109375" bestFit="1" customWidth="1"/>
    <col min="780" max="780" width="15.5703125" bestFit="1" customWidth="1"/>
    <col min="781" max="781" width="12.5703125" bestFit="1" customWidth="1"/>
    <col min="782" max="782" width="17.7109375" bestFit="1" customWidth="1"/>
    <col min="783" max="783" width="15.5703125" bestFit="1" customWidth="1"/>
    <col min="784" max="784" width="12.5703125" bestFit="1" customWidth="1"/>
    <col min="785" max="785" width="17.7109375" bestFit="1" customWidth="1"/>
    <col min="786" max="786" width="15.5703125" bestFit="1" customWidth="1"/>
    <col min="787" max="787" width="12.5703125" bestFit="1" customWidth="1"/>
    <col min="788" max="788" width="17.7109375" bestFit="1" customWidth="1"/>
    <col min="789" max="789" width="15.5703125" bestFit="1" customWidth="1"/>
    <col min="790" max="790" width="13.28515625" bestFit="1" customWidth="1"/>
    <col min="791" max="791" width="17.7109375" bestFit="1" customWidth="1"/>
    <col min="792" max="792" width="15.5703125" bestFit="1" customWidth="1"/>
    <col min="793" max="793" width="12.5703125" bestFit="1" customWidth="1"/>
    <col min="794" max="794" width="17.7109375" bestFit="1" customWidth="1"/>
    <col min="795" max="795" width="15.5703125" bestFit="1" customWidth="1"/>
    <col min="796" max="796" width="13.28515625" bestFit="1" customWidth="1"/>
    <col min="797" max="797" width="17.7109375" bestFit="1" customWidth="1"/>
    <col min="798" max="798" width="15.5703125" bestFit="1" customWidth="1"/>
    <col min="799" max="799" width="12.5703125" bestFit="1" customWidth="1"/>
    <col min="800" max="800" width="17.7109375" bestFit="1" customWidth="1"/>
    <col min="801" max="801" width="15.5703125" bestFit="1" customWidth="1"/>
    <col min="802" max="802" width="13.28515625" bestFit="1" customWidth="1"/>
    <col min="803" max="803" width="17.7109375" bestFit="1" customWidth="1"/>
    <col min="804" max="804" width="15.5703125" bestFit="1" customWidth="1"/>
    <col min="805" max="805" width="12.5703125" bestFit="1" customWidth="1"/>
    <col min="806" max="806" width="17.7109375" bestFit="1" customWidth="1"/>
    <col min="807" max="807" width="15.5703125" bestFit="1" customWidth="1"/>
    <col min="808" max="808" width="12.5703125" bestFit="1" customWidth="1"/>
    <col min="809" max="809" width="17.7109375" bestFit="1" customWidth="1"/>
    <col min="810" max="810" width="15.5703125" bestFit="1" customWidth="1"/>
    <col min="811" max="811" width="13.28515625" bestFit="1" customWidth="1"/>
    <col min="812" max="812" width="17.7109375" bestFit="1" customWidth="1"/>
    <col min="813" max="813" width="15.5703125" bestFit="1" customWidth="1"/>
    <col min="814" max="814" width="12.5703125" bestFit="1" customWidth="1"/>
    <col min="815" max="815" width="17.7109375" bestFit="1" customWidth="1"/>
    <col min="816" max="816" width="15.5703125" bestFit="1" customWidth="1"/>
    <col min="817" max="817" width="12.5703125" bestFit="1" customWidth="1"/>
    <col min="818" max="818" width="17.7109375" bestFit="1" customWidth="1"/>
    <col min="819" max="819" width="15.5703125" bestFit="1" customWidth="1"/>
    <col min="820" max="820" width="12.5703125" bestFit="1" customWidth="1"/>
    <col min="821" max="821" width="17.7109375" bestFit="1" customWidth="1"/>
    <col min="822" max="822" width="15.5703125" bestFit="1" customWidth="1"/>
    <col min="823" max="823" width="12.5703125" bestFit="1" customWidth="1"/>
    <col min="824" max="824" width="17.7109375" bestFit="1" customWidth="1"/>
    <col min="825" max="825" width="15.5703125" bestFit="1" customWidth="1"/>
    <col min="826" max="826" width="12.5703125" bestFit="1" customWidth="1"/>
    <col min="827" max="827" width="17.7109375" bestFit="1" customWidth="1"/>
    <col min="828" max="828" width="15.5703125" bestFit="1" customWidth="1"/>
    <col min="829" max="829" width="12.5703125" bestFit="1" customWidth="1"/>
    <col min="830" max="830" width="17.7109375" bestFit="1" customWidth="1"/>
    <col min="831" max="831" width="15.5703125" bestFit="1" customWidth="1"/>
    <col min="832" max="832" width="12.5703125" bestFit="1" customWidth="1"/>
    <col min="833" max="833" width="17.7109375" bestFit="1" customWidth="1"/>
    <col min="834" max="834" width="15.5703125" bestFit="1" customWidth="1"/>
    <col min="835" max="835" width="12.5703125" bestFit="1" customWidth="1"/>
    <col min="836" max="836" width="17.7109375" bestFit="1" customWidth="1"/>
    <col min="837" max="837" width="15.5703125" bestFit="1" customWidth="1"/>
    <col min="838" max="838" width="13.28515625" bestFit="1" customWidth="1"/>
    <col min="839" max="839" width="17.7109375" bestFit="1" customWidth="1"/>
    <col min="840" max="840" width="15.5703125" bestFit="1" customWidth="1"/>
    <col min="841" max="841" width="13.28515625" bestFit="1" customWidth="1"/>
    <col min="842" max="842" width="17.7109375" bestFit="1" customWidth="1"/>
    <col min="843" max="843" width="15.5703125" bestFit="1" customWidth="1"/>
    <col min="844" max="844" width="12.5703125" bestFit="1" customWidth="1"/>
    <col min="845" max="845" width="17.7109375" bestFit="1" customWidth="1"/>
    <col min="846" max="846" width="15.5703125" bestFit="1" customWidth="1"/>
    <col min="847" max="847" width="12.5703125" bestFit="1" customWidth="1"/>
    <col min="848" max="848" width="17.7109375" bestFit="1" customWidth="1"/>
    <col min="849" max="849" width="15.5703125" bestFit="1" customWidth="1"/>
    <col min="850" max="850" width="12.5703125" bestFit="1" customWidth="1"/>
    <col min="851" max="851" width="17.7109375" bestFit="1" customWidth="1"/>
    <col min="852" max="852" width="15.5703125" bestFit="1" customWidth="1"/>
    <col min="853" max="853" width="12.5703125" bestFit="1" customWidth="1"/>
    <col min="854" max="854" width="17.7109375" bestFit="1" customWidth="1"/>
    <col min="855" max="855" width="15.5703125" bestFit="1" customWidth="1"/>
    <col min="856" max="856" width="12.5703125" bestFit="1" customWidth="1"/>
    <col min="857" max="857" width="17.7109375" bestFit="1" customWidth="1"/>
    <col min="858" max="858" width="15.5703125" bestFit="1" customWidth="1"/>
    <col min="859" max="859" width="12.5703125" bestFit="1" customWidth="1"/>
    <col min="860" max="860" width="17.7109375" bestFit="1" customWidth="1"/>
    <col min="861" max="861" width="15.5703125" bestFit="1" customWidth="1"/>
    <col min="862" max="862" width="13.28515625" bestFit="1" customWidth="1"/>
    <col min="863" max="863" width="17.7109375" bestFit="1" customWidth="1"/>
    <col min="864" max="864" width="15.5703125" bestFit="1" customWidth="1"/>
    <col min="865" max="865" width="12.5703125" bestFit="1" customWidth="1"/>
    <col min="866" max="866" width="17.7109375" bestFit="1" customWidth="1"/>
    <col min="867" max="867" width="15.5703125" bestFit="1" customWidth="1"/>
    <col min="868" max="868" width="12.5703125" bestFit="1" customWidth="1"/>
    <col min="869" max="869" width="17.7109375" bestFit="1" customWidth="1"/>
    <col min="870" max="870" width="15.5703125" bestFit="1" customWidth="1"/>
    <col min="871" max="871" width="12.5703125" bestFit="1" customWidth="1"/>
    <col min="872" max="872" width="17.7109375" bestFit="1" customWidth="1"/>
    <col min="873" max="873" width="15.5703125" bestFit="1" customWidth="1"/>
    <col min="874" max="874" width="12.5703125" bestFit="1" customWidth="1"/>
    <col min="875" max="875" width="17.7109375" bestFit="1" customWidth="1"/>
    <col min="876" max="876" width="15.5703125" bestFit="1" customWidth="1"/>
    <col min="877" max="877" width="13.28515625" bestFit="1" customWidth="1"/>
    <col min="878" max="878" width="17.7109375" bestFit="1" customWidth="1"/>
    <col min="879" max="879" width="15.5703125" bestFit="1" customWidth="1"/>
    <col min="880" max="880" width="12.5703125" bestFit="1" customWidth="1"/>
    <col min="881" max="881" width="17.7109375" bestFit="1" customWidth="1"/>
    <col min="882" max="882" width="15.5703125" bestFit="1" customWidth="1"/>
    <col min="883" max="883" width="13.28515625" bestFit="1" customWidth="1"/>
    <col min="884" max="884" width="17.7109375" bestFit="1" customWidth="1"/>
    <col min="885" max="885" width="15.5703125" bestFit="1" customWidth="1"/>
    <col min="886" max="886" width="13.28515625" bestFit="1" customWidth="1"/>
    <col min="887" max="887" width="17.7109375" bestFit="1" customWidth="1"/>
    <col min="888" max="888" width="15.5703125" bestFit="1" customWidth="1"/>
    <col min="889" max="889" width="13.28515625" bestFit="1" customWidth="1"/>
    <col min="890" max="890" width="17.7109375" bestFit="1" customWidth="1"/>
    <col min="891" max="891" width="15.5703125" bestFit="1" customWidth="1"/>
    <col min="892" max="892" width="13.28515625" bestFit="1" customWidth="1"/>
    <col min="893" max="893" width="17.7109375" bestFit="1" customWidth="1"/>
    <col min="894" max="894" width="15.5703125" bestFit="1" customWidth="1"/>
    <col min="895" max="895" width="12.5703125" bestFit="1" customWidth="1"/>
    <col min="896" max="896" width="17.7109375" bestFit="1" customWidth="1"/>
    <col min="897" max="897" width="15.5703125" bestFit="1" customWidth="1"/>
    <col min="898" max="898" width="13.28515625" bestFit="1" customWidth="1"/>
    <col min="899" max="899" width="17.7109375" bestFit="1" customWidth="1"/>
    <col min="900" max="900" width="15.5703125" bestFit="1" customWidth="1"/>
    <col min="901" max="901" width="13.28515625" bestFit="1" customWidth="1"/>
    <col min="902" max="902" width="17.7109375" bestFit="1" customWidth="1"/>
    <col min="903" max="903" width="15.5703125" bestFit="1" customWidth="1"/>
    <col min="904" max="904" width="12.5703125" bestFit="1" customWidth="1"/>
    <col min="905" max="905" width="17.7109375" bestFit="1" customWidth="1"/>
    <col min="906" max="906" width="15.5703125" bestFit="1" customWidth="1"/>
    <col min="907" max="907" width="13.28515625" bestFit="1" customWidth="1"/>
    <col min="908" max="908" width="17.7109375" bestFit="1" customWidth="1"/>
    <col min="909" max="909" width="15.5703125" bestFit="1" customWidth="1"/>
    <col min="910" max="910" width="13.28515625" bestFit="1" customWidth="1"/>
    <col min="911" max="911" width="17.7109375" bestFit="1" customWidth="1"/>
    <col min="912" max="912" width="15.5703125" bestFit="1" customWidth="1"/>
    <col min="913" max="913" width="12.5703125" bestFit="1" customWidth="1"/>
    <col min="914" max="914" width="17.7109375" bestFit="1" customWidth="1"/>
    <col min="915" max="915" width="15.5703125" bestFit="1" customWidth="1"/>
    <col min="916" max="916" width="13.28515625" bestFit="1" customWidth="1"/>
    <col min="917" max="917" width="17.7109375" bestFit="1" customWidth="1"/>
    <col min="918" max="918" width="15.5703125" bestFit="1" customWidth="1"/>
    <col min="919" max="919" width="12.5703125" bestFit="1" customWidth="1"/>
    <col min="920" max="920" width="17.7109375" bestFit="1" customWidth="1"/>
    <col min="921" max="921" width="15.5703125" bestFit="1" customWidth="1"/>
    <col min="922" max="922" width="12.5703125" bestFit="1" customWidth="1"/>
    <col min="923" max="923" width="17.7109375" bestFit="1" customWidth="1"/>
    <col min="924" max="924" width="15.5703125" bestFit="1" customWidth="1"/>
    <col min="925" max="925" width="13.28515625" bestFit="1" customWidth="1"/>
    <col min="926" max="926" width="17.7109375" bestFit="1" customWidth="1"/>
    <col min="927" max="927" width="15.5703125" bestFit="1" customWidth="1"/>
    <col min="928" max="928" width="12.5703125" bestFit="1" customWidth="1"/>
    <col min="929" max="929" width="17.7109375" bestFit="1" customWidth="1"/>
    <col min="930" max="930" width="15.5703125" bestFit="1" customWidth="1"/>
    <col min="931" max="931" width="13.28515625" bestFit="1" customWidth="1"/>
    <col min="932" max="932" width="17.7109375" bestFit="1" customWidth="1"/>
    <col min="933" max="933" width="15.5703125" bestFit="1" customWidth="1"/>
    <col min="934" max="934" width="12.5703125" bestFit="1" customWidth="1"/>
    <col min="935" max="935" width="17.7109375" bestFit="1" customWidth="1"/>
    <col min="936" max="936" width="15.5703125" bestFit="1" customWidth="1"/>
    <col min="937" max="937" width="12.5703125" bestFit="1" customWidth="1"/>
    <col min="938" max="938" width="17.7109375" bestFit="1" customWidth="1"/>
    <col min="939" max="939" width="15.5703125" bestFit="1" customWidth="1"/>
    <col min="940" max="940" width="13.28515625" bestFit="1" customWidth="1"/>
    <col min="941" max="941" width="17.7109375" bestFit="1" customWidth="1"/>
    <col min="942" max="942" width="15.5703125" bestFit="1" customWidth="1"/>
    <col min="943" max="943" width="12.5703125" bestFit="1" customWidth="1"/>
    <col min="944" max="944" width="17.7109375" bestFit="1" customWidth="1"/>
    <col min="945" max="945" width="15.5703125" bestFit="1" customWidth="1"/>
    <col min="946" max="946" width="12.5703125" bestFit="1" customWidth="1"/>
    <col min="947" max="947" width="17.7109375" bestFit="1" customWidth="1"/>
    <col min="948" max="948" width="15.5703125" bestFit="1" customWidth="1"/>
    <col min="949" max="949" width="13.28515625" bestFit="1" customWidth="1"/>
    <col min="950" max="950" width="17.7109375" bestFit="1" customWidth="1"/>
    <col min="951" max="951" width="15.5703125" bestFit="1" customWidth="1"/>
    <col min="952" max="952" width="13.28515625" bestFit="1" customWidth="1"/>
    <col min="953" max="953" width="17.7109375" bestFit="1" customWidth="1"/>
    <col min="954" max="954" width="15.5703125" bestFit="1" customWidth="1"/>
    <col min="955" max="955" width="13.28515625" bestFit="1" customWidth="1"/>
    <col min="956" max="956" width="17.7109375" bestFit="1" customWidth="1"/>
    <col min="957" max="957" width="15.5703125" bestFit="1" customWidth="1"/>
    <col min="958" max="958" width="12.5703125" bestFit="1" customWidth="1"/>
    <col min="959" max="959" width="17.7109375" bestFit="1" customWidth="1"/>
    <col min="960" max="960" width="15.5703125" bestFit="1" customWidth="1"/>
    <col min="961" max="961" width="13.28515625" bestFit="1" customWidth="1"/>
    <col min="962" max="962" width="17.7109375" bestFit="1" customWidth="1"/>
    <col min="963" max="963" width="15.5703125" bestFit="1" customWidth="1"/>
    <col min="964" max="964" width="12.5703125" bestFit="1" customWidth="1"/>
    <col min="965" max="965" width="17.7109375" bestFit="1" customWidth="1"/>
    <col min="966" max="966" width="15.5703125" bestFit="1" customWidth="1"/>
    <col min="967" max="967" width="13.28515625" bestFit="1" customWidth="1"/>
    <col min="968" max="968" width="17.7109375" bestFit="1" customWidth="1"/>
    <col min="969" max="969" width="15.5703125" bestFit="1" customWidth="1"/>
    <col min="970" max="970" width="13.28515625" bestFit="1" customWidth="1"/>
    <col min="971" max="971" width="17.7109375" bestFit="1" customWidth="1"/>
    <col min="972" max="972" width="15.5703125" bestFit="1" customWidth="1"/>
    <col min="973" max="973" width="13.28515625" bestFit="1" customWidth="1"/>
    <col min="974" max="974" width="17.7109375" bestFit="1" customWidth="1"/>
    <col min="975" max="975" width="15.5703125" bestFit="1" customWidth="1"/>
    <col min="976" max="976" width="12.5703125" bestFit="1" customWidth="1"/>
    <col min="977" max="977" width="17.7109375" bestFit="1" customWidth="1"/>
    <col min="978" max="978" width="15.5703125" bestFit="1" customWidth="1"/>
    <col min="979" max="979" width="13.28515625" bestFit="1" customWidth="1"/>
    <col min="980" max="980" width="17.7109375" bestFit="1" customWidth="1"/>
    <col min="981" max="981" width="15.5703125" bestFit="1" customWidth="1"/>
    <col min="982" max="982" width="12.5703125" bestFit="1" customWidth="1"/>
    <col min="983" max="983" width="17.7109375" bestFit="1" customWidth="1"/>
    <col min="984" max="984" width="15.5703125" bestFit="1" customWidth="1"/>
    <col min="985" max="985" width="12.5703125" bestFit="1" customWidth="1"/>
    <col min="986" max="986" width="17.7109375" bestFit="1" customWidth="1"/>
    <col min="987" max="987" width="15.5703125" bestFit="1" customWidth="1"/>
    <col min="988" max="988" width="12.5703125" bestFit="1" customWidth="1"/>
    <col min="989" max="989" width="17.7109375" bestFit="1" customWidth="1"/>
    <col min="990" max="990" width="15.5703125" bestFit="1" customWidth="1"/>
    <col min="991" max="991" width="13.28515625" bestFit="1" customWidth="1"/>
    <col min="992" max="992" width="17.7109375" bestFit="1" customWidth="1"/>
    <col min="993" max="993" width="15.5703125" bestFit="1" customWidth="1"/>
    <col min="994" max="994" width="12.5703125" bestFit="1" customWidth="1"/>
    <col min="995" max="995" width="17.7109375" bestFit="1" customWidth="1"/>
    <col min="996" max="996" width="15.5703125" bestFit="1" customWidth="1"/>
    <col min="997" max="997" width="13.28515625" bestFit="1" customWidth="1"/>
    <col min="998" max="998" width="17.7109375" bestFit="1" customWidth="1"/>
    <col min="999" max="999" width="15.5703125" bestFit="1" customWidth="1"/>
    <col min="1000" max="1000" width="12.5703125" bestFit="1" customWidth="1"/>
    <col min="1001" max="1001" width="17.7109375" bestFit="1" customWidth="1"/>
    <col min="1002" max="1002" width="15.5703125" bestFit="1" customWidth="1"/>
    <col min="1003" max="1003" width="12.5703125" bestFit="1" customWidth="1"/>
    <col min="1004" max="1004" width="17.7109375" bestFit="1" customWidth="1"/>
    <col min="1005" max="1005" width="15.5703125" bestFit="1" customWidth="1"/>
    <col min="1006" max="1006" width="13.28515625" bestFit="1" customWidth="1"/>
    <col min="1007" max="1007" width="17.7109375" bestFit="1" customWidth="1"/>
    <col min="1008" max="1008" width="15.5703125" bestFit="1" customWidth="1"/>
    <col min="1009" max="1009" width="13.28515625" bestFit="1" customWidth="1"/>
    <col min="1010" max="1010" width="17.7109375" bestFit="1" customWidth="1"/>
    <col min="1011" max="1011" width="15.5703125" bestFit="1" customWidth="1"/>
    <col min="1012" max="1012" width="12.5703125" bestFit="1" customWidth="1"/>
    <col min="1013" max="1013" width="17.7109375" bestFit="1" customWidth="1"/>
    <col min="1014" max="1014" width="15.5703125" bestFit="1" customWidth="1"/>
    <col min="1015" max="1015" width="12.5703125" bestFit="1" customWidth="1"/>
    <col min="1016" max="1016" width="17.7109375" bestFit="1" customWidth="1"/>
    <col min="1017" max="1017" width="15.5703125" bestFit="1" customWidth="1"/>
    <col min="1018" max="1018" width="13.28515625" bestFit="1" customWidth="1"/>
    <col min="1019" max="1019" width="17.7109375" bestFit="1" customWidth="1"/>
    <col min="1020" max="1020" width="15.5703125" bestFit="1" customWidth="1"/>
    <col min="1021" max="1021" width="13.28515625" bestFit="1" customWidth="1"/>
    <col min="1022" max="1022" width="17.7109375" bestFit="1" customWidth="1"/>
    <col min="1023" max="1023" width="15.5703125" bestFit="1" customWidth="1"/>
    <col min="1024" max="1024" width="12.5703125" bestFit="1" customWidth="1"/>
    <col min="1025" max="1025" width="17.7109375" bestFit="1" customWidth="1"/>
    <col min="1026" max="1026" width="15.5703125" bestFit="1" customWidth="1"/>
    <col min="1027" max="1027" width="13.28515625" bestFit="1" customWidth="1"/>
    <col min="1028" max="1028" width="17.7109375" bestFit="1" customWidth="1"/>
    <col min="1029" max="1029" width="15.5703125" bestFit="1" customWidth="1"/>
    <col min="1030" max="1030" width="12.5703125" bestFit="1" customWidth="1"/>
    <col min="1031" max="1031" width="17.7109375" bestFit="1" customWidth="1"/>
    <col min="1032" max="1032" width="15.5703125" bestFit="1" customWidth="1"/>
    <col min="1033" max="1033" width="12.5703125" bestFit="1" customWidth="1"/>
    <col min="1034" max="1034" width="17.7109375" bestFit="1" customWidth="1"/>
    <col min="1035" max="1035" width="15.5703125" bestFit="1" customWidth="1"/>
    <col min="1036" max="1036" width="12.5703125" bestFit="1" customWidth="1"/>
    <col min="1037" max="1037" width="17.7109375" bestFit="1" customWidth="1"/>
    <col min="1038" max="1038" width="15.5703125" bestFit="1" customWidth="1"/>
    <col min="1039" max="1039" width="12.5703125" bestFit="1" customWidth="1"/>
    <col min="1040" max="1040" width="17.7109375" bestFit="1" customWidth="1"/>
    <col min="1041" max="1041" width="15.5703125" bestFit="1" customWidth="1"/>
    <col min="1042" max="1042" width="12.5703125" bestFit="1" customWidth="1"/>
    <col min="1043" max="1043" width="17.7109375" bestFit="1" customWidth="1"/>
    <col min="1044" max="1044" width="15.5703125" bestFit="1" customWidth="1"/>
    <col min="1045" max="1045" width="13.28515625" bestFit="1" customWidth="1"/>
    <col min="1046" max="1046" width="17.7109375" bestFit="1" customWidth="1"/>
    <col min="1047" max="1047" width="15.5703125" bestFit="1" customWidth="1"/>
    <col min="1048" max="1048" width="12.5703125" bestFit="1" customWidth="1"/>
    <col min="1049" max="1049" width="17.7109375" bestFit="1" customWidth="1"/>
    <col min="1050" max="1050" width="15.5703125" bestFit="1" customWidth="1"/>
    <col min="1051" max="1051" width="13.28515625" bestFit="1" customWidth="1"/>
    <col min="1052" max="1052" width="17.7109375" bestFit="1" customWidth="1"/>
    <col min="1053" max="1053" width="15.5703125" bestFit="1" customWidth="1"/>
    <col min="1054" max="1054" width="12.5703125" bestFit="1" customWidth="1"/>
    <col min="1055" max="1055" width="17.7109375" bestFit="1" customWidth="1"/>
    <col min="1056" max="1056" width="15.5703125" bestFit="1" customWidth="1"/>
    <col min="1057" max="1057" width="13.28515625" bestFit="1" customWidth="1"/>
    <col min="1058" max="1058" width="17.7109375" bestFit="1" customWidth="1"/>
    <col min="1059" max="1059" width="15.5703125" bestFit="1" customWidth="1"/>
    <col min="1060" max="1060" width="12.5703125" bestFit="1" customWidth="1"/>
    <col min="1061" max="1061" width="17.7109375" bestFit="1" customWidth="1"/>
    <col min="1062" max="1062" width="15.5703125" bestFit="1" customWidth="1"/>
    <col min="1063" max="1063" width="13.28515625" bestFit="1" customWidth="1"/>
    <col min="1064" max="1064" width="17.7109375" bestFit="1" customWidth="1"/>
    <col min="1065" max="1065" width="15.5703125" bestFit="1" customWidth="1"/>
    <col min="1066" max="1066" width="12.5703125" bestFit="1" customWidth="1"/>
    <col min="1067" max="1067" width="17.7109375" bestFit="1" customWidth="1"/>
    <col min="1068" max="1068" width="15.5703125" bestFit="1" customWidth="1"/>
    <col min="1069" max="1069" width="13.28515625" bestFit="1" customWidth="1"/>
    <col min="1070" max="1070" width="17.7109375" bestFit="1" customWidth="1"/>
    <col min="1071" max="1071" width="15.5703125" bestFit="1" customWidth="1"/>
    <col min="1072" max="1072" width="12.5703125" bestFit="1" customWidth="1"/>
    <col min="1073" max="1073" width="17.7109375" bestFit="1" customWidth="1"/>
    <col min="1074" max="1074" width="15.5703125" bestFit="1" customWidth="1"/>
    <col min="1075" max="1075" width="13.28515625" bestFit="1" customWidth="1"/>
    <col min="1076" max="1076" width="17.7109375" bestFit="1" customWidth="1"/>
    <col min="1077" max="1077" width="15.5703125" bestFit="1" customWidth="1"/>
    <col min="1078" max="1078" width="13.28515625" bestFit="1" customWidth="1"/>
    <col min="1079" max="1079" width="17.7109375" bestFit="1" customWidth="1"/>
    <col min="1080" max="1080" width="15.5703125" bestFit="1" customWidth="1"/>
    <col min="1081" max="1081" width="12.5703125" bestFit="1" customWidth="1"/>
    <col min="1082" max="1082" width="17.7109375" bestFit="1" customWidth="1"/>
    <col min="1083" max="1083" width="15.5703125" bestFit="1" customWidth="1"/>
    <col min="1084" max="1084" width="12.5703125" bestFit="1" customWidth="1"/>
    <col min="1085" max="1085" width="17.7109375" bestFit="1" customWidth="1"/>
    <col min="1086" max="1086" width="15.5703125" bestFit="1" customWidth="1"/>
    <col min="1087" max="1087" width="12.5703125" bestFit="1" customWidth="1"/>
    <col min="1088" max="1088" width="17.7109375" bestFit="1" customWidth="1"/>
    <col min="1089" max="1089" width="15.5703125" bestFit="1" customWidth="1"/>
    <col min="1090" max="1090" width="12.5703125" bestFit="1" customWidth="1"/>
    <col min="1091" max="1091" width="17.7109375" bestFit="1" customWidth="1"/>
    <col min="1092" max="1092" width="15.5703125" bestFit="1" customWidth="1"/>
    <col min="1093" max="1093" width="12.5703125" bestFit="1" customWidth="1"/>
    <col min="1094" max="1094" width="17.7109375" bestFit="1" customWidth="1"/>
    <col min="1095" max="1095" width="15.5703125" bestFit="1" customWidth="1"/>
    <col min="1096" max="1096" width="12.5703125" bestFit="1" customWidth="1"/>
    <col min="1097" max="1097" width="17.7109375" bestFit="1" customWidth="1"/>
    <col min="1098" max="1098" width="15.5703125" bestFit="1" customWidth="1"/>
    <col min="1099" max="1099" width="12.5703125" bestFit="1" customWidth="1"/>
    <col min="1100" max="1100" width="17.7109375" bestFit="1" customWidth="1"/>
    <col min="1101" max="1101" width="15.5703125" bestFit="1" customWidth="1"/>
    <col min="1102" max="1102" width="13.28515625" bestFit="1" customWidth="1"/>
    <col min="1103" max="1103" width="17.7109375" bestFit="1" customWidth="1"/>
    <col min="1104" max="1104" width="15.5703125" bestFit="1" customWidth="1"/>
    <col min="1105" max="1105" width="12.5703125" bestFit="1" customWidth="1"/>
    <col min="1106" max="1106" width="17.7109375" bestFit="1" customWidth="1"/>
    <col min="1107" max="1107" width="15.5703125" bestFit="1" customWidth="1"/>
    <col min="1108" max="1108" width="12.5703125" bestFit="1" customWidth="1"/>
    <col min="1109" max="1109" width="17.7109375" bestFit="1" customWidth="1"/>
    <col min="1110" max="1110" width="15.5703125" bestFit="1" customWidth="1"/>
    <col min="1111" max="1111" width="12.5703125" bestFit="1" customWidth="1"/>
    <col min="1112" max="1112" width="17.7109375" bestFit="1" customWidth="1"/>
    <col min="1113" max="1113" width="15.5703125" bestFit="1" customWidth="1"/>
    <col min="1114" max="1114" width="12.5703125" bestFit="1" customWidth="1"/>
    <col min="1115" max="1115" width="17.7109375" bestFit="1" customWidth="1"/>
    <col min="1116" max="1116" width="15.5703125" bestFit="1" customWidth="1"/>
    <col min="1117" max="1117" width="13.28515625" bestFit="1" customWidth="1"/>
    <col min="1118" max="1118" width="17.7109375" bestFit="1" customWidth="1"/>
    <col min="1119" max="1119" width="15.5703125" bestFit="1" customWidth="1"/>
    <col min="1120" max="1120" width="12.5703125" bestFit="1" customWidth="1"/>
    <col min="1121" max="1121" width="17.7109375" bestFit="1" customWidth="1"/>
    <col min="1122" max="1122" width="15.5703125" bestFit="1" customWidth="1"/>
    <col min="1123" max="1123" width="13.28515625" bestFit="1" customWidth="1"/>
    <col min="1124" max="1124" width="17.7109375" bestFit="1" customWidth="1"/>
    <col min="1125" max="1125" width="15.5703125" bestFit="1" customWidth="1"/>
    <col min="1126" max="1126" width="12.5703125" bestFit="1" customWidth="1"/>
    <col min="1127" max="1127" width="17.7109375" bestFit="1" customWidth="1"/>
    <col min="1128" max="1128" width="15.5703125" bestFit="1" customWidth="1"/>
    <col min="1129" max="1129" width="12.5703125" bestFit="1" customWidth="1"/>
    <col min="1130" max="1130" width="17.7109375" bestFit="1" customWidth="1"/>
    <col min="1131" max="1131" width="15.5703125" bestFit="1" customWidth="1"/>
    <col min="1132" max="1132" width="12.5703125" bestFit="1" customWidth="1"/>
    <col min="1133" max="1133" width="17.7109375" bestFit="1" customWidth="1"/>
    <col min="1134" max="1134" width="15.5703125" bestFit="1" customWidth="1"/>
    <col min="1135" max="1135" width="13.28515625" bestFit="1" customWidth="1"/>
    <col min="1136" max="1136" width="17.7109375" bestFit="1" customWidth="1"/>
    <col min="1137" max="1137" width="15.5703125" bestFit="1" customWidth="1"/>
    <col min="1138" max="1138" width="12.5703125" bestFit="1" customWidth="1"/>
    <col min="1139" max="1139" width="17.7109375" bestFit="1" customWidth="1"/>
    <col min="1140" max="1140" width="15.5703125" bestFit="1" customWidth="1"/>
    <col min="1141" max="1141" width="13.28515625" bestFit="1" customWidth="1"/>
    <col min="1142" max="1142" width="17.7109375" bestFit="1" customWidth="1"/>
    <col min="1143" max="1143" width="15.5703125" bestFit="1" customWidth="1"/>
    <col min="1144" max="1144" width="12.5703125" bestFit="1" customWidth="1"/>
    <col min="1145" max="1145" width="17.7109375" bestFit="1" customWidth="1"/>
    <col min="1146" max="1146" width="15.5703125" bestFit="1" customWidth="1"/>
    <col min="1147" max="1147" width="12.5703125" bestFit="1" customWidth="1"/>
    <col min="1148" max="1148" width="17.7109375" bestFit="1" customWidth="1"/>
    <col min="1149" max="1149" width="15.5703125" bestFit="1" customWidth="1"/>
    <col min="1150" max="1150" width="13.28515625" bestFit="1" customWidth="1"/>
    <col min="1151" max="1151" width="17.7109375" bestFit="1" customWidth="1"/>
    <col min="1152" max="1152" width="15.5703125" bestFit="1" customWidth="1"/>
    <col min="1153" max="1153" width="12.5703125" bestFit="1" customWidth="1"/>
    <col min="1154" max="1154" width="17.7109375" bestFit="1" customWidth="1"/>
    <col min="1155" max="1155" width="15.5703125" bestFit="1" customWidth="1"/>
    <col min="1156" max="1156" width="12.5703125" bestFit="1" customWidth="1"/>
    <col min="1157" max="1157" width="17.7109375" bestFit="1" customWidth="1"/>
    <col min="1158" max="1158" width="15.5703125" bestFit="1" customWidth="1"/>
    <col min="1159" max="1159" width="12.5703125" bestFit="1" customWidth="1"/>
    <col min="1160" max="1160" width="17.7109375" bestFit="1" customWidth="1"/>
    <col min="1161" max="1161" width="15.5703125" bestFit="1" customWidth="1"/>
    <col min="1162" max="1162" width="13.28515625" bestFit="1" customWidth="1"/>
    <col min="1163" max="1163" width="17.7109375" bestFit="1" customWidth="1"/>
    <col min="1164" max="1164" width="15.5703125" bestFit="1" customWidth="1"/>
    <col min="1165" max="1165" width="12.5703125" bestFit="1" customWidth="1"/>
    <col min="1166" max="1166" width="17.7109375" bestFit="1" customWidth="1"/>
    <col min="1167" max="1167" width="15.5703125" bestFit="1" customWidth="1"/>
    <col min="1168" max="1168" width="13.28515625" bestFit="1" customWidth="1"/>
    <col min="1169" max="1169" width="17.7109375" bestFit="1" customWidth="1"/>
    <col min="1170" max="1170" width="15.5703125" bestFit="1" customWidth="1"/>
    <col min="1171" max="1171" width="13.28515625" bestFit="1" customWidth="1"/>
    <col min="1172" max="1172" width="17.7109375" bestFit="1" customWidth="1"/>
    <col min="1173" max="1173" width="15.5703125" bestFit="1" customWidth="1"/>
    <col min="1174" max="1174" width="13.28515625" bestFit="1" customWidth="1"/>
    <col min="1175" max="1175" width="17.7109375" bestFit="1" customWidth="1"/>
    <col min="1176" max="1176" width="15.5703125" bestFit="1" customWidth="1"/>
    <col min="1177" max="1177" width="12.5703125" bestFit="1" customWidth="1"/>
    <col min="1178" max="1178" width="17.7109375" bestFit="1" customWidth="1"/>
    <col min="1179" max="1179" width="15.5703125" bestFit="1" customWidth="1"/>
    <col min="1180" max="1180" width="12.5703125" bestFit="1" customWidth="1"/>
    <col min="1181" max="1181" width="17.7109375" bestFit="1" customWidth="1"/>
    <col min="1182" max="1182" width="15.5703125" bestFit="1" customWidth="1"/>
    <col min="1183" max="1183" width="13.28515625" bestFit="1" customWidth="1"/>
    <col min="1184" max="1184" width="17.7109375" bestFit="1" customWidth="1"/>
    <col min="1185" max="1185" width="15.5703125" bestFit="1" customWidth="1"/>
    <col min="1186" max="1186" width="12.5703125" bestFit="1" customWidth="1"/>
    <col min="1187" max="1187" width="17.7109375" bestFit="1" customWidth="1"/>
    <col min="1188" max="1188" width="15.5703125" bestFit="1" customWidth="1"/>
    <col min="1189" max="1189" width="13.28515625" bestFit="1" customWidth="1"/>
    <col min="1190" max="1190" width="17.7109375" bestFit="1" customWidth="1"/>
    <col min="1191" max="1191" width="15.5703125" bestFit="1" customWidth="1"/>
    <col min="1192" max="1192" width="12.5703125" bestFit="1" customWidth="1"/>
    <col min="1193" max="1193" width="17.7109375" bestFit="1" customWidth="1"/>
    <col min="1194" max="1194" width="15.5703125" bestFit="1" customWidth="1"/>
    <col min="1195" max="1195" width="13.28515625" bestFit="1" customWidth="1"/>
    <col min="1196" max="1196" width="17.7109375" bestFit="1" customWidth="1"/>
    <col min="1197" max="1197" width="15.5703125" bestFit="1" customWidth="1"/>
    <col min="1198" max="1198" width="12.5703125" bestFit="1" customWidth="1"/>
    <col min="1199" max="1199" width="17.7109375" bestFit="1" customWidth="1"/>
    <col min="1200" max="1200" width="15.5703125" bestFit="1" customWidth="1"/>
    <col min="1201" max="1201" width="12.5703125" bestFit="1" customWidth="1"/>
    <col min="1202" max="1202" width="17.7109375" bestFit="1" customWidth="1"/>
    <col min="1203" max="1203" width="15.5703125" bestFit="1" customWidth="1"/>
    <col min="1204" max="1204" width="12.5703125" bestFit="1" customWidth="1"/>
    <col min="1205" max="1205" width="17.7109375" bestFit="1" customWidth="1"/>
    <col min="1206" max="1206" width="15.5703125" bestFit="1" customWidth="1"/>
    <col min="1207" max="1207" width="12.5703125" bestFit="1" customWidth="1"/>
    <col min="1208" max="1208" width="17.7109375" bestFit="1" customWidth="1"/>
    <col min="1209" max="1209" width="15.5703125" bestFit="1" customWidth="1"/>
    <col min="1210" max="1210" width="12.5703125" bestFit="1" customWidth="1"/>
    <col min="1211" max="1211" width="17.7109375" bestFit="1" customWidth="1"/>
    <col min="1212" max="1212" width="15.5703125" bestFit="1" customWidth="1"/>
    <col min="1213" max="1213" width="12.5703125" bestFit="1" customWidth="1"/>
    <col min="1214" max="1214" width="17.7109375" bestFit="1" customWidth="1"/>
    <col min="1215" max="1215" width="15.5703125" bestFit="1" customWidth="1"/>
    <col min="1216" max="1216" width="12.5703125" bestFit="1" customWidth="1"/>
    <col min="1217" max="1217" width="17.7109375" bestFit="1" customWidth="1"/>
    <col min="1218" max="1218" width="15.5703125" bestFit="1" customWidth="1"/>
    <col min="1219" max="1219" width="12.5703125" bestFit="1" customWidth="1"/>
    <col min="1220" max="1220" width="17.7109375" bestFit="1" customWidth="1"/>
    <col min="1221" max="1221" width="15.5703125" bestFit="1" customWidth="1"/>
    <col min="1222" max="1222" width="13.28515625" bestFit="1" customWidth="1"/>
    <col min="1223" max="1223" width="17.7109375" bestFit="1" customWidth="1"/>
    <col min="1224" max="1224" width="15.5703125" bestFit="1" customWidth="1"/>
    <col min="1225" max="1225" width="12.5703125" bestFit="1" customWidth="1"/>
    <col min="1226" max="1226" width="17.7109375" bestFit="1" customWidth="1"/>
    <col min="1227" max="1227" width="15.5703125" bestFit="1" customWidth="1"/>
    <col min="1228" max="1228" width="13.28515625" bestFit="1" customWidth="1"/>
    <col min="1229" max="1229" width="17.7109375" bestFit="1" customWidth="1"/>
    <col min="1230" max="1230" width="15.5703125" bestFit="1" customWidth="1"/>
    <col min="1231" max="1231" width="12.5703125" bestFit="1" customWidth="1"/>
    <col min="1232" max="1232" width="17.7109375" bestFit="1" customWidth="1"/>
    <col min="1233" max="1233" width="15.5703125" bestFit="1" customWidth="1"/>
    <col min="1234" max="1234" width="13.28515625" bestFit="1" customWidth="1"/>
    <col min="1235" max="1235" width="17.7109375" bestFit="1" customWidth="1"/>
    <col min="1236" max="1236" width="15.5703125" bestFit="1" customWidth="1"/>
    <col min="1237" max="1237" width="12.5703125" bestFit="1" customWidth="1"/>
    <col min="1238" max="1238" width="17.7109375" bestFit="1" customWidth="1"/>
    <col min="1239" max="1239" width="15.5703125" bestFit="1" customWidth="1"/>
    <col min="1240" max="1240" width="12.5703125" bestFit="1" customWidth="1"/>
    <col min="1241" max="1241" width="17.7109375" bestFit="1" customWidth="1"/>
    <col min="1242" max="1242" width="15.5703125" bestFit="1" customWidth="1"/>
    <col min="1243" max="1243" width="12.5703125" bestFit="1" customWidth="1"/>
    <col min="1244" max="1244" width="17.7109375" bestFit="1" customWidth="1"/>
    <col min="1245" max="1245" width="15.5703125" bestFit="1" customWidth="1"/>
    <col min="1246" max="1246" width="12.5703125" bestFit="1" customWidth="1"/>
    <col min="1247" max="1247" width="17.7109375" bestFit="1" customWidth="1"/>
    <col min="1248" max="1248" width="15.5703125" bestFit="1" customWidth="1"/>
    <col min="1249" max="1249" width="12.5703125" bestFit="1" customWidth="1"/>
    <col min="1250" max="1250" width="17.7109375" bestFit="1" customWidth="1"/>
    <col min="1251" max="1251" width="15.5703125" bestFit="1" customWidth="1"/>
    <col min="1252" max="1252" width="12.5703125" bestFit="1" customWidth="1"/>
    <col min="1253" max="1253" width="17.7109375" bestFit="1" customWidth="1"/>
    <col min="1254" max="1254" width="15.5703125" bestFit="1" customWidth="1"/>
    <col min="1255" max="1255" width="12.5703125" bestFit="1" customWidth="1"/>
    <col min="1256" max="1256" width="17.7109375" bestFit="1" customWidth="1"/>
    <col min="1257" max="1257" width="15.5703125" bestFit="1" customWidth="1"/>
    <col min="1258" max="1258" width="13.28515625" bestFit="1" customWidth="1"/>
    <col min="1259" max="1259" width="17.7109375" bestFit="1" customWidth="1"/>
    <col min="1260" max="1260" width="15.5703125" bestFit="1" customWidth="1"/>
    <col min="1261" max="1261" width="13.28515625" bestFit="1" customWidth="1"/>
    <col min="1262" max="1262" width="17.7109375" bestFit="1" customWidth="1"/>
    <col min="1263" max="1263" width="15.5703125" bestFit="1" customWidth="1"/>
    <col min="1264" max="1264" width="13.28515625" bestFit="1" customWidth="1"/>
    <col min="1265" max="1265" width="17.7109375" bestFit="1" customWidth="1"/>
    <col min="1266" max="1266" width="15.5703125" bestFit="1" customWidth="1"/>
    <col min="1267" max="1267" width="12.5703125" bestFit="1" customWidth="1"/>
    <col min="1268" max="1268" width="17.7109375" bestFit="1" customWidth="1"/>
    <col min="1269" max="1269" width="15.5703125" bestFit="1" customWidth="1"/>
    <col min="1270" max="1270" width="12.5703125" bestFit="1" customWidth="1"/>
    <col min="1271" max="1271" width="17.7109375" bestFit="1" customWidth="1"/>
    <col min="1272" max="1272" width="15.5703125" bestFit="1" customWidth="1"/>
    <col min="1273" max="1273" width="12.5703125" bestFit="1" customWidth="1"/>
    <col min="1274" max="1274" width="17.7109375" bestFit="1" customWidth="1"/>
    <col min="1275" max="1275" width="15.5703125" bestFit="1" customWidth="1"/>
    <col min="1276" max="1276" width="13.28515625" bestFit="1" customWidth="1"/>
    <col min="1277" max="1277" width="17.7109375" bestFit="1" customWidth="1"/>
    <col min="1278" max="1278" width="15.5703125" bestFit="1" customWidth="1"/>
    <col min="1279" max="1279" width="13.28515625" bestFit="1" customWidth="1"/>
    <col min="1280" max="1280" width="17.7109375" bestFit="1" customWidth="1"/>
    <col min="1281" max="1281" width="15.5703125" bestFit="1" customWidth="1"/>
    <col min="1282" max="1282" width="12.5703125" bestFit="1" customWidth="1"/>
    <col min="1283" max="1283" width="17.7109375" bestFit="1" customWidth="1"/>
    <col min="1284" max="1284" width="15.5703125" bestFit="1" customWidth="1"/>
    <col min="1285" max="1285" width="12.5703125" bestFit="1" customWidth="1"/>
    <col min="1286" max="1286" width="17.7109375" bestFit="1" customWidth="1"/>
    <col min="1287" max="1287" width="15.5703125" bestFit="1" customWidth="1"/>
    <col min="1288" max="1288" width="13.28515625" bestFit="1" customWidth="1"/>
    <col min="1289" max="1289" width="17.7109375" bestFit="1" customWidth="1"/>
    <col min="1290" max="1290" width="15.5703125" bestFit="1" customWidth="1"/>
    <col min="1291" max="1291" width="12.5703125" bestFit="1" customWidth="1"/>
    <col min="1292" max="1292" width="17.7109375" bestFit="1" customWidth="1"/>
    <col min="1293" max="1293" width="15.5703125" bestFit="1" customWidth="1"/>
    <col min="1294" max="1294" width="12.5703125" bestFit="1" customWidth="1"/>
    <col min="1295" max="1295" width="17.7109375" bestFit="1" customWidth="1"/>
    <col min="1296" max="1296" width="15.5703125" bestFit="1" customWidth="1"/>
    <col min="1297" max="1297" width="12.5703125" bestFit="1" customWidth="1"/>
    <col min="1298" max="1298" width="17.7109375" bestFit="1" customWidth="1"/>
    <col min="1299" max="1299" width="15.5703125" bestFit="1" customWidth="1"/>
    <col min="1300" max="1300" width="12.5703125" bestFit="1" customWidth="1"/>
    <col min="1301" max="1301" width="17.7109375" bestFit="1" customWidth="1"/>
    <col min="1302" max="1302" width="15.5703125" bestFit="1" customWidth="1"/>
    <col min="1303" max="1303" width="12.5703125" bestFit="1" customWidth="1"/>
    <col min="1304" max="1304" width="17.7109375" bestFit="1" customWidth="1"/>
    <col min="1305" max="1305" width="15.5703125" bestFit="1" customWidth="1"/>
    <col min="1306" max="1306" width="13.28515625" bestFit="1" customWidth="1"/>
    <col min="1307" max="1307" width="17.7109375" bestFit="1" customWidth="1"/>
    <col min="1308" max="1308" width="15.5703125" bestFit="1" customWidth="1"/>
    <col min="1309" max="1309" width="12.5703125" bestFit="1" customWidth="1"/>
    <col min="1310" max="1310" width="17.7109375" bestFit="1" customWidth="1"/>
    <col min="1311" max="1311" width="15.5703125" bestFit="1" customWidth="1"/>
    <col min="1312" max="1312" width="13.28515625" bestFit="1" customWidth="1"/>
    <col min="1313" max="1313" width="17.7109375" bestFit="1" customWidth="1"/>
    <col min="1314" max="1314" width="15.5703125" bestFit="1" customWidth="1"/>
    <col min="1315" max="1315" width="13.28515625" bestFit="1" customWidth="1"/>
    <col min="1316" max="1316" width="17.7109375" bestFit="1" customWidth="1"/>
    <col min="1317" max="1317" width="15.5703125" bestFit="1" customWidth="1"/>
    <col min="1318" max="1318" width="13.28515625" bestFit="1" customWidth="1"/>
    <col min="1319" max="1319" width="17.7109375" bestFit="1" customWidth="1"/>
    <col min="1320" max="1320" width="15.5703125" bestFit="1" customWidth="1"/>
    <col min="1321" max="1321" width="12.5703125" bestFit="1" customWidth="1"/>
    <col min="1322" max="1322" width="17.7109375" bestFit="1" customWidth="1"/>
    <col min="1323" max="1323" width="15.5703125" bestFit="1" customWidth="1"/>
    <col min="1324" max="1324" width="12.5703125" bestFit="1" customWidth="1"/>
    <col min="1325" max="1325" width="17.7109375" bestFit="1" customWidth="1"/>
    <col min="1326" max="1326" width="15.5703125" bestFit="1" customWidth="1"/>
    <col min="1327" max="1327" width="12.5703125" bestFit="1" customWidth="1"/>
    <col min="1328" max="1328" width="17.7109375" bestFit="1" customWidth="1"/>
    <col min="1329" max="1329" width="15.5703125" bestFit="1" customWidth="1"/>
    <col min="1330" max="1330" width="12.5703125" bestFit="1" customWidth="1"/>
    <col min="1331" max="1331" width="17.7109375" bestFit="1" customWidth="1"/>
    <col min="1332" max="1332" width="15.5703125" bestFit="1" customWidth="1"/>
    <col min="1333" max="1333" width="12.5703125" bestFit="1" customWidth="1"/>
    <col min="1334" max="1334" width="17.7109375" bestFit="1" customWidth="1"/>
    <col min="1335" max="1335" width="15.5703125" bestFit="1" customWidth="1"/>
    <col min="1336" max="1336" width="13.28515625" bestFit="1" customWidth="1"/>
    <col min="1337" max="1337" width="17.7109375" bestFit="1" customWidth="1"/>
    <col min="1338" max="1338" width="15.5703125" bestFit="1" customWidth="1"/>
    <col min="1339" max="1339" width="13.28515625" bestFit="1" customWidth="1"/>
    <col min="1340" max="1340" width="17.7109375" bestFit="1" customWidth="1"/>
    <col min="1341" max="1341" width="15.5703125" bestFit="1" customWidth="1"/>
    <col min="1342" max="1342" width="13.28515625" bestFit="1" customWidth="1"/>
    <col min="1343" max="1343" width="17.7109375" bestFit="1" customWidth="1"/>
    <col min="1344" max="1344" width="15.5703125" bestFit="1" customWidth="1"/>
    <col min="1345" max="1345" width="13.28515625" bestFit="1" customWidth="1"/>
    <col min="1346" max="1346" width="17.7109375" bestFit="1" customWidth="1"/>
    <col min="1347" max="1347" width="15.5703125" bestFit="1" customWidth="1"/>
    <col min="1348" max="1348" width="12.5703125" bestFit="1" customWidth="1"/>
    <col min="1349" max="1349" width="17.7109375" bestFit="1" customWidth="1"/>
    <col min="1350" max="1350" width="15.5703125" bestFit="1" customWidth="1"/>
    <col min="1351" max="1351" width="13.28515625" bestFit="1" customWidth="1"/>
    <col min="1352" max="1352" width="17.7109375" bestFit="1" customWidth="1"/>
    <col min="1353" max="1353" width="15.5703125" bestFit="1" customWidth="1"/>
    <col min="1354" max="1354" width="13.28515625" bestFit="1" customWidth="1"/>
    <col min="1355" max="1355" width="17.7109375" bestFit="1" customWidth="1"/>
    <col min="1356" max="1356" width="15.5703125" bestFit="1" customWidth="1"/>
    <col min="1357" max="1357" width="12.5703125" bestFit="1" customWidth="1"/>
    <col min="1358" max="1358" width="17.7109375" bestFit="1" customWidth="1"/>
    <col min="1359" max="1359" width="15.5703125" bestFit="1" customWidth="1"/>
    <col min="1360" max="1360" width="12.5703125" bestFit="1" customWidth="1"/>
    <col min="1361" max="1361" width="17.7109375" bestFit="1" customWidth="1"/>
    <col min="1362" max="1362" width="15.5703125" bestFit="1" customWidth="1"/>
    <col min="1363" max="1363" width="13.28515625" bestFit="1" customWidth="1"/>
    <col min="1364" max="1364" width="17.7109375" bestFit="1" customWidth="1"/>
    <col min="1365" max="1365" width="15.5703125" bestFit="1" customWidth="1"/>
    <col min="1366" max="1366" width="12.5703125" bestFit="1" customWidth="1"/>
    <col min="1367" max="1367" width="17.7109375" bestFit="1" customWidth="1"/>
    <col min="1368" max="1368" width="15.5703125" bestFit="1" customWidth="1"/>
    <col min="1369" max="1369" width="13.28515625" bestFit="1" customWidth="1"/>
    <col min="1370" max="1370" width="17.7109375" bestFit="1" customWidth="1"/>
    <col min="1371" max="1371" width="15.5703125" bestFit="1" customWidth="1"/>
    <col min="1372" max="1372" width="12.5703125" bestFit="1" customWidth="1"/>
    <col min="1373" max="1373" width="17.7109375" bestFit="1" customWidth="1"/>
    <col min="1374" max="1374" width="15.5703125" bestFit="1" customWidth="1"/>
    <col min="1375" max="1375" width="12.5703125" bestFit="1" customWidth="1"/>
    <col min="1376" max="1376" width="17.7109375" bestFit="1" customWidth="1"/>
    <col min="1377" max="1377" width="15.5703125" bestFit="1" customWidth="1"/>
    <col min="1378" max="1378" width="12.5703125" bestFit="1" customWidth="1"/>
    <col min="1379" max="1379" width="17.7109375" bestFit="1" customWidth="1"/>
    <col min="1380" max="1380" width="15.5703125" bestFit="1" customWidth="1"/>
    <col min="1381" max="1381" width="12.5703125" bestFit="1" customWidth="1"/>
    <col min="1382" max="1382" width="17.7109375" bestFit="1" customWidth="1"/>
    <col min="1383" max="1383" width="15.5703125" bestFit="1" customWidth="1"/>
    <col min="1384" max="1384" width="12.5703125" bestFit="1" customWidth="1"/>
    <col min="1385" max="1385" width="17.7109375" bestFit="1" customWidth="1"/>
    <col min="1386" max="1386" width="15.5703125" bestFit="1" customWidth="1"/>
    <col min="1387" max="1387" width="12.5703125" bestFit="1" customWidth="1"/>
    <col min="1388" max="1388" width="17.7109375" bestFit="1" customWidth="1"/>
    <col min="1389" max="1389" width="15.5703125" bestFit="1" customWidth="1"/>
    <col min="1390" max="1390" width="12.5703125" bestFit="1" customWidth="1"/>
    <col min="1391" max="1391" width="17.7109375" bestFit="1" customWidth="1"/>
    <col min="1392" max="1392" width="15.5703125" bestFit="1" customWidth="1"/>
    <col min="1393" max="1393" width="13.28515625" bestFit="1" customWidth="1"/>
    <col min="1394" max="1394" width="17.7109375" bestFit="1" customWidth="1"/>
    <col min="1395" max="1395" width="15.5703125" bestFit="1" customWidth="1"/>
    <col min="1396" max="1396" width="13.28515625" bestFit="1" customWidth="1"/>
    <col min="1397" max="1397" width="17.7109375" bestFit="1" customWidth="1"/>
    <col min="1398" max="1398" width="15.5703125" bestFit="1" customWidth="1"/>
    <col min="1399" max="1399" width="13.28515625" bestFit="1" customWidth="1"/>
    <col min="1400" max="1400" width="17.7109375" bestFit="1" customWidth="1"/>
    <col min="1401" max="1401" width="15.5703125" bestFit="1" customWidth="1"/>
    <col min="1402" max="1402" width="12.5703125" bestFit="1" customWidth="1"/>
    <col min="1403" max="1403" width="17.7109375" bestFit="1" customWidth="1"/>
    <col min="1404" max="1404" width="15.5703125" bestFit="1" customWidth="1"/>
    <col min="1405" max="1405" width="12.5703125" bestFit="1" customWidth="1"/>
    <col min="1406" max="1406" width="17.7109375" bestFit="1" customWidth="1"/>
    <col min="1407" max="1407" width="15.5703125" bestFit="1" customWidth="1"/>
    <col min="1408" max="1408" width="12.5703125" bestFit="1" customWidth="1"/>
    <col min="1409" max="1409" width="17.7109375" bestFit="1" customWidth="1"/>
    <col min="1410" max="1410" width="15.5703125" bestFit="1" customWidth="1"/>
    <col min="1411" max="1411" width="12.5703125" bestFit="1" customWidth="1"/>
    <col min="1412" max="1412" width="17.7109375" bestFit="1" customWidth="1"/>
    <col min="1413" max="1413" width="15.5703125" bestFit="1" customWidth="1"/>
    <col min="1414" max="1414" width="13.28515625" bestFit="1" customWidth="1"/>
    <col min="1415" max="1415" width="17.7109375" bestFit="1" customWidth="1"/>
    <col min="1416" max="1416" width="15.5703125" bestFit="1" customWidth="1"/>
    <col min="1417" max="1417" width="12.5703125" bestFit="1" customWidth="1"/>
    <col min="1418" max="1418" width="17.7109375" bestFit="1" customWidth="1"/>
    <col min="1419" max="1419" width="15.5703125" bestFit="1" customWidth="1"/>
    <col min="1420" max="1420" width="12.5703125" bestFit="1" customWidth="1"/>
    <col min="1421" max="1421" width="17.7109375" bestFit="1" customWidth="1"/>
    <col min="1422" max="1422" width="15.5703125" bestFit="1" customWidth="1"/>
    <col min="1423" max="1423" width="13.28515625" bestFit="1" customWidth="1"/>
    <col min="1424" max="1424" width="17.7109375" bestFit="1" customWidth="1"/>
    <col min="1425" max="1425" width="15.5703125" bestFit="1" customWidth="1"/>
    <col min="1426" max="1426" width="13.28515625" bestFit="1" customWidth="1"/>
    <col min="1427" max="1427" width="17.7109375" bestFit="1" customWidth="1"/>
    <col min="1428" max="1428" width="15.5703125" bestFit="1" customWidth="1"/>
    <col min="1429" max="1429" width="13.28515625" bestFit="1" customWidth="1"/>
    <col min="1430" max="1430" width="17.7109375" bestFit="1" customWidth="1"/>
    <col min="1431" max="1431" width="15.5703125" bestFit="1" customWidth="1"/>
    <col min="1432" max="1432" width="12.5703125" bestFit="1" customWidth="1"/>
    <col min="1433" max="1433" width="17.7109375" bestFit="1" customWidth="1"/>
    <col min="1434" max="1434" width="15.5703125" bestFit="1" customWidth="1"/>
    <col min="1435" max="1435" width="13.28515625" bestFit="1" customWidth="1"/>
    <col min="1436" max="1436" width="17.7109375" bestFit="1" customWidth="1"/>
    <col min="1437" max="1437" width="15.5703125" bestFit="1" customWidth="1"/>
    <col min="1438" max="1438" width="12.5703125" bestFit="1" customWidth="1"/>
    <col min="1439" max="1439" width="17.7109375" bestFit="1" customWidth="1"/>
    <col min="1440" max="1440" width="15.5703125" bestFit="1" customWidth="1"/>
    <col min="1441" max="1441" width="13.28515625" bestFit="1" customWidth="1"/>
    <col min="1442" max="1442" width="17.7109375" bestFit="1" customWidth="1"/>
    <col min="1443" max="1443" width="15.5703125" bestFit="1" customWidth="1"/>
    <col min="1444" max="1444" width="13.28515625" bestFit="1" customWidth="1"/>
    <col min="1445" max="1445" width="17.7109375" bestFit="1" customWidth="1"/>
    <col min="1446" max="1446" width="15.5703125" bestFit="1" customWidth="1"/>
    <col min="1447" max="1447" width="12.5703125" bestFit="1" customWidth="1"/>
    <col min="1448" max="1448" width="17.7109375" bestFit="1" customWidth="1"/>
    <col min="1449" max="1449" width="15.5703125" bestFit="1" customWidth="1"/>
    <col min="1450" max="1450" width="12.5703125" bestFit="1" customWidth="1"/>
    <col min="1451" max="1451" width="17.7109375" bestFit="1" customWidth="1"/>
    <col min="1452" max="1452" width="15.5703125" bestFit="1" customWidth="1"/>
    <col min="1453" max="1453" width="12.5703125" bestFit="1" customWidth="1"/>
    <col min="1454" max="1454" width="17.7109375" bestFit="1" customWidth="1"/>
    <col min="1455" max="1455" width="15.5703125" bestFit="1" customWidth="1"/>
    <col min="1456" max="1456" width="12.5703125" bestFit="1" customWidth="1"/>
    <col min="1457" max="1457" width="17.7109375" bestFit="1" customWidth="1"/>
    <col min="1458" max="1458" width="15.5703125" bestFit="1" customWidth="1"/>
    <col min="1459" max="1459" width="12.5703125" bestFit="1" customWidth="1"/>
    <col min="1460" max="1460" width="17.7109375" bestFit="1" customWidth="1"/>
    <col min="1461" max="1461" width="15.5703125" bestFit="1" customWidth="1"/>
    <col min="1462" max="1462" width="12.5703125" bestFit="1" customWidth="1"/>
    <col min="1463" max="1463" width="17.7109375" bestFit="1" customWidth="1"/>
    <col min="1464" max="1464" width="15.5703125" bestFit="1" customWidth="1"/>
    <col min="1465" max="1465" width="13.28515625" bestFit="1" customWidth="1"/>
    <col min="1466" max="1466" width="17.7109375" bestFit="1" customWidth="1"/>
    <col min="1467" max="1467" width="15.5703125" bestFit="1" customWidth="1"/>
    <col min="1468" max="1468" width="12.5703125" bestFit="1" customWidth="1"/>
    <col min="1469" max="1469" width="17.7109375" bestFit="1" customWidth="1"/>
    <col min="1470" max="1470" width="15.5703125" bestFit="1" customWidth="1"/>
    <col min="1471" max="1471" width="13.28515625" bestFit="1" customWidth="1"/>
    <col min="1472" max="1472" width="17.7109375" bestFit="1" customWidth="1"/>
    <col min="1473" max="1473" width="15.5703125" bestFit="1" customWidth="1"/>
    <col min="1474" max="1474" width="12.5703125" bestFit="1" customWidth="1"/>
    <col min="1475" max="1475" width="17.7109375" bestFit="1" customWidth="1"/>
    <col min="1476" max="1476" width="15.5703125" bestFit="1" customWidth="1"/>
    <col min="1477" max="1477" width="12.5703125" bestFit="1" customWidth="1"/>
    <col min="1478" max="1478" width="17.7109375" bestFit="1" customWidth="1"/>
    <col min="1479" max="1479" width="15.5703125" bestFit="1" customWidth="1"/>
    <col min="1480" max="1480" width="12.5703125" bestFit="1" customWidth="1"/>
    <col min="1481" max="1481" width="17.7109375" bestFit="1" customWidth="1"/>
    <col min="1482" max="1482" width="15.5703125" bestFit="1" customWidth="1"/>
    <col min="1483" max="1483" width="13.28515625" bestFit="1" customWidth="1"/>
    <col min="1484" max="1484" width="17.7109375" bestFit="1" customWidth="1"/>
    <col min="1485" max="1485" width="15.5703125" bestFit="1" customWidth="1"/>
    <col min="1486" max="1486" width="12.5703125" bestFit="1" customWidth="1"/>
    <col min="1487" max="1487" width="17.7109375" bestFit="1" customWidth="1"/>
    <col min="1488" max="1488" width="15.5703125" bestFit="1" customWidth="1"/>
    <col min="1489" max="1489" width="12.5703125" bestFit="1" customWidth="1"/>
    <col min="1490" max="1490" width="17.7109375" bestFit="1" customWidth="1"/>
    <col min="1491" max="1491" width="15.5703125" bestFit="1" customWidth="1"/>
    <col min="1492" max="1492" width="12.5703125" bestFit="1" customWidth="1"/>
    <col min="1493" max="1493" width="17.7109375" bestFit="1" customWidth="1"/>
    <col min="1494" max="1494" width="15.5703125" bestFit="1" customWidth="1"/>
    <col min="1495" max="1495" width="13.28515625" bestFit="1" customWidth="1"/>
    <col min="1496" max="1496" width="17.7109375" bestFit="1" customWidth="1"/>
    <col min="1497" max="1497" width="15.5703125" bestFit="1" customWidth="1"/>
    <col min="1498" max="1498" width="13.28515625" bestFit="1" customWidth="1"/>
    <col min="1499" max="1499" width="17.7109375" bestFit="1" customWidth="1"/>
    <col min="1500" max="1500" width="15.5703125" bestFit="1" customWidth="1"/>
    <col min="1501" max="1501" width="12.5703125" bestFit="1" customWidth="1"/>
    <col min="1502" max="1502" width="17.7109375" bestFit="1" customWidth="1"/>
    <col min="1503" max="1503" width="15.5703125" bestFit="1" customWidth="1"/>
    <col min="1504" max="1504" width="12.5703125" bestFit="1" customWidth="1"/>
    <col min="1505" max="1505" width="17.7109375" bestFit="1" customWidth="1"/>
    <col min="1506" max="1506" width="15.5703125" bestFit="1" customWidth="1"/>
    <col min="1507" max="1507" width="12.5703125" bestFit="1" customWidth="1"/>
    <col min="1508" max="1508" width="17.7109375" bestFit="1" customWidth="1"/>
    <col min="1509" max="1509" width="15.5703125" bestFit="1" customWidth="1"/>
    <col min="1510" max="1510" width="12.5703125" bestFit="1" customWidth="1"/>
    <col min="1511" max="1511" width="17.7109375" bestFit="1" customWidth="1"/>
    <col min="1512" max="1512" width="15.5703125" bestFit="1" customWidth="1"/>
    <col min="1513" max="1513" width="13.28515625" bestFit="1" customWidth="1"/>
    <col min="1514" max="1514" width="17.7109375" bestFit="1" customWidth="1"/>
    <col min="1515" max="1515" width="15.5703125" bestFit="1" customWidth="1"/>
    <col min="1516" max="1516" width="12.5703125" bestFit="1" customWidth="1"/>
    <col min="1517" max="1517" width="17.7109375" bestFit="1" customWidth="1"/>
    <col min="1518" max="1518" width="15.5703125" bestFit="1" customWidth="1"/>
    <col min="1519" max="1519" width="13.28515625" bestFit="1" customWidth="1"/>
    <col min="1520" max="1520" width="17.7109375" bestFit="1" customWidth="1"/>
    <col min="1521" max="1521" width="15.5703125" bestFit="1" customWidth="1"/>
    <col min="1522" max="1522" width="12.5703125" bestFit="1" customWidth="1"/>
    <col min="1523" max="1523" width="17.7109375" bestFit="1" customWidth="1"/>
    <col min="1524" max="1524" width="15.5703125" bestFit="1" customWidth="1"/>
    <col min="1525" max="1525" width="13.28515625" bestFit="1" customWidth="1"/>
    <col min="1526" max="1526" width="17.7109375" bestFit="1" customWidth="1"/>
    <col min="1527" max="1527" width="15.5703125" bestFit="1" customWidth="1"/>
    <col min="1528" max="1528" width="13.28515625" bestFit="1" customWidth="1"/>
    <col min="1529" max="1529" width="17.7109375" bestFit="1" customWidth="1"/>
    <col min="1530" max="1530" width="15.5703125" bestFit="1" customWidth="1"/>
    <col min="1531" max="1531" width="13.28515625" bestFit="1" customWidth="1"/>
    <col min="1532" max="1532" width="17.7109375" bestFit="1" customWidth="1"/>
    <col min="1533" max="1533" width="15.5703125" bestFit="1" customWidth="1"/>
    <col min="1534" max="1534" width="12.5703125" bestFit="1" customWidth="1"/>
    <col min="1535" max="1535" width="17.7109375" bestFit="1" customWidth="1"/>
    <col min="1536" max="1536" width="15.5703125" bestFit="1" customWidth="1"/>
    <col min="1537" max="1537" width="12.5703125" bestFit="1" customWidth="1"/>
    <col min="1538" max="1538" width="17.7109375" bestFit="1" customWidth="1"/>
    <col min="1539" max="1539" width="15.5703125" bestFit="1" customWidth="1"/>
    <col min="1540" max="1540" width="12.5703125" bestFit="1" customWidth="1"/>
    <col min="1541" max="1541" width="17.7109375" bestFit="1" customWidth="1"/>
    <col min="1542" max="1542" width="15.5703125" bestFit="1" customWidth="1"/>
    <col min="1543" max="1543" width="12.5703125" bestFit="1" customWidth="1"/>
    <col min="1544" max="1544" width="17.7109375" bestFit="1" customWidth="1"/>
    <col min="1545" max="1545" width="15.5703125" bestFit="1" customWidth="1"/>
    <col min="1546" max="1546" width="13.28515625" bestFit="1" customWidth="1"/>
    <col min="1547" max="1547" width="17.7109375" bestFit="1" customWidth="1"/>
    <col min="1548" max="1548" width="15.5703125" bestFit="1" customWidth="1"/>
    <col min="1549" max="1549" width="12.5703125" bestFit="1" customWidth="1"/>
    <col min="1550" max="1550" width="17.7109375" bestFit="1" customWidth="1"/>
    <col min="1551" max="1551" width="15.5703125" bestFit="1" customWidth="1"/>
    <col min="1552" max="1552" width="12.5703125" bestFit="1" customWidth="1"/>
    <col min="1553" max="1553" width="17.7109375" bestFit="1" customWidth="1"/>
    <col min="1554" max="1554" width="15.5703125" bestFit="1" customWidth="1"/>
    <col min="1555" max="1555" width="13.28515625" bestFit="1" customWidth="1"/>
    <col min="1556" max="1556" width="17.7109375" bestFit="1" customWidth="1"/>
    <col min="1557" max="1557" width="15.5703125" bestFit="1" customWidth="1"/>
    <col min="1558" max="1558" width="12.5703125" bestFit="1" customWidth="1"/>
    <col min="1559" max="1559" width="17.7109375" bestFit="1" customWidth="1"/>
    <col min="1560" max="1560" width="15.5703125" bestFit="1" customWidth="1"/>
    <col min="1561" max="1561" width="13.28515625" bestFit="1" customWidth="1"/>
    <col min="1562" max="1562" width="17.7109375" bestFit="1" customWidth="1"/>
    <col min="1563" max="1563" width="15.5703125" bestFit="1" customWidth="1"/>
    <col min="1564" max="1564" width="13.28515625" bestFit="1" customWidth="1"/>
    <col min="1565" max="1565" width="17.7109375" bestFit="1" customWidth="1"/>
    <col min="1566" max="1566" width="15.5703125" bestFit="1" customWidth="1"/>
    <col min="1567" max="1567" width="12.5703125" bestFit="1" customWidth="1"/>
    <col min="1568" max="1568" width="17.7109375" bestFit="1" customWidth="1"/>
    <col min="1569" max="1569" width="15.5703125" bestFit="1" customWidth="1"/>
    <col min="1570" max="1570" width="12.5703125" bestFit="1" customWidth="1"/>
    <col min="1571" max="1571" width="17.7109375" bestFit="1" customWidth="1"/>
    <col min="1572" max="1572" width="15.5703125" bestFit="1" customWidth="1"/>
    <col min="1573" max="1573" width="13.28515625" bestFit="1" customWidth="1"/>
    <col min="1574" max="1574" width="17.7109375" bestFit="1" customWidth="1"/>
    <col min="1575" max="1575" width="15.5703125" bestFit="1" customWidth="1"/>
    <col min="1576" max="1576" width="12.5703125" bestFit="1" customWidth="1"/>
    <col min="1577" max="1577" width="17.7109375" bestFit="1" customWidth="1"/>
    <col min="1578" max="1578" width="15.5703125" bestFit="1" customWidth="1"/>
    <col min="1579" max="1579" width="13.28515625" bestFit="1" customWidth="1"/>
    <col min="1580" max="1580" width="17.7109375" bestFit="1" customWidth="1"/>
    <col min="1581" max="1581" width="15.5703125" bestFit="1" customWidth="1"/>
    <col min="1582" max="1582" width="12.5703125" bestFit="1" customWidth="1"/>
    <col min="1583" max="1583" width="17.7109375" bestFit="1" customWidth="1"/>
    <col min="1584" max="1584" width="15.5703125" bestFit="1" customWidth="1"/>
    <col min="1585" max="1585" width="12.5703125" bestFit="1" customWidth="1"/>
    <col min="1586" max="1586" width="17.7109375" bestFit="1" customWidth="1"/>
    <col min="1587" max="1587" width="15.5703125" bestFit="1" customWidth="1"/>
    <col min="1588" max="1588" width="13.28515625" bestFit="1" customWidth="1"/>
    <col min="1589" max="1589" width="17.7109375" bestFit="1" customWidth="1"/>
    <col min="1590" max="1590" width="15.5703125" bestFit="1" customWidth="1"/>
    <col min="1591" max="1591" width="13.28515625" bestFit="1" customWidth="1"/>
    <col min="1592" max="1592" width="17.7109375" bestFit="1" customWidth="1"/>
    <col min="1593" max="1593" width="15.5703125" bestFit="1" customWidth="1"/>
    <col min="1594" max="1594" width="12.5703125" bestFit="1" customWidth="1"/>
    <col min="1595" max="1595" width="17.7109375" bestFit="1" customWidth="1"/>
    <col min="1596" max="1596" width="15.5703125" bestFit="1" customWidth="1"/>
    <col min="1597" max="1597" width="12.5703125" bestFit="1" customWidth="1"/>
    <col min="1598" max="1598" width="17.7109375" bestFit="1" customWidth="1"/>
    <col min="1599" max="1599" width="15.5703125" bestFit="1" customWidth="1"/>
    <col min="1600" max="1600" width="13.28515625" bestFit="1" customWidth="1"/>
    <col min="1601" max="1601" width="17.7109375" bestFit="1" customWidth="1"/>
    <col min="1602" max="1602" width="15.5703125" bestFit="1" customWidth="1"/>
    <col min="1603" max="1603" width="12.5703125" bestFit="1" customWidth="1"/>
    <col min="1604" max="1604" width="17.7109375" bestFit="1" customWidth="1"/>
    <col min="1605" max="1605" width="15.5703125" bestFit="1" customWidth="1"/>
    <col min="1606" max="1606" width="13.28515625" bestFit="1" customWidth="1"/>
    <col min="1607" max="1607" width="17.7109375" bestFit="1" customWidth="1"/>
    <col min="1608" max="1608" width="15.5703125" bestFit="1" customWidth="1"/>
    <col min="1609" max="1609" width="12.5703125" bestFit="1" customWidth="1"/>
    <col min="1610" max="1610" width="17.7109375" bestFit="1" customWidth="1"/>
    <col min="1611" max="1611" width="15.5703125" bestFit="1" customWidth="1"/>
    <col min="1612" max="1612" width="13.28515625" bestFit="1" customWidth="1"/>
    <col min="1613" max="1613" width="17.7109375" bestFit="1" customWidth="1"/>
    <col min="1614" max="1614" width="15.5703125" bestFit="1" customWidth="1"/>
    <col min="1615" max="1615" width="12.5703125" bestFit="1" customWidth="1"/>
    <col min="1616" max="1616" width="17.7109375" bestFit="1" customWidth="1"/>
    <col min="1617" max="1617" width="15.5703125" bestFit="1" customWidth="1"/>
    <col min="1618" max="1618" width="12.5703125" bestFit="1" customWidth="1"/>
    <col min="1619" max="1619" width="17.7109375" bestFit="1" customWidth="1"/>
    <col min="1620" max="1620" width="15.5703125" bestFit="1" customWidth="1"/>
    <col min="1621" max="1621" width="12.5703125" bestFit="1" customWidth="1"/>
    <col min="1622" max="1622" width="17.7109375" bestFit="1" customWidth="1"/>
    <col min="1623" max="1623" width="15.5703125" bestFit="1" customWidth="1"/>
    <col min="1624" max="1624" width="13.28515625" bestFit="1" customWidth="1"/>
    <col min="1625" max="1625" width="17.7109375" bestFit="1" customWidth="1"/>
    <col min="1626" max="1626" width="15.5703125" bestFit="1" customWidth="1"/>
    <col min="1627" max="1627" width="12.5703125" bestFit="1" customWidth="1"/>
    <col min="1628" max="1628" width="17.7109375" bestFit="1" customWidth="1"/>
    <col min="1629" max="1629" width="15.5703125" bestFit="1" customWidth="1"/>
    <col min="1630" max="1630" width="12.5703125" bestFit="1" customWidth="1"/>
    <col min="1631" max="1631" width="17.7109375" bestFit="1" customWidth="1"/>
    <col min="1632" max="1632" width="15.5703125" bestFit="1" customWidth="1"/>
    <col min="1633" max="1633" width="12.5703125" bestFit="1" customWidth="1"/>
    <col min="1634" max="1634" width="17.7109375" bestFit="1" customWidth="1"/>
    <col min="1635" max="1635" width="15.5703125" bestFit="1" customWidth="1"/>
    <col min="1636" max="1636" width="13.28515625" bestFit="1" customWidth="1"/>
    <col min="1637" max="1637" width="17.7109375" bestFit="1" customWidth="1"/>
    <col min="1638" max="1638" width="15.5703125" bestFit="1" customWidth="1"/>
    <col min="1639" max="1639" width="13.28515625" bestFit="1" customWidth="1"/>
    <col min="1640" max="1640" width="17.7109375" bestFit="1" customWidth="1"/>
    <col min="1641" max="1641" width="15.5703125" bestFit="1" customWidth="1"/>
    <col min="1642" max="1642" width="13.28515625" bestFit="1" customWidth="1"/>
    <col min="1643" max="1643" width="17.7109375" bestFit="1" customWidth="1"/>
    <col min="1644" max="1644" width="15.5703125" bestFit="1" customWidth="1"/>
    <col min="1645" max="1645" width="12.5703125" bestFit="1" customWidth="1"/>
    <col min="1646" max="1646" width="17.7109375" bestFit="1" customWidth="1"/>
    <col min="1647" max="1647" width="15.5703125" bestFit="1" customWidth="1"/>
    <col min="1648" max="1648" width="12.5703125" bestFit="1" customWidth="1"/>
    <col min="1649" max="1649" width="17.7109375" bestFit="1" customWidth="1"/>
    <col min="1650" max="1650" width="15.5703125" bestFit="1" customWidth="1"/>
    <col min="1651" max="1651" width="13.28515625" bestFit="1" customWidth="1"/>
    <col min="1652" max="1652" width="17.7109375" bestFit="1" customWidth="1"/>
    <col min="1653" max="1653" width="15.5703125" bestFit="1" customWidth="1"/>
    <col min="1654" max="1654" width="13.28515625" bestFit="1" customWidth="1"/>
    <col min="1655" max="1655" width="17.7109375" bestFit="1" customWidth="1"/>
    <col min="1656" max="1656" width="15.5703125" bestFit="1" customWidth="1"/>
    <col min="1657" max="1657" width="12.5703125" bestFit="1" customWidth="1"/>
    <col min="1658" max="1658" width="17.7109375" bestFit="1" customWidth="1"/>
    <col min="1659" max="1659" width="15.5703125" bestFit="1" customWidth="1"/>
    <col min="1660" max="1660" width="12.5703125" bestFit="1" customWidth="1"/>
    <col min="1661" max="1661" width="17.7109375" bestFit="1" customWidth="1"/>
    <col min="1662" max="1662" width="15.5703125" bestFit="1" customWidth="1"/>
    <col min="1663" max="1663" width="13.28515625" bestFit="1" customWidth="1"/>
    <col min="1664" max="1664" width="17.7109375" bestFit="1" customWidth="1"/>
    <col min="1665" max="1665" width="15.5703125" bestFit="1" customWidth="1"/>
    <col min="1666" max="1666" width="12.5703125" bestFit="1" customWidth="1"/>
    <col min="1667" max="1667" width="17.7109375" bestFit="1" customWidth="1"/>
    <col min="1668" max="1668" width="15.5703125" bestFit="1" customWidth="1"/>
    <col min="1669" max="1669" width="12.5703125" bestFit="1" customWidth="1"/>
    <col min="1670" max="1670" width="17.7109375" bestFit="1" customWidth="1"/>
    <col min="1671" max="1671" width="15.5703125" bestFit="1" customWidth="1"/>
    <col min="1672" max="1672" width="12.5703125" bestFit="1" customWidth="1"/>
    <col min="1673" max="1673" width="17.7109375" bestFit="1" customWidth="1"/>
    <col min="1674" max="1674" width="15.5703125" bestFit="1" customWidth="1"/>
    <col min="1675" max="1675" width="12.5703125" bestFit="1" customWidth="1"/>
    <col min="1676" max="1676" width="17.7109375" bestFit="1" customWidth="1"/>
    <col min="1677" max="1677" width="15.5703125" bestFit="1" customWidth="1"/>
    <col min="1678" max="1678" width="12.5703125" bestFit="1" customWidth="1"/>
    <col min="1679" max="1679" width="17.7109375" bestFit="1" customWidth="1"/>
    <col min="1680" max="1680" width="15.5703125" bestFit="1" customWidth="1"/>
    <col min="1681" max="1681" width="13.28515625" bestFit="1" customWidth="1"/>
    <col min="1682" max="1682" width="17.7109375" bestFit="1" customWidth="1"/>
    <col min="1683" max="1683" width="15.5703125" bestFit="1" customWidth="1"/>
    <col min="1684" max="1684" width="13.28515625" bestFit="1" customWidth="1"/>
    <col min="1685" max="1685" width="17.7109375" bestFit="1" customWidth="1"/>
    <col min="1686" max="1686" width="15.5703125" bestFit="1" customWidth="1"/>
    <col min="1687" max="1687" width="13.28515625" bestFit="1" customWidth="1"/>
    <col min="1688" max="1688" width="17.7109375" bestFit="1" customWidth="1"/>
    <col min="1689" max="1689" width="15.5703125" bestFit="1" customWidth="1"/>
    <col min="1690" max="1690" width="13.28515625" bestFit="1" customWidth="1"/>
    <col min="1691" max="1691" width="17.7109375" bestFit="1" customWidth="1"/>
    <col min="1692" max="1692" width="15.5703125" bestFit="1" customWidth="1"/>
    <col min="1693" max="1693" width="13.28515625" bestFit="1" customWidth="1"/>
    <col min="1694" max="1694" width="17.7109375" bestFit="1" customWidth="1"/>
    <col min="1695" max="1695" width="15.5703125" bestFit="1" customWidth="1"/>
    <col min="1696" max="1696" width="12.5703125" bestFit="1" customWidth="1"/>
    <col min="1697" max="1697" width="17.7109375" bestFit="1" customWidth="1"/>
    <col min="1698" max="1698" width="15.5703125" bestFit="1" customWidth="1"/>
    <col min="1699" max="1699" width="13.28515625" bestFit="1" customWidth="1"/>
    <col min="1700" max="1700" width="17.7109375" bestFit="1" customWidth="1"/>
    <col min="1701" max="1701" width="15.5703125" bestFit="1" customWidth="1"/>
    <col min="1702" max="1702" width="13.28515625" bestFit="1" customWidth="1"/>
    <col min="1703" max="1703" width="17.7109375" bestFit="1" customWidth="1"/>
    <col min="1704" max="1704" width="15.5703125" bestFit="1" customWidth="1"/>
    <col min="1705" max="1705" width="12.5703125" bestFit="1" customWidth="1"/>
    <col min="1706" max="1706" width="17.7109375" bestFit="1" customWidth="1"/>
    <col min="1707" max="1707" width="15.5703125" bestFit="1" customWidth="1"/>
    <col min="1708" max="1708" width="12.5703125" bestFit="1" customWidth="1"/>
    <col min="1709" max="1709" width="17.7109375" bestFit="1" customWidth="1"/>
    <col min="1710" max="1710" width="15.5703125" bestFit="1" customWidth="1"/>
    <col min="1711" max="1711" width="13.28515625" bestFit="1" customWidth="1"/>
    <col min="1712" max="1712" width="17.7109375" bestFit="1" customWidth="1"/>
    <col min="1713" max="1713" width="15.5703125" bestFit="1" customWidth="1"/>
    <col min="1714" max="1714" width="12.5703125" bestFit="1" customWidth="1"/>
    <col min="1715" max="1715" width="17.7109375" bestFit="1" customWidth="1"/>
    <col min="1716" max="1716" width="15.5703125" bestFit="1" customWidth="1"/>
    <col min="1717" max="1717" width="12.5703125" bestFit="1" customWidth="1"/>
    <col min="1718" max="1718" width="17.7109375" bestFit="1" customWidth="1"/>
    <col min="1719" max="1719" width="15.5703125" bestFit="1" customWidth="1"/>
    <col min="1720" max="1720" width="12.5703125" bestFit="1" customWidth="1"/>
    <col min="1721" max="1721" width="17.7109375" bestFit="1" customWidth="1"/>
    <col min="1722" max="1722" width="15.5703125" bestFit="1" customWidth="1"/>
    <col min="1723" max="1723" width="13.28515625" bestFit="1" customWidth="1"/>
    <col min="1724" max="1724" width="17.7109375" bestFit="1" customWidth="1"/>
    <col min="1725" max="1725" width="15.5703125" bestFit="1" customWidth="1"/>
    <col min="1726" max="1726" width="12.5703125" bestFit="1" customWidth="1"/>
    <col min="1727" max="1727" width="17.7109375" bestFit="1" customWidth="1"/>
    <col min="1728" max="1728" width="15.5703125" bestFit="1" customWidth="1"/>
    <col min="1729" max="1729" width="12.5703125" bestFit="1" customWidth="1"/>
    <col min="1730" max="1730" width="17.7109375" bestFit="1" customWidth="1"/>
    <col min="1731" max="1731" width="15.5703125" bestFit="1" customWidth="1"/>
    <col min="1732" max="1732" width="13.28515625" bestFit="1" customWidth="1"/>
    <col min="1733" max="1733" width="17.7109375" bestFit="1" customWidth="1"/>
    <col min="1734" max="1734" width="15.5703125" bestFit="1" customWidth="1"/>
    <col min="1735" max="1735" width="13.28515625" bestFit="1" customWidth="1"/>
    <col min="1736" max="1736" width="17.7109375" bestFit="1" customWidth="1"/>
    <col min="1737" max="1737" width="15.5703125" bestFit="1" customWidth="1"/>
    <col min="1738" max="1738" width="12.5703125" bestFit="1" customWidth="1"/>
    <col min="1739" max="1739" width="17.7109375" bestFit="1" customWidth="1"/>
    <col min="1740" max="1740" width="15.5703125" bestFit="1" customWidth="1"/>
    <col min="1741" max="1741" width="13.28515625" bestFit="1" customWidth="1"/>
    <col min="1742" max="1742" width="17.7109375" bestFit="1" customWidth="1"/>
    <col min="1743" max="1743" width="15.5703125" bestFit="1" customWidth="1"/>
    <col min="1744" max="1744" width="12.5703125" bestFit="1" customWidth="1"/>
    <col min="1745" max="1745" width="17.7109375" bestFit="1" customWidth="1"/>
    <col min="1746" max="1746" width="15.5703125" bestFit="1" customWidth="1"/>
    <col min="1747" max="1747" width="13.28515625" bestFit="1" customWidth="1"/>
    <col min="1748" max="1748" width="17.7109375" bestFit="1" customWidth="1"/>
    <col min="1749" max="1749" width="15.5703125" bestFit="1" customWidth="1"/>
    <col min="1750" max="1750" width="12.5703125" bestFit="1" customWidth="1"/>
    <col min="1751" max="1751" width="17.7109375" bestFit="1" customWidth="1"/>
    <col min="1752" max="1752" width="15.5703125" bestFit="1" customWidth="1"/>
    <col min="1753" max="1753" width="13.28515625" bestFit="1" customWidth="1"/>
    <col min="1754" max="1754" width="17.7109375" bestFit="1" customWidth="1"/>
    <col min="1755" max="1755" width="15.5703125" bestFit="1" customWidth="1"/>
    <col min="1756" max="1756" width="12.5703125" bestFit="1" customWidth="1"/>
    <col min="1757" max="1757" width="17.7109375" bestFit="1" customWidth="1"/>
    <col min="1758" max="1758" width="15.5703125" bestFit="1" customWidth="1"/>
    <col min="1759" max="1759" width="12.5703125" bestFit="1" customWidth="1"/>
    <col min="1760" max="1760" width="17.7109375" bestFit="1" customWidth="1"/>
    <col min="1761" max="1761" width="15.5703125" bestFit="1" customWidth="1"/>
    <col min="1762" max="1762" width="12.5703125" bestFit="1" customWidth="1"/>
    <col min="1763" max="1763" width="17.7109375" bestFit="1" customWidth="1"/>
    <col min="1764" max="1764" width="15.5703125" bestFit="1" customWidth="1"/>
    <col min="1765" max="1765" width="13.28515625" bestFit="1" customWidth="1"/>
    <col min="1766" max="1766" width="17.7109375" bestFit="1" customWidth="1"/>
    <col min="1767" max="1767" width="15.5703125" bestFit="1" customWidth="1"/>
    <col min="1768" max="1768" width="12.5703125" bestFit="1" customWidth="1"/>
    <col min="1769" max="1769" width="17.7109375" bestFit="1" customWidth="1"/>
    <col min="1770" max="1770" width="15.5703125" bestFit="1" customWidth="1"/>
    <col min="1771" max="1771" width="12.5703125" bestFit="1" customWidth="1"/>
    <col min="1772" max="1772" width="17.7109375" bestFit="1" customWidth="1"/>
    <col min="1773" max="1773" width="15.5703125" bestFit="1" customWidth="1"/>
    <col min="1774" max="1774" width="13.28515625" bestFit="1" customWidth="1"/>
    <col min="1775" max="1775" width="17.7109375" bestFit="1" customWidth="1"/>
    <col min="1776" max="1776" width="15.5703125" bestFit="1" customWidth="1"/>
    <col min="1777" max="1777" width="12.5703125" bestFit="1" customWidth="1"/>
    <col min="1778" max="1778" width="17.7109375" bestFit="1" customWidth="1"/>
    <col min="1779" max="1779" width="15.5703125" bestFit="1" customWidth="1"/>
    <col min="1780" max="1780" width="12.5703125" bestFit="1" customWidth="1"/>
    <col min="1781" max="1781" width="17.7109375" bestFit="1" customWidth="1"/>
    <col min="1782" max="1782" width="15.5703125" bestFit="1" customWidth="1"/>
    <col min="1783" max="1783" width="12.5703125" bestFit="1" customWidth="1"/>
    <col min="1784" max="1784" width="17.7109375" bestFit="1" customWidth="1"/>
    <col min="1785" max="1785" width="15.5703125" bestFit="1" customWidth="1"/>
    <col min="1786" max="1786" width="12.5703125" bestFit="1" customWidth="1"/>
    <col min="1787" max="1787" width="17.7109375" bestFit="1" customWidth="1"/>
    <col min="1788" max="1788" width="15.5703125" bestFit="1" customWidth="1"/>
    <col min="1789" max="1789" width="12.5703125" bestFit="1" customWidth="1"/>
    <col min="1790" max="1790" width="17.7109375" bestFit="1" customWidth="1"/>
    <col min="1791" max="1791" width="15.5703125" bestFit="1" customWidth="1"/>
    <col min="1792" max="1792" width="12.5703125" bestFit="1" customWidth="1"/>
    <col min="1793" max="1793" width="17.7109375" bestFit="1" customWidth="1"/>
    <col min="1794" max="1794" width="15.5703125" bestFit="1" customWidth="1"/>
    <col min="1795" max="1795" width="12.5703125" bestFit="1" customWidth="1"/>
    <col min="1796" max="1796" width="17.7109375" bestFit="1" customWidth="1"/>
    <col min="1797" max="1797" width="15.5703125" bestFit="1" customWidth="1"/>
    <col min="1798" max="1798" width="12.5703125" bestFit="1" customWidth="1"/>
    <col min="1799" max="1799" width="17.7109375" bestFit="1" customWidth="1"/>
    <col min="1800" max="1800" width="15.5703125" bestFit="1" customWidth="1"/>
    <col min="1801" max="1801" width="12.5703125" bestFit="1" customWidth="1"/>
    <col min="1802" max="1802" width="17.7109375" bestFit="1" customWidth="1"/>
    <col min="1803" max="1803" width="15.5703125" bestFit="1" customWidth="1"/>
    <col min="1804" max="1804" width="13.28515625" bestFit="1" customWidth="1"/>
    <col min="1805" max="1805" width="17.7109375" bestFit="1" customWidth="1"/>
    <col min="1806" max="1806" width="15.5703125" bestFit="1" customWidth="1"/>
    <col min="1807" max="1807" width="13.28515625" bestFit="1" customWidth="1"/>
    <col min="1808" max="1808" width="17.7109375" bestFit="1" customWidth="1"/>
    <col min="1809" max="1809" width="15.5703125" bestFit="1" customWidth="1"/>
    <col min="1810" max="1810" width="13.28515625" bestFit="1" customWidth="1"/>
    <col min="1811" max="1811" width="17.7109375" bestFit="1" customWidth="1"/>
    <col min="1812" max="1812" width="15.5703125" bestFit="1" customWidth="1"/>
    <col min="1813" max="1813" width="13.28515625" bestFit="1" customWidth="1"/>
    <col min="1814" max="1814" width="17.7109375" bestFit="1" customWidth="1"/>
    <col min="1815" max="1815" width="15.5703125" bestFit="1" customWidth="1"/>
    <col min="1816" max="1816" width="13.28515625" bestFit="1" customWidth="1"/>
    <col min="1817" max="1817" width="17.7109375" bestFit="1" customWidth="1"/>
    <col min="1818" max="1818" width="15.5703125" bestFit="1" customWidth="1"/>
    <col min="1819" max="1819" width="12.5703125" bestFit="1" customWidth="1"/>
    <col min="1820" max="1820" width="17.7109375" bestFit="1" customWidth="1"/>
    <col min="1821" max="1821" width="15.5703125" bestFit="1" customWidth="1"/>
    <col min="1822" max="1822" width="12.5703125" bestFit="1" customWidth="1"/>
    <col min="1823" max="1823" width="17.7109375" bestFit="1" customWidth="1"/>
    <col min="1824" max="1824" width="15.5703125" bestFit="1" customWidth="1"/>
    <col min="1825" max="1825" width="13.28515625" bestFit="1" customWidth="1"/>
    <col min="1826" max="1826" width="17.7109375" bestFit="1" customWidth="1"/>
    <col min="1827" max="1827" width="15.5703125" bestFit="1" customWidth="1"/>
    <col min="1828" max="1828" width="13.28515625" bestFit="1" customWidth="1"/>
    <col min="1829" max="1829" width="17.7109375" bestFit="1" customWidth="1"/>
    <col min="1830" max="1830" width="15.5703125" bestFit="1" customWidth="1"/>
    <col min="1831" max="1831" width="12.5703125" bestFit="1" customWidth="1"/>
    <col min="1832" max="1832" width="17.7109375" bestFit="1" customWidth="1"/>
    <col min="1833" max="1833" width="15.5703125" bestFit="1" customWidth="1"/>
    <col min="1834" max="1834" width="12.5703125" bestFit="1" customWidth="1"/>
    <col min="1835" max="1835" width="17.7109375" bestFit="1" customWidth="1"/>
    <col min="1836" max="1836" width="15.5703125" bestFit="1" customWidth="1"/>
    <col min="1837" max="1837" width="12.5703125" bestFit="1" customWidth="1"/>
    <col min="1838" max="1838" width="17.7109375" bestFit="1" customWidth="1"/>
    <col min="1839" max="1839" width="15.5703125" bestFit="1" customWidth="1"/>
    <col min="1840" max="1840" width="12.5703125" bestFit="1" customWidth="1"/>
    <col min="1841" max="1841" width="17.7109375" bestFit="1" customWidth="1"/>
    <col min="1842" max="1842" width="15.5703125" bestFit="1" customWidth="1"/>
    <col min="1843" max="1843" width="13.28515625" bestFit="1" customWidth="1"/>
    <col min="1844" max="1844" width="17.7109375" bestFit="1" customWidth="1"/>
    <col min="1845" max="1845" width="15.5703125" bestFit="1" customWidth="1"/>
    <col min="1846" max="1846" width="12.5703125" bestFit="1" customWidth="1"/>
    <col min="1847" max="1847" width="17.7109375" bestFit="1" customWidth="1"/>
    <col min="1848" max="1848" width="15.5703125" bestFit="1" customWidth="1"/>
    <col min="1849" max="1849" width="12.5703125" bestFit="1" customWidth="1"/>
    <col min="1850" max="1850" width="17.7109375" bestFit="1" customWidth="1"/>
    <col min="1851" max="1851" width="15.5703125" bestFit="1" customWidth="1"/>
    <col min="1852" max="1852" width="13.28515625" bestFit="1" customWidth="1"/>
    <col min="1853" max="1853" width="17.7109375" bestFit="1" customWidth="1"/>
    <col min="1854" max="1854" width="15.5703125" bestFit="1" customWidth="1"/>
    <col min="1855" max="1855" width="12.5703125" bestFit="1" customWidth="1"/>
    <col min="1856" max="1856" width="17.7109375" bestFit="1" customWidth="1"/>
    <col min="1857" max="1857" width="15.5703125" bestFit="1" customWidth="1"/>
    <col min="1858" max="1858" width="12.5703125" bestFit="1" customWidth="1"/>
    <col min="1859" max="1859" width="17.7109375" bestFit="1" customWidth="1"/>
    <col min="1860" max="1860" width="15.5703125" bestFit="1" customWidth="1"/>
    <col min="1861" max="1861" width="12.5703125" bestFit="1" customWidth="1"/>
    <col min="1862" max="1862" width="17.7109375" bestFit="1" customWidth="1"/>
    <col min="1863" max="1863" width="15.5703125" bestFit="1" customWidth="1"/>
    <col min="1864" max="1864" width="13.28515625" bestFit="1" customWidth="1"/>
    <col min="1865" max="1865" width="17.7109375" bestFit="1" customWidth="1"/>
    <col min="1866" max="1866" width="15.5703125" bestFit="1" customWidth="1"/>
    <col min="1867" max="1867" width="12.5703125" bestFit="1" customWidth="1"/>
    <col min="1868" max="1868" width="17.7109375" bestFit="1" customWidth="1"/>
    <col min="1869" max="1869" width="15.5703125" bestFit="1" customWidth="1"/>
    <col min="1870" max="1870" width="12.5703125" bestFit="1" customWidth="1"/>
    <col min="1871" max="1871" width="17.7109375" bestFit="1" customWidth="1"/>
    <col min="1872" max="1872" width="15.5703125" bestFit="1" customWidth="1"/>
    <col min="1873" max="1873" width="12.5703125" bestFit="1" customWidth="1"/>
    <col min="1874" max="1874" width="17.7109375" bestFit="1" customWidth="1"/>
    <col min="1875" max="1875" width="15.5703125" bestFit="1" customWidth="1"/>
    <col min="1876" max="1876" width="12.5703125" bestFit="1" customWidth="1"/>
    <col min="1877" max="1877" width="17.7109375" bestFit="1" customWidth="1"/>
    <col min="1878" max="1878" width="15.5703125" bestFit="1" customWidth="1"/>
    <col min="1879" max="1879" width="12.5703125" bestFit="1" customWidth="1"/>
    <col min="1880" max="1880" width="17.7109375" bestFit="1" customWidth="1"/>
    <col min="1881" max="1881" width="15.5703125" bestFit="1" customWidth="1"/>
    <col min="1882" max="1882" width="12.5703125" bestFit="1" customWidth="1"/>
    <col min="1883" max="1883" width="17.7109375" bestFit="1" customWidth="1"/>
    <col min="1884" max="1884" width="15.5703125" bestFit="1" customWidth="1"/>
    <col min="1885" max="1885" width="13.28515625" bestFit="1" customWidth="1"/>
    <col min="1886" max="1886" width="17.7109375" bestFit="1" customWidth="1"/>
    <col min="1887" max="1887" width="15.5703125" bestFit="1" customWidth="1"/>
    <col min="1888" max="1888" width="12.5703125" bestFit="1" customWidth="1"/>
    <col min="1889" max="1889" width="17.7109375" bestFit="1" customWidth="1"/>
    <col min="1890" max="1890" width="15.5703125" bestFit="1" customWidth="1"/>
    <col min="1891" max="1891" width="13.28515625" bestFit="1" customWidth="1"/>
    <col min="1892" max="1892" width="17.7109375" bestFit="1" customWidth="1"/>
    <col min="1893" max="1893" width="15.5703125" bestFit="1" customWidth="1"/>
    <col min="1894" max="1894" width="13.28515625" bestFit="1" customWidth="1"/>
    <col min="1895" max="1895" width="17.7109375" bestFit="1" customWidth="1"/>
    <col min="1896" max="1896" width="15.5703125" bestFit="1" customWidth="1"/>
    <col min="1897" max="1897" width="13.28515625" bestFit="1" customWidth="1"/>
    <col min="1898" max="1898" width="17.7109375" bestFit="1" customWidth="1"/>
    <col min="1899" max="1899" width="15.5703125" bestFit="1" customWidth="1"/>
    <col min="1900" max="1900" width="13.28515625" bestFit="1" customWidth="1"/>
    <col min="1901" max="1901" width="17.7109375" bestFit="1" customWidth="1"/>
    <col min="1902" max="1902" width="15.5703125" bestFit="1" customWidth="1"/>
    <col min="1903" max="1903" width="12.5703125" bestFit="1" customWidth="1"/>
    <col min="1904" max="1904" width="17.7109375" bestFit="1" customWidth="1"/>
    <col min="1905" max="1905" width="15.5703125" bestFit="1" customWidth="1"/>
    <col min="1906" max="1906" width="12.5703125" bestFit="1" customWidth="1"/>
    <col min="1907" max="1907" width="17.7109375" bestFit="1" customWidth="1"/>
    <col min="1908" max="1908" width="15.5703125" bestFit="1" customWidth="1"/>
    <col min="1909" max="1909" width="12.5703125" bestFit="1" customWidth="1"/>
    <col min="1910" max="1910" width="17.7109375" bestFit="1" customWidth="1"/>
    <col min="1911" max="1911" width="15.5703125" bestFit="1" customWidth="1"/>
    <col min="1912" max="1912" width="13.28515625" bestFit="1" customWidth="1"/>
    <col min="1913" max="1913" width="17.7109375" bestFit="1" customWidth="1"/>
    <col min="1914" max="1914" width="15.5703125" bestFit="1" customWidth="1"/>
    <col min="1915" max="1915" width="12.5703125" bestFit="1" customWidth="1"/>
    <col min="1916" max="1916" width="17.7109375" bestFit="1" customWidth="1"/>
    <col min="1917" max="1917" width="15.5703125" bestFit="1" customWidth="1"/>
    <col min="1918" max="1918" width="13.28515625" bestFit="1" customWidth="1"/>
    <col min="1919" max="1919" width="17.7109375" bestFit="1" customWidth="1"/>
    <col min="1920" max="1920" width="15.5703125" bestFit="1" customWidth="1"/>
    <col min="1921" max="1921" width="13.28515625" bestFit="1" customWidth="1"/>
    <col min="1922" max="1922" width="17.7109375" bestFit="1" customWidth="1"/>
    <col min="1923" max="1923" width="15.5703125" bestFit="1" customWidth="1"/>
    <col min="1924" max="1924" width="12.5703125" bestFit="1" customWidth="1"/>
    <col min="1925" max="1925" width="17.7109375" bestFit="1" customWidth="1"/>
    <col min="1926" max="1926" width="15.5703125" bestFit="1" customWidth="1"/>
    <col min="1927" max="1927" width="12.5703125" bestFit="1" customWidth="1"/>
    <col min="1928" max="1928" width="17.7109375" bestFit="1" customWidth="1"/>
    <col min="1929" max="1929" width="15.5703125" bestFit="1" customWidth="1"/>
    <col min="1930" max="1930" width="12.5703125" bestFit="1" customWidth="1"/>
    <col min="1931" max="1931" width="17.7109375" bestFit="1" customWidth="1"/>
    <col min="1932" max="1932" width="15.5703125" bestFit="1" customWidth="1"/>
    <col min="1933" max="1933" width="12.5703125" bestFit="1" customWidth="1"/>
    <col min="1934" max="1934" width="17.7109375" bestFit="1" customWidth="1"/>
    <col min="1935" max="1935" width="15.5703125" bestFit="1" customWidth="1"/>
    <col min="1936" max="1936" width="12.5703125" bestFit="1" customWidth="1"/>
    <col min="1937" max="1937" width="17.7109375" bestFit="1" customWidth="1"/>
    <col min="1938" max="1938" width="15.5703125" bestFit="1" customWidth="1"/>
    <col min="1939" max="1939" width="13.28515625" bestFit="1" customWidth="1"/>
    <col min="1940" max="1940" width="17.7109375" bestFit="1" customWidth="1"/>
    <col min="1941" max="1941" width="15.5703125" bestFit="1" customWidth="1"/>
    <col min="1942" max="1942" width="12.5703125" bestFit="1" customWidth="1"/>
    <col min="1943" max="1943" width="17.7109375" bestFit="1" customWidth="1"/>
    <col min="1944" max="1944" width="15.5703125" bestFit="1" customWidth="1"/>
    <col min="1945" max="1945" width="12.5703125" bestFit="1" customWidth="1"/>
    <col min="1946" max="1946" width="17.7109375" bestFit="1" customWidth="1"/>
    <col min="1947" max="1947" width="15.5703125" bestFit="1" customWidth="1"/>
    <col min="1948" max="1948" width="13.28515625" bestFit="1" customWidth="1"/>
    <col min="1949" max="1949" width="17.7109375" bestFit="1" customWidth="1"/>
    <col min="1950" max="1950" width="15.5703125" bestFit="1" customWidth="1"/>
    <col min="1951" max="1951" width="12.5703125" bestFit="1" customWidth="1"/>
    <col min="1952" max="1952" width="17.7109375" bestFit="1" customWidth="1"/>
    <col min="1953" max="1953" width="15.5703125" bestFit="1" customWidth="1"/>
    <col min="1954" max="1954" width="12.5703125" bestFit="1" customWidth="1"/>
    <col min="1955" max="1955" width="17.7109375" bestFit="1" customWidth="1"/>
    <col min="1956" max="1956" width="15.5703125" bestFit="1" customWidth="1"/>
    <col min="1957" max="1957" width="12.5703125" bestFit="1" customWidth="1"/>
    <col min="1958" max="1958" width="17.7109375" bestFit="1" customWidth="1"/>
    <col min="1959" max="1959" width="15.5703125" bestFit="1" customWidth="1"/>
    <col min="1960" max="1960" width="12.5703125" bestFit="1" customWidth="1"/>
    <col min="1961" max="1961" width="17.7109375" bestFit="1" customWidth="1"/>
    <col min="1962" max="1962" width="15.5703125" bestFit="1" customWidth="1"/>
    <col min="1963" max="1963" width="12.5703125" bestFit="1" customWidth="1"/>
    <col min="1964" max="1964" width="17.7109375" bestFit="1" customWidth="1"/>
    <col min="1965" max="1965" width="15.5703125" bestFit="1" customWidth="1"/>
    <col min="1966" max="1966" width="13.28515625" bestFit="1" customWidth="1"/>
    <col min="1967" max="1967" width="17.7109375" bestFit="1" customWidth="1"/>
    <col min="1968" max="1968" width="15.5703125" bestFit="1" customWidth="1"/>
    <col min="1969" max="1969" width="12.5703125" bestFit="1" customWidth="1"/>
    <col min="1970" max="1970" width="17.7109375" bestFit="1" customWidth="1"/>
    <col min="1971" max="1971" width="15.5703125" bestFit="1" customWidth="1"/>
    <col min="1972" max="1972" width="12.5703125" bestFit="1" customWidth="1"/>
    <col min="1973" max="1973" width="17.7109375" bestFit="1" customWidth="1"/>
    <col min="1974" max="1974" width="15.5703125" bestFit="1" customWidth="1"/>
    <col min="1975" max="1975" width="12.5703125" bestFit="1" customWidth="1"/>
    <col min="1976" max="1976" width="17.7109375" bestFit="1" customWidth="1"/>
    <col min="1977" max="1977" width="15.5703125" bestFit="1" customWidth="1"/>
    <col min="1978" max="1978" width="12.5703125" bestFit="1" customWidth="1"/>
    <col min="1979" max="1979" width="17.7109375" bestFit="1" customWidth="1"/>
    <col min="1980" max="1980" width="15.5703125" bestFit="1" customWidth="1"/>
    <col min="1981" max="1981" width="13.28515625" bestFit="1" customWidth="1"/>
    <col min="1982" max="1982" width="17.7109375" bestFit="1" customWidth="1"/>
    <col min="1983" max="1983" width="15.5703125" bestFit="1" customWidth="1"/>
    <col min="1984" max="1984" width="12.5703125" bestFit="1" customWidth="1"/>
    <col min="1985" max="1985" width="17.7109375" bestFit="1" customWidth="1"/>
    <col min="1986" max="1986" width="15.5703125" bestFit="1" customWidth="1"/>
    <col min="1987" max="1987" width="13.28515625" bestFit="1" customWidth="1"/>
    <col min="1988" max="1988" width="17.7109375" bestFit="1" customWidth="1"/>
    <col min="1989" max="1989" width="15.5703125" bestFit="1" customWidth="1"/>
    <col min="1990" max="1990" width="13.28515625" bestFit="1" customWidth="1"/>
    <col min="1991" max="1991" width="17.7109375" bestFit="1" customWidth="1"/>
    <col min="1992" max="1992" width="15.5703125" bestFit="1" customWidth="1"/>
    <col min="1993" max="1993" width="13.28515625" bestFit="1" customWidth="1"/>
    <col min="1994" max="1994" width="17.7109375" bestFit="1" customWidth="1"/>
    <col min="1995" max="1995" width="15.5703125" bestFit="1" customWidth="1"/>
    <col min="1996" max="1996" width="12.5703125" bestFit="1" customWidth="1"/>
    <col min="1997" max="1997" width="17.7109375" bestFit="1" customWidth="1"/>
    <col min="1998" max="1998" width="15.5703125" bestFit="1" customWidth="1"/>
    <col min="1999" max="1999" width="12.5703125" bestFit="1" customWidth="1"/>
    <col min="2000" max="2000" width="17.7109375" bestFit="1" customWidth="1"/>
    <col min="2001" max="2001" width="15.5703125" bestFit="1" customWidth="1"/>
    <col min="2002" max="2002" width="13.28515625" bestFit="1" customWidth="1"/>
    <col min="2003" max="2003" width="17.7109375" bestFit="1" customWidth="1"/>
    <col min="2004" max="2004" width="15.5703125" bestFit="1" customWidth="1"/>
    <col min="2005" max="2005" width="13.28515625" bestFit="1" customWidth="1"/>
    <col min="2006" max="2006" width="17.7109375" bestFit="1" customWidth="1"/>
    <col min="2007" max="2007" width="15.5703125" bestFit="1" customWidth="1"/>
    <col min="2008" max="2008" width="12.5703125" bestFit="1" customWidth="1"/>
    <col min="2009" max="2009" width="17.7109375" bestFit="1" customWidth="1"/>
    <col min="2010" max="2010" width="15.5703125" bestFit="1" customWidth="1"/>
    <col min="2011" max="2011" width="12.5703125" bestFit="1" customWidth="1"/>
    <col min="2012" max="2012" width="17.7109375" bestFit="1" customWidth="1"/>
    <col min="2013" max="2013" width="15.5703125" bestFit="1" customWidth="1"/>
    <col min="2014" max="2014" width="12.5703125" bestFit="1" customWidth="1"/>
    <col min="2015" max="2015" width="17.7109375" bestFit="1" customWidth="1"/>
    <col min="2016" max="2016" width="15.5703125" bestFit="1" customWidth="1"/>
    <col min="2017" max="2017" width="12.5703125" bestFit="1" customWidth="1"/>
    <col min="2018" max="2018" width="17.7109375" bestFit="1" customWidth="1"/>
    <col min="2019" max="2019" width="15.5703125" bestFit="1" customWidth="1"/>
    <col min="2020" max="2020" width="12.5703125" bestFit="1" customWidth="1"/>
    <col min="2021" max="2021" width="17.7109375" bestFit="1" customWidth="1"/>
    <col min="2022" max="2022" width="15.5703125" bestFit="1" customWidth="1"/>
    <col min="2023" max="2023" width="12.5703125" bestFit="1" customWidth="1"/>
    <col min="2024" max="2024" width="17.7109375" bestFit="1" customWidth="1"/>
    <col min="2025" max="2025" width="15.5703125" bestFit="1" customWidth="1"/>
    <col min="2026" max="2026" width="12.5703125" bestFit="1" customWidth="1"/>
    <col min="2027" max="2027" width="17.7109375" bestFit="1" customWidth="1"/>
    <col min="2028" max="2028" width="15.5703125" bestFit="1" customWidth="1"/>
    <col min="2029" max="2029" width="12.5703125" bestFit="1" customWidth="1"/>
    <col min="2030" max="2030" width="17.7109375" bestFit="1" customWidth="1"/>
    <col min="2031" max="2031" width="15.5703125" bestFit="1" customWidth="1"/>
    <col min="2032" max="2032" width="12.5703125" bestFit="1" customWidth="1"/>
    <col min="2033" max="2033" width="17.7109375" bestFit="1" customWidth="1"/>
    <col min="2034" max="2034" width="15.5703125" bestFit="1" customWidth="1"/>
    <col min="2035" max="2035" width="12.5703125" bestFit="1" customWidth="1"/>
    <col min="2036" max="2036" width="17.7109375" bestFit="1" customWidth="1"/>
    <col min="2037" max="2037" width="15.5703125" bestFit="1" customWidth="1"/>
    <col min="2038" max="2038" width="13.28515625" bestFit="1" customWidth="1"/>
    <col min="2039" max="2039" width="17.7109375" bestFit="1" customWidth="1"/>
    <col min="2040" max="2040" width="15.5703125" bestFit="1" customWidth="1"/>
    <col min="2041" max="2041" width="12.5703125" bestFit="1" customWidth="1"/>
    <col min="2042" max="2042" width="17.7109375" bestFit="1" customWidth="1"/>
    <col min="2043" max="2043" width="15.5703125" bestFit="1" customWidth="1"/>
    <col min="2044" max="2044" width="13.28515625" bestFit="1" customWidth="1"/>
    <col min="2045" max="2045" width="17.7109375" bestFit="1" customWidth="1"/>
    <col min="2046" max="2046" width="15.5703125" bestFit="1" customWidth="1"/>
    <col min="2047" max="2047" width="12.5703125" bestFit="1" customWidth="1"/>
    <col min="2048" max="2048" width="17.7109375" bestFit="1" customWidth="1"/>
    <col min="2049" max="2049" width="15.5703125" bestFit="1" customWidth="1"/>
    <col min="2050" max="2050" width="12.5703125" bestFit="1" customWidth="1"/>
    <col min="2051" max="2051" width="17.7109375" bestFit="1" customWidth="1"/>
    <col min="2052" max="2052" width="15.5703125" bestFit="1" customWidth="1"/>
    <col min="2053" max="2053" width="12.5703125" bestFit="1" customWidth="1"/>
    <col min="2054" max="2054" width="17.7109375" bestFit="1" customWidth="1"/>
    <col min="2055" max="2055" width="15.5703125" bestFit="1" customWidth="1"/>
    <col min="2056" max="2056" width="12.5703125" bestFit="1" customWidth="1"/>
    <col min="2057" max="2057" width="17.7109375" bestFit="1" customWidth="1"/>
    <col min="2058" max="2058" width="15.5703125" bestFit="1" customWidth="1"/>
    <col min="2059" max="2059" width="12.5703125" bestFit="1" customWidth="1"/>
    <col min="2060" max="2060" width="17.7109375" bestFit="1" customWidth="1"/>
    <col min="2061" max="2061" width="15.5703125" bestFit="1" customWidth="1"/>
    <col min="2062" max="2062" width="12.5703125" bestFit="1" customWidth="1"/>
    <col min="2063" max="2063" width="17.7109375" bestFit="1" customWidth="1"/>
    <col min="2064" max="2064" width="15.5703125" bestFit="1" customWidth="1"/>
    <col min="2065" max="2065" width="13.28515625" bestFit="1" customWidth="1"/>
    <col min="2066" max="2066" width="17.7109375" bestFit="1" customWidth="1"/>
    <col min="2067" max="2067" width="15.5703125" bestFit="1" customWidth="1"/>
    <col min="2068" max="2068" width="12.5703125" bestFit="1" customWidth="1"/>
    <col min="2069" max="2069" width="17.7109375" bestFit="1" customWidth="1"/>
    <col min="2070" max="2070" width="15.5703125" bestFit="1" customWidth="1"/>
    <col min="2071" max="2071" width="13.28515625" bestFit="1" customWidth="1"/>
    <col min="2072" max="2072" width="17.7109375" bestFit="1" customWidth="1"/>
    <col min="2073" max="2073" width="15.5703125" bestFit="1" customWidth="1"/>
    <col min="2074" max="2074" width="12.5703125" bestFit="1" customWidth="1"/>
    <col min="2075" max="2075" width="17.7109375" bestFit="1" customWidth="1"/>
    <col min="2076" max="2076" width="15.5703125" bestFit="1" customWidth="1"/>
    <col min="2077" max="2077" width="12.5703125" bestFit="1" customWidth="1"/>
    <col min="2078" max="2078" width="17.7109375" bestFit="1" customWidth="1"/>
    <col min="2079" max="2079" width="15.5703125" bestFit="1" customWidth="1"/>
    <col min="2080" max="2080" width="12.5703125" bestFit="1" customWidth="1"/>
    <col min="2081" max="2081" width="17.7109375" bestFit="1" customWidth="1"/>
    <col min="2082" max="2082" width="15.5703125" bestFit="1" customWidth="1"/>
    <col min="2083" max="2083" width="12.5703125" bestFit="1" customWidth="1"/>
    <col min="2084" max="2084" width="17.7109375" bestFit="1" customWidth="1"/>
    <col min="2085" max="2085" width="15.5703125" bestFit="1" customWidth="1"/>
    <col min="2086" max="2086" width="12.5703125" bestFit="1" customWidth="1"/>
    <col min="2087" max="2087" width="17.7109375" bestFit="1" customWidth="1"/>
    <col min="2088" max="2088" width="15.5703125" bestFit="1" customWidth="1"/>
    <col min="2089" max="2089" width="12.5703125" bestFit="1" customWidth="1"/>
    <col min="2090" max="2090" width="17.7109375" bestFit="1" customWidth="1"/>
    <col min="2091" max="2091" width="15.5703125" bestFit="1" customWidth="1"/>
    <col min="2092" max="2092" width="13.28515625" bestFit="1" customWidth="1"/>
    <col min="2093" max="2093" width="17.7109375" bestFit="1" customWidth="1"/>
    <col min="2094" max="2094" width="15.5703125" bestFit="1" customWidth="1"/>
    <col min="2095" max="2095" width="13.28515625" bestFit="1" customWidth="1"/>
    <col min="2096" max="2096" width="17.7109375" bestFit="1" customWidth="1"/>
    <col min="2097" max="2097" width="15.5703125" bestFit="1" customWidth="1"/>
    <col min="2098" max="2098" width="12.5703125" bestFit="1" customWidth="1"/>
    <col min="2099" max="2099" width="17.7109375" bestFit="1" customWidth="1"/>
    <col min="2100" max="2100" width="15.5703125" bestFit="1" customWidth="1"/>
    <col min="2101" max="2101" width="13.28515625" bestFit="1" customWidth="1"/>
    <col min="2102" max="2102" width="17.7109375" bestFit="1" customWidth="1"/>
    <col min="2103" max="2103" width="15.5703125" bestFit="1" customWidth="1"/>
    <col min="2104" max="2104" width="12.5703125" bestFit="1" customWidth="1"/>
    <col min="2105" max="2105" width="17.7109375" bestFit="1" customWidth="1"/>
    <col min="2106" max="2106" width="15.5703125" bestFit="1" customWidth="1"/>
    <col min="2107" max="2107" width="13.28515625" bestFit="1" customWidth="1"/>
    <col min="2108" max="2108" width="17.7109375" bestFit="1" customWidth="1"/>
    <col min="2109" max="2109" width="15.5703125" bestFit="1" customWidth="1"/>
    <col min="2110" max="2110" width="12.5703125" bestFit="1" customWidth="1"/>
    <col min="2111" max="2111" width="17.7109375" bestFit="1" customWidth="1"/>
    <col min="2112" max="2112" width="15.5703125" bestFit="1" customWidth="1"/>
    <col min="2113" max="2113" width="12.5703125" bestFit="1" customWidth="1"/>
    <col min="2114" max="2114" width="17.7109375" bestFit="1" customWidth="1"/>
    <col min="2115" max="2115" width="15.5703125" bestFit="1" customWidth="1"/>
    <col min="2116" max="2116" width="12.5703125" bestFit="1" customWidth="1"/>
    <col min="2117" max="2117" width="17.7109375" bestFit="1" customWidth="1"/>
    <col min="2118" max="2118" width="15.5703125" bestFit="1" customWidth="1"/>
    <col min="2119" max="2119" width="12.5703125" bestFit="1" customWidth="1"/>
    <col min="2120" max="2120" width="17.7109375" bestFit="1" customWidth="1"/>
    <col min="2121" max="2121" width="15.5703125" bestFit="1" customWidth="1"/>
    <col min="2122" max="2122" width="12.5703125" bestFit="1" customWidth="1"/>
    <col min="2123" max="2123" width="17.7109375" bestFit="1" customWidth="1"/>
    <col min="2124" max="2124" width="15.5703125" bestFit="1" customWidth="1"/>
    <col min="2125" max="2125" width="12.5703125" bestFit="1" customWidth="1"/>
    <col min="2126" max="2126" width="17.7109375" bestFit="1" customWidth="1"/>
    <col min="2127" max="2127" width="15.5703125" bestFit="1" customWidth="1"/>
    <col min="2128" max="2128" width="13.28515625" bestFit="1" customWidth="1"/>
    <col min="2129" max="2129" width="17.7109375" bestFit="1" customWidth="1"/>
    <col min="2130" max="2130" width="15.5703125" bestFit="1" customWidth="1"/>
    <col min="2131" max="2131" width="13.28515625" bestFit="1" customWidth="1"/>
    <col min="2132" max="2132" width="17.7109375" bestFit="1" customWidth="1"/>
    <col min="2133" max="2133" width="15.5703125" bestFit="1" customWidth="1"/>
    <col min="2134" max="2134" width="12.5703125" bestFit="1" customWidth="1"/>
    <col min="2135" max="2135" width="17.7109375" bestFit="1" customWidth="1"/>
    <col min="2136" max="2136" width="15.5703125" bestFit="1" customWidth="1"/>
    <col min="2137" max="2137" width="12.5703125" bestFit="1" customWidth="1"/>
    <col min="2138" max="2138" width="17.7109375" bestFit="1" customWidth="1"/>
    <col min="2139" max="2139" width="15.5703125" bestFit="1" customWidth="1"/>
    <col min="2140" max="2140" width="12.5703125" bestFit="1" customWidth="1"/>
    <col min="2141" max="2141" width="17.7109375" bestFit="1" customWidth="1"/>
    <col min="2142" max="2142" width="15.5703125" bestFit="1" customWidth="1"/>
    <col min="2143" max="2143" width="12.5703125" bestFit="1" customWidth="1"/>
    <col min="2144" max="2144" width="17.7109375" bestFit="1" customWidth="1"/>
    <col min="2145" max="2145" width="15.5703125" bestFit="1" customWidth="1"/>
    <col min="2146" max="2146" width="12.5703125" bestFit="1" customWidth="1"/>
    <col min="2147" max="2147" width="17.7109375" bestFit="1" customWidth="1"/>
    <col min="2148" max="2148" width="15.5703125" bestFit="1" customWidth="1"/>
    <col min="2149" max="2149" width="12.5703125" bestFit="1" customWidth="1"/>
    <col min="2150" max="2150" width="17.7109375" bestFit="1" customWidth="1"/>
    <col min="2151" max="2151" width="15.5703125" bestFit="1" customWidth="1"/>
    <col min="2152" max="2152" width="13.28515625" bestFit="1" customWidth="1"/>
    <col min="2153" max="2153" width="17.7109375" bestFit="1" customWidth="1"/>
    <col min="2154" max="2154" width="15.5703125" bestFit="1" customWidth="1"/>
    <col min="2155" max="2155" width="12.5703125" bestFit="1" customWidth="1"/>
    <col min="2156" max="2156" width="17.7109375" bestFit="1" customWidth="1"/>
    <col min="2157" max="2157" width="15.5703125" bestFit="1" customWidth="1"/>
    <col min="2158" max="2158" width="12.5703125" bestFit="1" customWidth="1"/>
    <col min="2159" max="2159" width="17.7109375" bestFit="1" customWidth="1"/>
    <col min="2160" max="2160" width="15.5703125" bestFit="1" customWidth="1"/>
    <col min="2161" max="2161" width="13.28515625" bestFit="1" customWidth="1"/>
    <col min="2162" max="2162" width="17.7109375" bestFit="1" customWidth="1"/>
    <col min="2163" max="2163" width="15.5703125" bestFit="1" customWidth="1"/>
    <col min="2164" max="2164" width="13.28515625" bestFit="1" customWidth="1"/>
    <col min="2165" max="2165" width="17.7109375" bestFit="1" customWidth="1"/>
    <col min="2166" max="2166" width="15.5703125" bestFit="1" customWidth="1"/>
    <col min="2167" max="2167" width="12.5703125" bestFit="1" customWidth="1"/>
    <col min="2168" max="2168" width="17.7109375" bestFit="1" customWidth="1"/>
    <col min="2169" max="2169" width="15.5703125" bestFit="1" customWidth="1"/>
    <col min="2170" max="2170" width="12.5703125" bestFit="1" customWidth="1"/>
    <col min="2171" max="2171" width="17.7109375" bestFit="1" customWidth="1"/>
    <col min="2172" max="2172" width="15.5703125" bestFit="1" customWidth="1"/>
    <col min="2173" max="2173" width="12.5703125" bestFit="1" customWidth="1"/>
    <col min="2174" max="2174" width="17.7109375" bestFit="1" customWidth="1"/>
    <col min="2175" max="2175" width="15.5703125" bestFit="1" customWidth="1"/>
    <col min="2176" max="2176" width="13.28515625" bestFit="1" customWidth="1"/>
    <col min="2177" max="2177" width="17.7109375" bestFit="1" customWidth="1"/>
    <col min="2178" max="2178" width="15.5703125" bestFit="1" customWidth="1"/>
    <col min="2179" max="2179" width="13.28515625" bestFit="1" customWidth="1"/>
    <col min="2180" max="2180" width="17.7109375" bestFit="1" customWidth="1"/>
    <col min="2181" max="2181" width="15.5703125" bestFit="1" customWidth="1"/>
    <col min="2182" max="2182" width="12.5703125" bestFit="1" customWidth="1"/>
    <col min="2183" max="2183" width="17.7109375" bestFit="1" customWidth="1"/>
    <col min="2184" max="2184" width="15.5703125" bestFit="1" customWidth="1"/>
    <col min="2185" max="2185" width="13.28515625" bestFit="1" customWidth="1"/>
    <col min="2186" max="2186" width="17.7109375" bestFit="1" customWidth="1"/>
    <col min="2187" max="2187" width="15.5703125" bestFit="1" customWidth="1"/>
    <col min="2188" max="2188" width="12.5703125" bestFit="1" customWidth="1"/>
    <col min="2189" max="2189" width="17.7109375" bestFit="1" customWidth="1"/>
    <col min="2190" max="2190" width="15.5703125" bestFit="1" customWidth="1"/>
    <col min="2191" max="2191" width="13.28515625" bestFit="1" customWidth="1"/>
    <col min="2192" max="2192" width="17.7109375" bestFit="1" customWidth="1"/>
    <col min="2193" max="2193" width="15.5703125" bestFit="1" customWidth="1"/>
    <col min="2194" max="2194" width="13.28515625" bestFit="1" customWidth="1"/>
    <col min="2195" max="2195" width="17.7109375" bestFit="1" customWidth="1"/>
    <col min="2196" max="2196" width="15.5703125" bestFit="1" customWidth="1"/>
    <col min="2197" max="2197" width="13.28515625" bestFit="1" customWidth="1"/>
    <col min="2198" max="2198" width="17.7109375" bestFit="1" customWidth="1"/>
    <col min="2199" max="2199" width="15.5703125" bestFit="1" customWidth="1"/>
    <col min="2200" max="2200" width="12.5703125" bestFit="1" customWidth="1"/>
    <col min="2201" max="2201" width="17.7109375" bestFit="1" customWidth="1"/>
    <col min="2202" max="2202" width="15.5703125" bestFit="1" customWidth="1"/>
    <col min="2203" max="2203" width="12.5703125" bestFit="1" customWidth="1"/>
    <col min="2204" max="2204" width="17.7109375" bestFit="1" customWidth="1"/>
    <col min="2205" max="2205" width="15.5703125" bestFit="1" customWidth="1"/>
    <col min="2206" max="2206" width="12.5703125" bestFit="1" customWidth="1"/>
    <col min="2207" max="2207" width="17.7109375" bestFit="1" customWidth="1"/>
    <col min="2208" max="2208" width="15.5703125" bestFit="1" customWidth="1"/>
    <col min="2209" max="2209" width="12.5703125" bestFit="1" customWidth="1"/>
    <col min="2210" max="2210" width="17.7109375" bestFit="1" customWidth="1"/>
    <col min="2211" max="2211" width="15.5703125" bestFit="1" customWidth="1"/>
    <col min="2212" max="2212" width="12.5703125" bestFit="1" customWidth="1"/>
    <col min="2213" max="2213" width="17.7109375" bestFit="1" customWidth="1"/>
    <col min="2214" max="2214" width="15.5703125" bestFit="1" customWidth="1"/>
    <col min="2215" max="2215" width="12.5703125" bestFit="1" customWidth="1"/>
    <col min="2216" max="2216" width="17.7109375" bestFit="1" customWidth="1"/>
    <col min="2217" max="2217" width="15.5703125" bestFit="1" customWidth="1"/>
    <col min="2218" max="2218" width="12.5703125" bestFit="1" customWidth="1"/>
    <col min="2219" max="2219" width="17.7109375" bestFit="1" customWidth="1"/>
    <col min="2220" max="2220" width="15.5703125" bestFit="1" customWidth="1"/>
    <col min="2221" max="2221" width="12.5703125" bestFit="1" customWidth="1"/>
    <col min="2222" max="2222" width="17.7109375" bestFit="1" customWidth="1"/>
    <col min="2223" max="2223" width="15.5703125" bestFit="1" customWidth="1"/>
    <col min="2224" max="2224" width="12.5703125" bestFit="1" customWidth="1"/>
    <col min="2225" max="2225" width="17.7109375" bestFit="1" customWidth="1"/>
    <col min="2226" max="2226" width="15.5703125" bestFit="1" customWidth="1"/>
    <col min="2227" max="2227" width="12.5703125" bestFit="1" customWidth="1"/>
    <col min="2228" max="2228" width="17.7109375" bestFit="1" customWidth="1"/>
    <col min="2229" max="2229" width="15.5703125" bestFit="1" customWidth="1"/>
    <col min="2230" max="2230" width="12.5703125" bestFit="1" customWidth="1"/>
    <col min="2231" max="2231" width="17.7109375" bestFit="1" customWidth="1"/>
    <col min="2232" max="2232" width="15.5703125" bestFit="1" customWidth="1"/>
    <col min="2233" max="2233" width="13.28515625" bestFit="1" customWidth="1"/>
    <col min="2234" max="2234" width="17.7109375" bestFit="1" customWidth="1"/>
    <col min="2235" max="2235" width="15.5703125" bestFit="1" customWidth="1"/>
    <col min="2236" max="2236" width="12.5703125" bestFit="1" customWidth="1"/>
    <col min="2237" max="2237" width="17.7109375" bestFit="1" customWidth="1"/>
    <col min="2238" max="2238" width="15.5703125" bestFit="1" customWidth="1"/>
    <col min="2239" max="2239" width="12.5703125" bestFit="1" customWidth="1"/>
    <col min="2240" max="2240" width="17.7109375" bestFit="1" customWidth="1"/>
    <col min="2241" max="2241" width="15.5703125" bestFit="1" customWidth="1"/>
    <col min="2242" max="2242" width="12.5703125" bestFit="1" customWidth="1"/>
    <col min="2243" max="2243" width="17.7109375" bestFit="1" customWidth="1"/>
    <col min="2244" max="2244" width="15.5703125" bestFit="1" customWidth="1"/>
    <col min="2245" max="2245" width="12.5703125" bestFit="1" customWidth="1"/>
    <col min="2246" max="2246" width="17.7109375" bestFit="1" customWidth="1"/>
    <col min="2247" max="2247" width="15.5703125" bestFit="1" customWidth="1"/>
    <col min="2248" max="2248" width="12.5703125" bestFit="1" customWidth="1"/>
    <col min="2249" max="2249" width="17.7109375" bestFit="1" customWidth="1"/>
    <col min="2250" max="2250" width="15.5703125" bestFit="1" customWidth="1"/>
    <col min="2251" max="2251" width="13.28515625" bestFit="1" customWidth="1"/>
    <col min="2252" max="2252" width="17.7109375" bestFit="1" customWidth="1"/>
    <col min="2253" max="2253" width="15.5703125" bestFit="1" customWidth="1"/>
    <col min="2254" max="2254" width="12.5703125" bestFit="1" customWidth="1"/>
    <col min="2255" max="2255" width="17.7109375" bestFit="1" customWidth="1"/>
    <col min="2256" max="2256" width="15.5703125" bestFit="1" customWidth="1"/>
    <col min="2257" max="2257" width="12.5703125" bestFit="1" customWidth="1"/>
    <col min="2258" max="2258" width="17.7109375" bestFit="1" customWidth="1"/>
    <col min="2259" max="2259" width="15.5703125" bestFit="1" customWidth="1"/>
    <col min="2260" max="2260" width="13.28515625" bestFit="1" customWidth="1"/>
    <col min="2261" max="2261" width="17.7109375" bestFit="1" customWidth="1"/>
    <col min="2262" max="2262" width="15.5703125" bestFit="1" customWidth="1"/>
    <col min="2263" max="2263" width="12.5703125" bestFit="1" customWidth="1"/>
    <col min="2264" max="2264" width="17.7109375" bestFit="1" customWidth="1"/>
    <col min="2265" max="2265" width="15.5703125" bestFit="1" customWidth="1"/>
    <col min="2266" max="2266" width="12.5703125" bestFit="1" customWidth="1"/>
    <col min="2267" max="2267" width="17.7109375" bestFit="1" customWidth="1"/>
    <col min="2268" max="2268" width="15.5703125" bestFit="1" customWidth="1"/>
    <col min="2269" max="2269" width="13.28515625" bestFit="1" customWidth="1"/>
    <col min="2270" max="2270" width="17.7109375" bestFit="1" customWidth="1"/>
    <col min="2271" max="2271" width="15.5703125" bestFit="1" customWidth="1"/>
    <col min="2272" max="2272" width="12.5703125" bestFit="1" customWidth="1"/>
    <col min="2273" max="2273" width="17.7109375" bestFit="1" customWidth="1"/>
    <col min="2274" max="2274" width="15.5703125" bestFit="1" customWidth="1"/>
    <col min="2275" max="2275" width="13.28515625" bestFit="1" customWidth="1"/>
    <col min="2276" max="2276" width="17.7109375" bestFit="1" customWidth="1"/>
    <col min="2277" max="2277" width="15.5703125" bestFit="1" customWidth="1"/>
    <col min="2278" max="2278" width="12.5703125" bestFit="1" customWidth="1"/>
    <col min="2279" max="2279" width="17.7109375" bestFit="1" customWidth="1"/>
    <col min="2280" max="2280" width="15.5703125" bestFit="1" customWidth="1"/>
    <col min="2281" max="2281" width="13.28515625" bestFit="1" customWidth="1"/>
    <col min="2282" max="2282" width="17.7109375" bestFit="1" customWidth="1"/>
    <col min="2283" max="2283" width="15.5703125" bestFit="1" customWidth="1"/>
    <col min="2284" max="2284" width="12.5703125" bestFit="1" customWidth="1"/>
    <col min="2285" max="2285" width="17.7109375" bestFit="1" customWidth="1"/>
    <col min="2286" max="2286" width="15.5703125" bestFit="1" customWidth="1"/>
    <col min="2287" max="2287" width="12.5703125" bestFit="1" customWidth="1"/>
    <col min="2288" max="2288" width="17.7109375" bestFit="1" customWidth="1"/>
    <col min="2289" max="2289" width="15.5703125" bestFit="1" customWidth="1"/>
    <col min="2290" max="2290" width="13.28515625" bestFit="1" customWidth="1"/>
    <col min="2291" max="2291" width="17.7109375" bestFit="1" customWidth="1"/>
    <col min="2292" max="2292" width="15.5703125" bestFit="1" customWidth="1"/>
    <col min="2293" max="2293" width="13.28515625" bestFit="1" customWidth="1"/>
    <col min="2294" max="2294" width="17.7109375" bestFit="1" customWidth="1"/>
    <col min="2295" max="2295" width="15.5703125" bestFit="1" customWidth="1"/>
    <col min="2296" max="2296" width="12.5703125" bestFit="1" customWidth="1"/>
    <col min="2297" max="2297" width="17.7109375" bestFit="1" customWidth="1"/>
    <col min="2298" max="2298" width="15.5703125" bestFit="1" customWidth="1"/>
    <col min="2299" max="2299" width="12.5703125" bestFit="1" customWidth="1"/>
    <col min="2300" max="2300" width="17.7109375" bestFit="1" customWidth="1"/>
    <col min="2301" max="2301" width="15.5703125" bestFit="1" customWidth="1"/>
    <col min="2302" max="2302" width="12.5703125" bestFit="1" customWidth="1"/>
    <col min="2303" max="2303" width="17.7109375" bestFit="1" customWidth="1"/>
    <col min="2304" max="2304" width="15.5703125" bestFit="1" customWidth="1"/>
    <col min="2305" max="2305" width="12.5703125" bestFit="1" customWidth="1"/>
    <col min="2306" max="2306" width="17.7109375" bestFit="1" customWidth="1"/>
    <col min="2307" max="2307" width="15.5703125" bestFit="1" customWidth="1"/>
    <col min="2308" max="2308" width="13.28515625" bestFit="1" customWidth="1"/>
    <col min="2309" max="2309" width="17.7109375" bestFit="1" customWidth="1"/>
    <col min="2310" max="2310" width="15.5703125" bestFit="1" customWidth="1"/>
    <col min="2311" max="2311" width="12.5703125" bestFit="1" customWidth="1"/>
    <col min="2312" max="2312" width="17.7109375" bestFit="1" customWidth="1"/>
    <col min="2313" max="2313" width="15.5703125" bestFit="1" customWidth="1"/>
    <col min="2314" max="2314" width="13.28515625" bestFit="1" customWidth="1"/>
    <col min="2315" max="2315" width="17.7109375" bestFit="1" customWidth="1"/>
    <col min="2316" max="2316" width="15.5703125" bestFit="1" customWidth="1"/>
    <col min="2317" max="2317" width="12.5703125" bestFit="1" customWidth="1"/>
    <col min="2318" max="2318" width="17.7109375" bestFit="1" customWidth="1"/>
    <col min="2319" max="2319" width="15.5703125" bestFit="1" customWidth="1"/>
    <col min="2320" max="2320" width="13.28515625" bestFit="1" customWidth="1"/>
    <col min="2321" max="2321" width="17.7109375" bestFit="1" customWidth="1"/>
    <col min="2322" max="2322" width="15.5703125" bestFit="1" customWidth="1"/>
    <col min="2323" max="2323" width="13.28515625" bestFit="1" customWidth="1"/>
    <col min="2324" max="2324" width="17.7109375" bestFit="1" customWidth="1"/>
    <col min="2325" max="2325" width="15.5703125" bestFit="1" customWidth="1"/>
    <col min="2326" max="2326" width="12.5703125" bestFit="1" customWidth="1"/>
    <col min="2327" max="2327" width="17.7109375" bestFit="1" customWidth="1"/>
    <col min="2328" max="2328" width="15.5703125" bestFit="1" customWidth="1"/>
    <col min="2329" max="2329" width="13.28515625" bestFit="1" customWidth="1"/>
    <col min="2330" max="2330" width="17.7109375" bestFit="1" customWidth="1"/>
    <col min="2331" max="2331" width="15.5703125" bestFit="1" customWidth="1"/>
    <col min="2332" max="2332" width="12.5703125" bestFit="1" customWidth="1"/>
    <col min="2333" max="2333" width="17.7109375" bestFit="1" customWidth="1"/>
    <col min="2334" max="2334" width="15.5703125" bestFit="1" customWidth="1"/>
    <col min="2335" max="2335" width="12.5703125" bestFit="1" customWidth="1"/>
    <col min="2336" max="2336" width="17.7109375" bestFit="1" customWidth="1"/>
    <col min="2337" max="2337" width="15.5703125" bestFit="1" customWidth="1"/>
    <col min="2338" max="2338" width="13.28515625" bestFit="1" customWidth="1"/>
    <col min="2339" max="2339" width="17.7109375" bestFit="1" customWidth="1"/>
    <col min="2340" max="2340" width="15.5703125" bestFit="1" customWidth="1"/>
    <col min="2341" max="2341" width="13.28515625" bestFit="1" customWidth="1"/>
    <col min="2342" max="2342" width="17.7109375" bestFit="1" customWidth="1"/>
    <col min="2343" max="2343" width="15.5703125" bestFit="1" customWidth="1"/>
    <col min="2344" max="2344" width="12.5703125" bestFit="1" customWidth="1"/>
    <col min="2345" max="2345" width="17.7109375" bestFit="1" customWidth="1"/>
    <col min="2346" max="2346" width="15.5703125" bestFit="1" customWidth="1"/>
    <col min="2347" max="2347" width="13.28515625" bestFit="1" customWidth="1"/>
    <col min="2348" max="2348" width="17.7109375" bestFit="1" customWidth="1"/>
    <col min="2349" max="2349" width="15.5703125" bestFit="1" customWidth="1"/>
    <col min="2350" max="2350" width="12.5703125" bestFit="1" customWidth="1"/>
    <col min="2351" max="2351" width="17.7109375" bestFit="1" customWidth="1"/>
    <col min="2352" max="2352" width="15.5703125" bestFit="1" customWidth="1"/>
    <col min="2353" max="2353" width="13.28515625" bestFit="1" customWidth="1"/>
    <col min="2354" max="2354" width="17.7109375" bestFit="1" customWidth="1"/>
    <col min="2355" max="2355" width="15.5703125" bestFit="1" customWidth="1"/>
    <col min="2356" max="2356" width="13.28515625" bestFit="1" customWidth="1"/>
    <col min="2357" max="2357" width="17.7109375" bestFit="1" customWidth="1"/>
    <col min="2358" max="2358" width="15.5703125" bestFit="1" customWidth="1"/>
    <col min="2359" max="2359" width="12.5703125" bestFit="1" customWidth="1"/>
    <col min="2360" max="2360" width="17.7109375" bestFit="1" customWidth="1"/>
    <col min="2361" max="2361" width="15.5703125" bestFit="1" customWidth="1"/>
    <col min="2362" max="2362" width="13.28515625" bestFit="1" customWidth="1"/>
    <col min="2363" max="2363" width="17.7109375" bestFit="1" customWidth="1"/>
    <col min="2364" max="2364" width="15.5703125" bestFit="1" customWidth="1"/>
    <col min="2365" max="2365" width="13.28515625" bestFit="1" customWidth="1"/>
    <col min="2366" max="2366" width="17.7109375" bestFit="1" customWidth="1"/>
    <col min="2367" max="2367" width="15.5703125" bestFit="1" customWidth="1"/>
    <col min="2368" max="2368" width="12.5703125" bestFit="1" customWidth="1"/>
    <col min="2369" max="2369" width="17.7109375" bestFit="1" customWidth="1"/>
    <col min="2370" max="2370" width="15.5703125" bestFit="1" customWidth="1"/>
    <col min="2371" max="2371" width="12.5703125" bestFit="1" customWidth="1"/>
    <col min="2372" max="2372" width="17.7109375" bestFit="1" customWidth="1"/>
    <col min="2373" max="2373" width="15.5703125" bestFit="1" customWidth="1"/>
    <col min="2374" max="2374" width="12.5703125" bestFit="1" customWidth="1"/>
    <col min="2375" max="2375" width="17.7109375" bestFit="1" customWidth="1"/>
    <col min="2376" max="2376" width="15.5703125" bestFit="1" customWidth="1"/>
    <col min="2377" max="2377" width="13.28515625" bestFit="1" customWidth="1"/>
    <col min="2378" max="2378" width="17.7109375" bestFit="1" customWidth="1"/>
    <col min="2379" max="2379" width="15.5703125" bestFit="1" customWidth="1"/>
    <col min="2380" max="2380" width="12.5703125" bestFit="1" customWidth="1"/>
    <col min="2381" max="2381" width="17.7109375" bestFit="1" customWidth="1"/>
    <col min="2382" max="2382" width="15.5703125" bestFit="1" customWidth="1"/>
    <col min="2383" max="2383" width="13.28515625" bestFit="1" customWidth="1"/>
    <col min="2384" max="2384" width="17.7109375" bestFit="1" customWidth="1"/>
    <col min="2385" max="2385" width="15.5703125" bestFit="1" customWidth="1"/>
    <col min="2386" max="2386" width="13.28515625" bestFit="1" customWidth="1"/>
    <col min="2387" max="2387" width="17.7109375" bestFit="1" customWidth="1"/>
    <col min="2388" max="2388" width="15.5703125" bestFit="1" customWidth="1"/>
    <col min="2389" max="2389" width="12.5703125" bestFit="1" customWidth="1"/>
    <col min="2390" max="2390" width="17.7109375" bestFit="1" customWidth="1"/>
    <col min="2391" max="2391" width="15.5703125" bestFit="1" customWidth="1"/>
    <col min="2392" max="2392" width="12.5703125" bestFit="1" customWidth="1"/>
    <col min="2393" max="2393" width="17.7109375" bestFit="1" customWidth="1"/>
    <col min="2394" max="2394" width="15.5703125" bestFit="1" customWidth="1"/>
    <col min="2395" max="2395" width="12.5703125" bestFit="1" customWidth="1"/>
    <col min="2396" max="2396" width="17.7109375" bestFit="1" customWidth="1"/>
    <col min="2397" max="2397" width="15.5703125" bestFit="1" customWidth="1"/>
    <col min="2398" max="2398" width="12.5703125" bestFit="1" customWidth="1"/>
    <col min="2399" max="2399" width="17.7109375" bestFit="1" customWidth="1"/>
    <col min="2400" max="2400" width="15.5703125" bestFit="1" customWidth="1"/>
    <col min="2401" max="2401" width="12.5703125" bestFit="1" customWidth="1"/>
    <col min="2402" max="2402" width="17.7109375" bestFit="1" customWidth="1"/>
    <col min="2403" max="2403" width="15.5703125" bestFit="1" customWidth="1"/>
    <col min="2404" max="2404" width="13.28515625" bestFit="1" customWidth="1"/>
    <col min="2405" max="2405" width="17.7109375" bestFit="1" customWidth="1"/>
    <col min="2406" max="2406" width="15.5703125" bestFit="1" customWidth="1"/>
    <col min="2407" max="2407" width="12.5703125" bestFit="1" customWidth="1"/>
    <col min="2408" max="2408" width="17.7109375" bestFit="1" customWidth="1"/>
    <col min="2409" max="2409" width="15.5703125" bestFit="1" customWidth="1"/>
    <col min="2410" max="2410" width="12.5703125" bestFit="1" customWidth="1"/>
    <col min="2411" max="2411" width="17.7109375" bestFit="1" customWidth="1"/>
    <col min="2412" max="2412" width="15.5703125" bestFit="1" customWidth="1"/>
    <col min="2413" max="2413" width="13.28515625" bestFit="1" customWidth="1"/>
    <col min="2414" max="2414" width="17.7109375" bestFit="1" customWidth="1"/>
    <col min="2415" max="2415" width="15.5703125" bestFit="1" customWidth="1"/>
    <col min="2416" max="2416" width="13.28515625" bestFit="1" customWidth="1"/>
    <col min="2417" max="2417" width="17.7109375" bestFit="1" customWidth="1"/>
    <col min="2418" max="2418" width="15.5703125" bestFit="1" customWidth="1"/>
    <col min="2419" max="2419" width="13.28515625" bestFit="1" customWidth="1"/>
    <col min="2420" max="2420" width="17.7109375" bestFit="1" customWidth="1"/>
    <col min="2421" max="2421" width="15.5703125" bestFit="1" customWidth="1"/>
    <col min="2422" max="2422" width="12.5703125" bestFit="1" customWidth="1"/>
    <col min="2423" max="2423" width="17.7109375" bestFit="1" customWidth="1"/>
    <col min="2424" max="2424" width="15.5703125" bestFit="1" customWidth="1"/>
    <col min="2425" max="2425" width="13.28515625" bestFit="1" customWidth="1"/>
    <col min="2426" max="2426" width="17.7109375" bestFit="1" customWidth="1"/>
    <col min="2427" max="2427" width="15.5703125" bestFit="1" customWidth="1"/>
    <col min="2428" max="2428" width="12.5703125" bestFit="1" customWidth="1"/>
    <col min="2429" max="2429" width="17.7109375" bestFit="1" customWidth="1"/>
    <col min="2430" max="2430" width="15.5703125" bestFit="1" customWidth="1"/>
    <col min="2431" max="2431" width="13.28515625" bestFit="1" customWidth="1"/>
    <col min="2432" max="2432" width="17.7109375" bestFit="1" customWidth="1"/>
    <col min="2433" max="2433" width="15.5703125" bestFit="1" customWidth="1"/>
    <col min="2434" max="2434" width="13.28515625" bestFit="1" customWidth="1"/>
    <col min="2435" max="2435" width="17.7109375" bestFit="1" customWidth="1"/>
    <col min="2436" max="2436" width="15.5703125" bestFit="1" customWidth="1"/>
    <col min="2437" max="2437" width="12.5703125" bestFit="1" customWidth="1"/>
    <col min="2438" max="2438" width="17.7109375" bestFit="1" customWidth="1"/>
    <col min="2439" max="2439" width="15.5703125" bestFit="1" customWidth="1"/>
    <col min="2440" max="2440" width="12.5703125" bestFit="1" customWidth="1"/>
    <col min="2441" max="2441" width="17.7109375" bestFit="1" customWidth="1"/>
    <col min="2442" max="2442" width="15.5703125" bestFit="1" customWidth="1"/>
    <col min="2443" max="2443" width="13.28515625" bestFit="1" customWidth="1"/>
    <col min="2444" max="2444" width="17.7109375" bestFit="1" customWidth="1"/>
    <col min="2445" max="2445" width="15.5703125" bestFit="1" customWidth="1"/>
    <col min="2446" max="2446" width="12.5703125" bestFit="1" customWidth="1"/>
    <col min="2447" max="2447" width="17.7109375" bestFit="1" customWidth="1"/>
    <col min="2448" max="2448" width="15.5703125" bestFit="1" customWidth="1"/>
    <col min="2449" max="2449" width="12.5703125" bestFit="1" customWidth="1"/>
    <col min="2450" max="2450" width="17.7109375" bestFit="1" customWidth="1"/>
    <col min="2451" max="2451" width="15.5703125" bestFit="1" customWidth="1"/>
    <col min="2452" max="2452" width="12.5703125" bestFit="1" customWidth="1"/>
    <col min="2453" max="2453" width="17.7109375" bestFit="1" customWidth="1"/>
    <col min="2454" max="2454" width="15.5703125" bestFit="1" customWidth="1"/>
    <col min="2455" max="2455" width="12.5703125" bestFit="1" customWidth="1"/>
    <col min="2456" max="2456" width="17.7109375" bestFit="1" customWidth="1"/>
    <col min="2457" max="2457" width="15.5703125" bestFit="1" customWidth="1"/>
    <col min="2458" max="2458" width="12.5703125" bestFit="1" customWidth="1"/>
    <col min="2459" max="2459" width="17.7109375" bestFit="1" customWidth="1"/>
    <col min="2460" max="2460" width="15.5703125" bestFit="1" customWidth="1"/>
    <col min="2461" max="2461" width="12.5703125" bestFit="1" customWidth="1"/>
    <col min="2462" max="2462" width="17.7109375" bestFit="1" customWidth="1"/>
    <col min="2463" max="2463" width="15.5703125" bestFit="1" customWidth="1"/>
    <col min="2464" max="2464" width="13.28515625" bestFit="1" customWidth="1"/>
    <col min="2465" max="2465" width="17.7109375" bestFit="1" customWidth="1"/>
    <col min="2466" max="2466" width="15.5703125" bestFit="1" customWidth="1"/>
    <col min="2467" max="2467" width="12.5703125" bestFit="1" customWidth="1"/>
    <col min="2468" max="2468" width="17.7109375" bestFit="1" customWidth="1"/>
    <col min="2469" max="2469" width="15.5703125" bestFit="1" customWidth="1"/>
    <col min="2470" max="2470" width="12.5703125" bestFit="1" customWidth="1"/>
    <col min="2471" max="2471" width="17.7109375" bestFit="1" customWidth="1"/>
    <col min="2472" max="2472" width="15.5703125" bestFit="1" customWidth="1"/>
    <col min="2473" max="2473" width="12.5703125" bestFit="1" customWidth="1"/>
    <col min="2474" max="2474" width="17.7109375" bestFit="1" customWidth="1"/>
    <col min="2475" max="2475" width="15.5703125" bestFit="1" customWidth="1"/>
    <col min="2476" max="2476" width="12.5703125" bestFit="1" customWidth="1"/>
    <col min="2477" max="2477" width="17.7109375" bestFit="1" customWidth="1"/>
    <col min="2478" max="2478" width="15.5703125" bestFit="1" customWidth="1"/>
    <col min="2479" max="2479" width="13.28515625" bestFit="1" customWidth="1"/>
    <col min="2480" max="2480" width="17.7109375" bestFit="1" customWidth="1"/>
    <col min="2481" max="2481" width="15.5703125" bestFit="1" customWidth="1"/>
    <col min="2482" max="2482" width="12.5703125" bestFit="1" customWidth="1"/>
    <col min="2483" max="2483" width="17.7109375" bestFit="1" customWidth="1"/>
    <col min="2484" max="2484" width="15.5703125" bestFit="1" customWidth="1"/>
    <col min="2485" max="2485" width="12.5703125" bestFit="1" customWidth="1"/>
    <col min="2486" max="2486" width="17.7109375" bestFit="1" customWidth="1"/>
    <col min="2487" max="2487" width="15.5703125" bestFit="1" customWidth="1"/>
    <col min="2488" max="2488" width="12.5703125" bestFit="1" customWidth="1"/>
    <col min="2489" max="2489" width="17.7109375" bestFit="1" customWidth="1"/>
    <col min="2490" max="2490" width="15.5703125" bestFit="1" customWidth="1"/>
    <col min="2491" max="2491" width="13.28515625" bestFit="1" customWidth="1"/>
    <col min="2492" max="2492" width="17.7109375" bestFit="1" customWidth="1"/>
    <col min="2493" max="2493" width="15.5703125" bestFit="1" customWidth="1"/>
    <col min="2494" max="2494" width="12.5703125" bestFit="1" customWidth="1"/>
    <col min="2495" max="2495" width="17.7109375" bestFit="1" customWidth="1"/>
    <col min="2496" max="2496" width="15.5703125" bestFit="1" customWidth="1"/>
    <col min="2497" max="2497" width="13.28515625" bestFit="1" customWidth="1"/>
    <col min="2498" max="2498" width="17.7109375" bestFit="1" customWidth="1"/>
    <col min="2499" max="2499" width="15.5703125" bestFit="1" customWidth="1"/>
    <col min="2500" max="2500" width="13.28515625" bestFit="1" customWidth="1"/>
    <col min="2501" max="2501" width="17.7109375" bestFit="1" customWidth="1"/>
    <col min="2502" max="2502" width="15.5703125" bestFit="1" customWidth="1"/>
    <col min="2503" max="2503" width="12.5703125" bestFit="1" customWidth="1"/>
    <col min="2504" max="2504" width="17.7109375" bestFit="1" customWidth="1"/>
    <col min="2505" max="2505" width="15.5703125" bestFit="1" customWidth="1"/>
    <col min="2506" max="2506" width="13.28515625" bestFit="1" customWidth="1"/>
    <col min="2507" max="2507" width="17.7109375" bestFit="1" customWidth="1"/>
    <col min="2508" max="2508" width="15.5703125" bestFit="1" customWidth="1"/>
    <col min="2509" max="2509" width="12.5703125" bestFit="1" customWidth="1"/>
    <col min="2510" max="2510" width="17.7109375" bestFit="1" customWidth="1"/>
    <col min="2511" max="2511" width="15.5703125" bestFit="1" customWidth="1"/>
    <col min="2512" max="2512" width="12.5703125" bestFit="1" customWidth="1"/>
    <col min="2513" max="2513" width="17.7109375" bestFit="1" customWidth="1"/>
    <col min="2514" max="2514" width="15.5703125" bestFit="1" customWidth="1"/>
    <col min="2515" max="2515" width="12.5703125" bestFit="1" customWidth="1"/>
    <col min="2516" max="2516" width="17.7109375" bestFit="1" customWidth="1"/>
    <col min="2517" max="2517" width="15.5703125" bestFit="1" customWidth="1"/>
    <col min="2518" max="2518" width="12.5703125" bestFit="1" customWidth="1"/>
    <col min="2519" max="2519" width="17.7109375" bestFit="1" customWidth="1"/>
    <col min="2520" max="2520" width="15.5703125" bestFit="1" customWidth="1"/>
    <col min="2521" max="2521" width="13.28515625" bestFit="1" customWidth="1"/>
    <col min="2522" max="2522" width="17.7109375" bestFit="1" customWidth="1"/>
    <col min="2523" max="2523" width="15.5703125" bestFit="1" customWidth="1"/>
    <col min="2524" max="2524" width="13.28515625" bestFit="1" customWidth="1"/>
    <col min="2525" max="2525" width="17.7109375" bestFit="1" customWidth="1"/>
    <col min="2526" max="2526" width="15.5703125" bestFit="1" customWidth="1"/>
    <col min="2527" max="2527" width="12.5703125" bestFit="1" customWidth="1"/>
    <col min="2528" max="2528" width="17.7109375" bestFit="1" customWidth="1"/>
    <col min="2529" max="2529" width="15.5703125" bestFit="1" customWidth="1"/>
    <col min="2530" max="2530" width="12.5703125" bestFit="1" customWidth="1"/>
    <col min="2531" max="2531" width="17.7109375" bestFit="1" customWidth="1"/>
    <col min="2532" max="2532" width="15.5703125" bestFit="1" customWidth="1"/>
    <col min="2533" max="2533" width="12.5703125" bestFit="1" customWidth="1"/>
    <col min="2534" max="2534" width="17.7109375" bestFit="1" customWidth="1"/>
    <col min="2535" max="2535" width="15.5703125" bestFit="1" customWidth="1"/>
    <col min="2536" max="2536" width="13.28515625" bestFit="1" customWidth="1"/>
    <col min="2537" max="2537" width="17.7109375" bestFit="1" customWidth="1"/>
    <col min="2538" max="2538" width="15.5703125" bestFit="1" customWidth="1"/>
    <col min="2539" max="2539" width="12.5703125" bestFit="1" customWidth="1"/>
    <col min="2540" max="2540" width="17.7109375" bestFit="1" customWidth="1"/>
    <col min="2541" max="2541" width="15.5703125" bestFit="1" customWidth="1"/>
    <col min="2542" max="2542" width="13.28515625" bestFit="1" customWidth="1"/>
    <col min="2543" max="2543" width="17.7109375" bestFit="1" customWidth="1"/>
    <col min="2544" max="2544" width="15.5703125" bestFit="1" customWidth="1"/>
    <col min="2545" max="2545" width="12.5703125" bestFit="1" customWidth="1"/>
    <col min="2546" max="2546" width="17.7109375" bestFit="1" customWidth="1"/>
    <col min="2547" max="2547" width="15.5703125" bestFit="1" customWidth="1"/>
    <col min="2548" max="2548" width="12.5703125" bestFit="1" customWidth="1"/>
    <col min="2549" max="2549" width="17.7109375" bestFit="1" customWidth="1"/>
    <col min="2550" max="2550" width="15.5703125" bestFit="1" customWidth="1"/>
    <col min="2551" max="2551" width="12.5703125" bestFit="1" customWidth="1"/>
    <col min="2552" max="2552" width="17.7109375" bestFit="1" customWidth="1"/>
    <col min="2553" max="2553" width="15.5703125" bestFit="1" customWidth="1"/>
    <col min="2554" max="2554" width="12.5703125" bestFit="1" customWidth="1"/>
    <col min="2555" max="2555" width="17.7109375" bestFit="1" customWidth="1"/>
    <col min="2556" max="2556" width="15.5703125" bestFit="1" customWidth="1"/>
    <col min="2557" max="2557" width="12.5703125" bestFit="1" customWidth="1"/>
    <col min="2558" max="2558" width="17.7109375" bestFit="1" customWidth="1"/>
    <col min="2559" max="2559" width="15.5703125" bestFit="1" customWidth="1"/>
    <col min="2560" max="2560" width="12.5703125" bestFit="1" customWidth="1"/>
    <col min="2561" max="2561" width="17.7109375" bestFit="1" customWidth="1"/>
    <col min="2562" max="2562" width="15.5703125" bestFit="1" customWidth="1"/>
    <col min="2563" max="2563" width="12.5703125" bestFit="1" customWidth="1"/>
    <col min="2564" max="2564" width="17.7109375" bestFit="1" customWidth="1"/>
    <col min="2565" max="2565" width="15.5703125" bestFit="1" customWidth="1"/>
    <col min="2566" max="2566" width="13.28515625" bestFit="1" customWidth="1"/>
    <col min="2567" max="2567" width="17.7109375" bestFit="1" customWidth="1"/>
    <col min="2568" max="2568" width="15.5703125" bestFit="1" customWidth="1"/>
    <col min="2569" max="2569" width="13.28515625" bestFit="1" customWidth="1"/>
    <col min="2570" max="2570" width="17.7109375" bestFit="1" customWidth="1"/>
    <col min="2571" max="2571" width="15.5703125" bestFit="1" customWidth="1"/>
    <col min="2572" max="2572" width="12.5703125" bestFit="1" customWidth="1"/>
    <col min="2573" max="2573" width="17.7109375" bestFit="1" customWidth="1"/>
    <col min="2574" max="2574" width="15.5703125" bestFit="1" customWidth="1"/>
    <col min="2575" max="2575" width="13.28515625" bestFit="1" customWidth="1"/>
    <col min="2576" max="2576" width="17.7109375" bestFit="1" customWidth="1"/>
    <col min="2577" max="2577" width="15.5703125" bestFit="1" customWidth="1"/>
    <col min="2578" max="2578" width="12.5703125" bestFit="1" customWidth="1"/>
    <col min="2579" max="2579" width="17.7109375" bestFit="1" customWidth="1"/>
    <col min="2580" max="2580" width="15.5703125" bestFit="1" customWidth="1"/>
    <col min="2581" max="2581" width="12.5703125" bestFit="1" customWidth="1"/>
    <col min="2582" max="2582" width="17.7109375" bestFit="1" customWidth="1"/>
    <col min="2583" max="2583" width="15.5703125" bestFit="1" customWidth="1"/>
    <col min="2584" max="2584" width="12.5703125" bestFit="1" customWidth="1"/>
    <col min="2585" max="2585" width="17.7109375" bestFit="1" customWidth="1"/>
    <col min="2586" max="2586" width="15.5703125" bestFit="1" customWidth="1"/>
    <col min="2587" max="2587" width="13.28515625" bestFit="1" customWidth="1"/>
    <col min="2588" max="2588" width="17.7109375" bestFit="1" customWidth="1"/>
    <col min="2589" max="2589" width="15.5703125" bestFit="1" customWidth="1"/>
    <col min="2590" max="2590" width="13.28515625" bestFit="1" customWidth="1"/>
    <col min="2591" max="2591" width="17.7109375" bestFit="1" customWidth="1"/>
    <col min="2592" max="2592" width="15.5703125" bestFit="1" customWidth="1"/>
    <col min="2593" max="2593" width="13.28515625" bestFit="1" customWidth="1"/>
    <col min="2594" max="2594" width="17.7109375" bestFit="1" customWidth="1"/>
    <col min="2595" max="2595" width="15.5703125" bestFit="1" customWidth="1"/>
    <col min="2596" max="2596" width="13.28515625" bestFit="1" customWidth="1"/>
    <col min="2597" max="2597" width="17.7109375" bestFit="1" customWidth="1"/>
    <col min="2598" max="2598" width="15.5703125" bestFit="1" customWidth="1"/>
    <col min="2599" max="2599" width="12.5703125" bestFit="1" customWidth="1"/>
    <col min="2600" max="2600" width="17.7109375" bestFit="1" customWidth="1"/>
    <col min="2601" max="2601" width="15.5703125" bestFit="1" customWidth="1"/>
    <col min="2602" max="2602" width="12.5703125" bestFit="1" customWidth="1"/>
    <col min="2603" max="2603" width="17.7109375" bestFit="1" customWidth="1"/>
    <col min="2604" max="2604" width="15.5703125" bestFit="1" customWidth="1"/>
    <col min="2605" max="2605" width="13.28515625" bestFit="1" customWidth="1"/>
    <col min="2606" max="2606" width="17.7109375" bestFit="1" customWidth="1"/>
    <col min="2607" max="2607" width="15.5703125" bestFit="1" customWidth="1"/>
    <col min="2608" max="2608" width="12.5703125" bestFit="1" customWidth="1"/>
    <col min="2609" max="2609" width="17.7109375" bestFit="1" customWidth="1"/>
    <col min="2610" max="2610" width="15.5703125" bestFit="1" customWidth="1"/>
    <col min="2611" max="2611" width="12.5703125" bestFit="1" customWidth="1"/>
    <col min="2612" max="2612" width="17.7109375" bestFit="1" customWidth="1"/>
    <col min="2613" max="2613" width="15.5703125" bestFit="1" customWidth="1"/>
    <col min="2614" max="2614" width="12.5703125" bestFit="1" customWidth="1"/>
    <col min="2615" max="2615" width="17.7109375" bestFit="1" customWidth="1"/>
    <col min="2616" max="2616" width="15.5703125" bestFit="1" customWidth="1"/>
    <col min="2617" max="2617" width="12.5703125" bestFit="1" customWidth="1"/>
    <col min="2618" max="2618" width="17.7109375" bestFit="1" customWidth="1"/>
    <col min="2619" max="2619" width="15.5703125" bestFit="1" customWidth="1"/>
    <col min="2620" max="2620" width="12.5703125" bestFit="1" customWidth="1"/>
    <col min="2621" max="2621" width="17.7109375" bestFit="1" customWidth="1"/>
    <col min="2622" max="2622" width="15.5703125" bestFit="1" customWidth="1"/>
    <col min="2623" max="2623" width="12.5703125" bestFit="1" customWidth="1"/>
    <col min="2624" max="2624" width="17.7109375" bestFit="1" customWidth="1"/>
    <col min="2625" max="2625" width="15.5703125" bestFit="1" customWidth="1"/>
    <col min="2626" max="2626" width="13.28515625" bestFit="1" customWidth="1"/>
    <col min="2627" max="2627" width="17.7109375" bestFit="1" customWidth="1"/>
    <col min="2628" max="2628" width="15.5703125" bestFit="1" customWidth="1"/>
    <col min="2629" max="2629" width="12.5703125" bestFit="1" customWidth="1"/>
    <col min="2630" max="2630" width="17.7109375" bestFit="1" customWidth="1"/>
    <col min="2631" max="2631" width="15.5703125" bestFit="1" customWidth="1"/>
    <col min="2632" max="2632" width="13.28515625" bestFit="1" customWidth="1"/>
    <col min="2633" max="2633" width="17.7109375" bestFit="1" customWidth="1"/>
    <col min="2634" max="2634" width="15.5703125" bestFit="1" customWidth="1"/>
    <col min="2635" max="2635" width="12.5703125" bestFit="1" customWidth="1"/>
    <col min="2636" max="2636" width="17.7109375" bestFit="1" customWidth="1"/>
    <col min="2637" max="2637" width="15.5703125" bestFit="1" customWidth="1"/>
    <col min="2638" max="2638" width="13.28515625" bestFit="1" customWidth="1"/>
    <col min="2639" max="2639" width="17.7109375" bestFit="1" customWidth="1"/>
    <col min="2640" max="2640" width="15.5703125" bestFit="1" customWidth="1"/>
    <col min="2641" max="2641" width="12.5703125" bestFit="1" customWidth="1"/>
    <col min="2642" max="2642" width="17.7109375" bestFit="1" customWidth="1"/>
    <col min="2643" max="2643" width="15.5703125" bestFit="1" customWidth="1"/>
    <col min="2644" max="2644" width="13.28515625" bestFit="1" customWidth="1"/>
    <col min="2645" max="2645" width="17.7109375" bestFit="1" customWidth="1"/>
    <col min="2646" max="2646" width="15.5703125" bestFit="1" customWidth="1"/>
    <col min="2647" max="2647" width="12.5703125" bestFit="1" customWidth="1"/>
    <col min="2648" max="2648" width="17.7109375" bestFit="1" customWidth="1"/>
    <col min="2649" max="2649" width="15.5703125" bestFit="1" customWidth="1"/>
    <col min="2650" max="2650" width="13.28515625" bestFit="1" customWidth="1"/>
    <col min="2651" max="2651" width="17.7109375" bestFit="1" customWidth="1"/>
    <col min="2652" max="2652" width="15.5703125" bestFit="1" customWidth="1"/>
    <col min="2653" max="2653" width="13.28515625" bestFit="1" customWidth="1"/>
    <col min="2654" max="2654" width="17.7109375" bestFit="1" customWidth="1"/>
    <col min="2655" max="2655" width="15.5703125" bestFit="1" customWidth="1"/>
    <col min="2656" max="2656" width="12.5703125" bestFit="1" customWidth="1"/>
    <col min="2657" max="2657" width="17.7109375" bestFit="1" customWidth="1"/>
    <col min="2658" max="2658" width="15.5703125" bestFit="1" customWidth="1"/>
    <col min="2659" max="2659" width="12.5703125" bestFit="1" customWidth="1"/>
    <col min="2660" max="2660" width="17.7109375" bestFit="1" customWidth="1"/>
    <col min="2661" max="2661" width="15.5703125" bestFit="1" customWidth="1"/>
    <col min="2662" max="2662" width="13.28515625" bestFit="1" customWidth="1"/>
    <col min="2663" max="2663" width="17.7109375" bestFit="1" customWidth="1"/>
    <col min="2664" max="2664" width="15.5703125" bestFit="1" customWidth="1"/>
    <col min="2665" max="2665" width="13.28515625" bestFit="1" customWidth="1"/>
    <col min="2666" max="2666" width="17.7109375" bestFit="1" customWidth="1"/>
    <col min="2667" max="2667" width="15.5703125" bestFit="1" customWidth="1"/>
    <col min="2668" max="2668" width="12.5703125" bestFit="1" customWidth="1"/>
    <col min="2669" max="2669" width="17.7109375" bestFit="1" customWidth="1"/>
    <col min="2670" max="2670" width="15.5703125" bestFit="1" customWidth="1"/>
    <col min="2671" max="2671" width="12.5703125" bestFit="1" customWidth="1"/>
    <col min="2672" max="2672" width="17.7109375" bestFit="1" customWidth="1"/>
    <col min="2673" max="2673" width="15.5703125" bestFit="1" customWidth="1"/>
    <col min="2674" max="2674" width="13.28515625" bestFit="1" customWidth="1"/>
    <col min="2675" max="2675" width="17.7109375" bestFit="1" customWidth="1"/>
    <col min="2676" max="2676" width="15.5703125" bestFit="1" customWidth="1"/>
    <col min="2677" max="2677" width="12.5703125" bestFit="1" customWidth="1"/>
    <col min="2678" max="2678" width="17.7109375" bestFit="1" customWidth="1"/>
    <col min="2679" max="2679" width="15.5703125" bestFit="1" customWidth="1"/>
    <col min="2680" max="2680" width="13.28515625" bestFit="1" customWidth="1"/>
    <col min="2681" max="2681" width="17.7109375" bestFit="1" customWidth="1"/>
    <col min="2682" max="2682" width="15.5703125" bestFit="1" customWidth="1"/>
    <col min="2683" max="2683" width="12.5703125" bestFit="1" customWidth="1"/>
    <col min="2684" max="2684" width="17.7109375" bestFit="1" customWidth="1"/>
    <col min="2685" max="2685" width="15.5703125" bestFit="1" customWidth="1"/>
    <col min="2686" max="2686" width="12.5703125" bestFit="1" customWidth="1"/>
    <col min="2687" max="2687" width="17.7109375" bestFit="1" customWidth="1"/>
    <col min="2688" max="2688" width="15.5703125" bestFit="1" customWidth="1"/>
    <col min="2689" max="2689" width="12.5703125" bestFit="1" customWidth="1"/>
    <col min="2690" max="2690" width="17.7109375" bestFit="1" customWidth="1"/>
    <col min="2691" max="2691" width="15.5703125" bestFit="1" customWidth="1"/>
    <col min="2692" max="2692" width="12.5703125" bestFit="1" customWidth="1"/>
    <col min="2693" max="2693" width="17.7109375" bestFit="1" customWidth="1"/>
    <col min="2694" max="2694" width="15.5703125" bestFit="1" customWidth="1"/>
    <col min="2695" max="2695" width="12.5703125" bestFit="1" customWidth="1"/>
    <col min="2696" max="2696" width="17.7109375" bestFit="1" customWidth="1"/>
    <col min="2697" max="2697" width="15.5703125" bestFit="1" customWidth="1"/>
    <col min="2698" max="2698" width="12.5703125" bestFit="1" customWidth="1"/>
    <col min="2699" max="2699" width="17.7109375" bestFit="1" customWidth="1"/>
    <col min="2700" max="2700" width="15.5703125" bestFit="1" customWidth="1"/>
    <col min="2701" max="2701" width="12.5703125" bestFit="1" customWidth="1"/>
    <col min="2702" max="2702" width="17.7109375" bestFit="1" customWidth="1"/>
    <col min="2703" max="2703" width="15.5703125" bestFit="1" customWidth="1"/>
    <col min="2704" max="2704" width="12.5703125" bestFit="1" customWidth="1"/>
    <col min="2705" max="2705" width="17.7109375" bestFit="1" customWidth="1"/>
    <col min="2706" max="2706" width="15.5703125" bestFit="1" customWidth="1"/>
    <col min="2707" max="2707" width="12.5703125" bestFit="1" customWidth="1"/>
    <col min="2708" max="2708" width="17.7109375" bestFit="1" customWidth="1"/>
    <col min="2709" max="2709" width="15.5703125" bestFit="1" customWidth="1"/>
    <col min="2710" max="2710" width="12.5703125" bestFit="1" customWidth="1"/>
    <col min="2711" max="2711" width="17.7109375" bestFit="1" customWidth="1"/>
    <col min="2712" max="2712" width="15.5703125" bestFit="1" customWidth="1"/>
    <col min="2713" max="2713" width="12.5703125" bestFit="1" customWidth="1"/>
    <col min="2714" max="2714" width="17.7109375" bestFit="1" customWidth="1"/>
    <col min="2715" max="2715" width="15.5703125" bestFit="1" customWidth="1"/>
    <col min="2716" max="2716" width="12.5703125" bestFit="1" customWidth="1"/>
    <col min="2717" max="2717" width="17.7109375" bestFit="1" customWidth="1"/>
    <col min="2718" max="2718" width="15.5703125" bestFit="1" customWidth="1"/>
    <col min="2719" max="2719" width="12.5703125" bestFit="1" customWidth="1"/>
    <col min="2720" max="2720" width="17.7109375" bestFit="1" customWidth="1"/>
    <col min="2721" max="2721" width="15.5703125" bestFit="1" customWidth="1"/>
    <col min="2722" max="2722" width="13.28515625" bestFit="1" customWidth="1"/>
    <col min="2723" max="2723" width="17.7109375" bestFit="1" customWidth="1"/>
    <col min="2724" max="2724" width="15.5703125" bestFit="1" customWidth="1"/>
    <col min="2725" max="2725" width="12.5703125" bestFit="1" customWidth="1"/>
    <col min="2726" max="2726" width="17.7109375" bestFit="1" customWidth="1"/>
    <col min="2727" max="2727" width="15.5703125" bestFit="1" customWidth="1"/>
    <col min="2728" max="2728" width="12.5703125" bestFit="1" customWidth="1"/>
    <col min="2729" max="2729" width="17.7109375" bestFit="1" customWidth="1"/>
    <col min="2730" max="2730" width="15.5703125" bestFit="1" customWidth="1"/>
    <col min="2731" max="2731" width="12.5703125" bestFit="1" customWidth="1"/>
    <col min="2732" max="2732" width="17.7109375" bestFit="1" customWidth="1"/>
    <col min="2733" max="2733" width="15.5703125" bestFit="1" customWidth="1"/>
    <col min="2734" max="2734" width="13.28515625" bestFit="1" customWidth="1"/>
    <col min="2735" max="2735" width="17.7109375" bestFit="1" customWidth="1"/>
    <col min="2736" max="2736" width="15.5703125" bestFit="1" customWidth="1"/>
    <col min="2737" max="2737" width="13.28515625" bestFit="1" customWidth="1"/>
    <col min="2738" max="2738" width="17.7109375" bestFit="1" customWidth="1"/>
    <col min="2739" max="2739" width="15.5703125" bestFit="1" customWidth="1"/>
    <col min="2740" max="2740" width="13.28515625" bestFit="1" customWidth="1"/>
    <col min="2741" max="2741" width="17.7109375" bestFit="1" customWidth="1"/>
    <col min="2742" max="2742" width="15.5703125" bestFit="1" customWidth="1"/>
    <col min="2743" max="2743" width="13.28515625" bestFit="1" customWidth="1"/>
    <col min="2744" max="2744" width="17.7109375" bestFit="1" customWidth="1"/>
    <col min="2745" max="2745" width="15.5703125" bestFit="1" customWidth="1"/>
    <col min="2746" max="2746" width="12.5703125" bestFit="1" customWidth="1"/>
    <col min="2747" max="2747" width="17.7109375" bestFit="1" customWidth="1"/>
    <col min="2748" max="2748" width="15.5703125" bestFit="1" customWidth="1"/>
    <col min="2749" max="2749" width="13.28515625" bestFit="1" customWidth="1"/>
    <col min="2750" max="2750" width="17.7109375" bestFit="1" customWidth="1"/>
    <col min="2751" max="2751" width="15.5703125" bestFit="1" customWidth="1"/>
    <col min="2752" max="2752" width="13.28515625" bestFit="1" customWidth="1"/>
    <col min="2753" max="2753" width="17.7109375" bestFit="1" customWidth="1"/>
    <col min="2754" max="2754" width="15.5703125" bestFit="1" customWidth="1"/>
    <col min="2755" max="2755" width="12.5703125" bestFit="1" customWidth="1"/>
    <col min="2756" max="2756" width="17.7109375" bestFit="1" customWidth="1"/>
    <col min="2757" max="2757" width="15.5703125" bestFit="1" customWidth="1"/>
    <col min="2758" max="2758" width="12.5703125" bestFit="1" customWidth="1"/>
    <col min="2759" max="2759" width="17.7109375" bestFit="1" customWidth="1"/>
    <col min="2760" max="2760" width="15.5703125" bestFit="1" customWidth="1"/>
    <col min="2761" max="2761" width="12.5703125" bestFit="1" customWidth="1"/>
    <col min="2762" max="2762" width="17.7109375" bestFit="1" customWidth="1"/>
    <col min="2763" max="2763" width="15.5703125" bestFit="1" customWidth="1"/>
    <col min="2764" max="2764" width="12.5703125" bestFit="1" customWidth="1"/>
    <col min="2765" max="2765" width="17.7109375" bestFit="1" customWidth="1"/>
    <col min="2766" max="2766" width="15.5703125" bestFit="1" customWidth="1"/>
    <col min="2767" max="2767" width="12.5703125" bestFit="1" customWidth="1"/>
    <col min="2768" max="2768" width="17.7109375" bestFit="1" customWidth="1"/>
    <col min="2769" max="2769" width="15.5703125" bestFit="1" customWidth="1"/>
    <col min="2770" max="2770" width="13.28515625" bestFit="1" customWidth="1"/>
    <col min="2771" max="2771" width="17.7109375" bestFit="1" customWidth="1"/>
    <col min="2772" max="2772" width="15.5703125" bestFit="1" customWidth="1"/>
    <col min="2773" max="2773" width="13.28515625" bestFit="1" customWidth="1"/>
    <col min="2774" max="2774" width="17.7109375" bestFit="1" customWidth="1"/>
    <col min="2775" max="2775" width="15.5703125" bestFit="1" customWidth="1"/>
    <col min="2776" max="2776" width="13.28515625" bestFit="1" customWidth="1"/>
    <col min="2777" max="2777" width="17.7109375" bestFit="1" customWidth="1"/>
    <col min="2778" max="2778" width="15.5703125" bestFit="1" customWidth="1"/>
    <col min="2779" max="2779" width="12.5703125" bestFit="1" customWidth="1"/>
    <col min="2780" max="2780" width="17.7109375" bestFit="1" customWidth="1"/>
    <col min="2781" max="2781" width="15.5703125" bestFit="1" customWidth="1"/>
    <col min="2782" max="2782" width="12.5703125" bestFit="1" customWidth="1"/>
    <col min="2783" max="2783" width="17.7109375" bestFit="1" customWidth="1"/>
    <col min="2784" max="2784" width="15.5703125" bestFit="1" customWidth="1"/>
    <col min="2785" max="2785" width="13.28515625" bestFit="1" customWidth="1"/>
    <col min="2786" max="2786" width="17.7109375" bestFit="1" customWidth="1"/>
    <col min="2787" max="2787" width="15.5703125" bestFit="1" customWidth="1"/>
    <col min="2788" max="2788" width="13.28515625" bestFit="1" customWidth="1"/>
    <col min="2789" max="2789" width="17.7109375" bestFit="1" customWidth="1"/>
    <col min="2790" max="2790" width="15.5703125" bestFit="1" customWidth="1"/>
    <col min="2791" max="2791" width="13.28515625" bestFit="1" customWidth="1"/>
    <col min="2792" max="2792" width="17.7109375" bestFit="1" customWidth="1"/>
    <col min="2793" max="2793" width="15.5703125" bestFit="1" customWidth="1"/>
    <col min="2794" max="2794" width="12.5703125" bestFit="1" customWidth="1"/>
    <col min="2795" max="2795" width="17.7109375" bestFit="1" customWidth="1"/>
    <col min="2796" max="2796" width="15.5703125" bestFit="1" customWidth="1"/>
    <col min="2797" max="2797" width="13.28515625" bestFit="1" customWidth="1"/>
    <col min="2798" max="2798" width="17.7109375" bestFit="1" customWidth="1"/>
    <col min="2799" max="2799" width="15.5703125" bestFit="1" customWidth="1"/>
    <col min="2800" max="2800" width="13.28515625" bestFit="1" customWidth="1"/>
    <col min="2801" max="2801" width="17.7109375" bestFit="1" customWidth="1"/>
    <col min="2802" max="2802" width="15.5703125" bestFit="1" customWidth="1"/>
    <col min="2803" max="2803" width="13.28515625" bestFit="1" customWidth="1"/>
    <col min="2804" max="2804" width="17.7109375" bestFit="1" customWidth="1"/>
    <col min="2805" max="2805" width="15.5703125" bestFit="1" customWidth="1"/>
    <col min="2806" max="2806" width="12.5703125" bestFit="1" customWidth="1"/>
    <col min="2807" max="2807" width="17.7109375" bestFit="1" customWidth="1"/>
    <col min="2808" max="2808" width="15.5703125" bestFit="1" customWidth="1"/>
    <col min="2809" max="2809" width="13.28515625" bestFit="1" customWidth="1"/>
    <col min="2810" max="2810" width="17.7109375" bestFit="1" customWidth="1"/>
    <col min="2811" max="2811" width="15.5703125" bestFit="1" customWidth="1"/>
    <col min="2812" max="2812" width="13.28515625" bestFit="1" customWidth="1"/>
    <col min="2813" max="2813" width="17.7109375" bestFit="1" customWidth="1"/>
    <col min="2814" max="2814" width="15.5703125" bestFit="1" customWidth="1"/>
    <col min="2815" max="2815" width="12.5703125" bestFit="1" customWidth="1"/>
    <col min="2816" max="2816" width="17.7109375" bestFit="1" customWidth="1"/>
    <col min="2817" max="2817" width="15.5703125" bestFit="1" customWidth="1"/>
    <col min="2818" max="2818" width="12.5703125" bestFit="1" customWidth="1"/>
    <col min="2819" max="2819" width="17.7109375" bestFit="1" customWidth="1"/>
    <col min="2820" max="2820" width="15.5703125" bestFit="1" customWidth="1"/>
    <col min="2821" max="2821" width="13.28515625" bestFit="1" customWidth="1"/>
    <col min="2822" max="2822" width="17.7109375" bestFit="1" customWidth="1"/>
    <col min="2823" max="2823" width="15.5703125" bestFit="1" customWidth="1"/>
    <col min="2824" max="2824" width="12.5703125" bestFit="1" customWidth="1"/>
    <col min="2825" max="2825" width="17.7109375" bestFit="1" customWidth="1"/>
    <col min="2826" max="2826" width="15.5703125" bestFit="1" customWidth="1"/>
    <col min="2827" max="2827" width="13.28515625" bestFit="1" customWidth="1"/>
    <col min="2828" max="2828" width="17.7109375" bestFit="1" customWidth="1"/>
    <col min="2829" max="2829" width="15.5703125" bestFit="1" customWidth="1"/>
    <col min="2830" max="2830" width="12.5703125" bestFit="1" customWidth="1"/>
    <col min="2831" max="2831" width="17.7109375" bestFit="1" customWidth="1"/>
    <col min="2832" max="2832" width="15.5703125" bestFit="1" customWidth="1"/>
    <col min="2833" max="2833" width="12.5703125" bestFit="1" customWidth="1"/>
    <col min="2834" max="2834" width="17.7109375" bestFit="1" customWidth="1"/>
    <col min="2835" max="2835" width="15.5703125" bestFit="1" customWidth="1"/>
    <col min="2836" max="2836" width="12.5703125" bestFit="1" customWidth="1"/>
    <col min="2837" max="2837" width="17.7109375" bestFit="1" customWidth="1"/>
    <col min="2838" max="2838" width="15.5703125" bestFit="1" customWidth="1"/>
    <col min="2839" max="2839" width="13.28515625" bestFit="1" customWidth="1"/>
    <col min="2840" max="2840" width="17.7109375" bestFit="1" customWidth="1"/>
    <col min="2841" max="2841" width="15.5703125" bestFit="1" customWidth="1"/>
    <col min="2842" max="2842" width="12.5703125" bestFit="1" customWidth="1"/>
    <col min="2843" max="2843" width="17.7109375" bestFit="1" customWidth="1"/>
    <col min="2844" max="2844" width="15.5703125" bestFit="1" customWidth="1"/>
    <col min="2845" max="2845" width="12.5703125" bestFit="1" customWidth="1"/>
    <col min="2846" max="2846" width="17.7109375" bestFit="1" customWidth="1"/>
    <col min="2847" max="2847" width="15.5703125" bestFit="1" customWidth="1"/>
    <col min="2848" max="2848" width="13.28515625" bestFit="1" customWidth="1"/>
    <col min="2849" max="2849" width="17.7109375" bestFit="1" customWidth="1"/>
    <col min="2850" max="2850" width="15.5703125" bestFit="1" customWidth="1"/>
    <col min="2851" max="2851" width="12.5703125" bestFit="1" customWidth="1"/>
    <col min="2852" max="2852" width="17.7109375" bestFit="1" customWidth="1"/>
    <col min="2853" max="2853" width="15.5703125" bestFit="1" customWidth="1"/>
    <col min="2854" max="2854" width="12.5703125" bestFit="1" customWidth="1"/>
    <col min="2855" max="2855" width="17.7109375" bestFit="1" customWidth="1"/>
    <col min="2856" max="2856" width="15.5703125" bestFit="1" customWidth="1"/>
    <col min="2857" max="2857" width="12.5703125" bestFit="1" customWidth="1"/>
    <col min="2858" max="2858" width="17.7109375" bestFit="1" customWidth="1"/>
    <col min="2859" max="2859" width="15.5703125" bestFit="1" customWidth="1"/>
    <col min="2860" max="2860" width="12.5703125" bestFit="1" customWidth="1"/>
    <col min="2861" max="2861" width="17.7109375" bestFit="1" customWidth="1"/>
    <col min="2862" max="2862" width="15.5703125" bestFit="1" customWidth="1"/>
    <col min="2863" max="2863" width="13.28515625" bestFit="1" customWidth="1"/>
    <col min="2864" max="2864" width="17.7109375" bestFit="1" customWidth="1"/>
    <col min="2865" max="2865" width="15.5703125" bestFit="1" customWidth="1"/>
    <col min="2866" max="2866" width="12.5703125" bestFit="1" customWidth="1"/>
    <col min="2867" max="2867" width="17.7109375" bestFit="1" customWidth="1"/>
    <col min="2868" max="2868" width="15.5703125" bestFit="1" customWidth="1"/>
    <col min="2869" max="2869" width="12.5703125" bestFit="1" customWidth="1"/>
    <col min="2870" max="2870" width="17.7109375" bestFit="1" customWidth="1"/>
    <col min="2871" max="2871" width="15.5703125" bestFit="1" customWidth="1"/>
    <col min="2872" max="2872" width="12.5703125" bestFit="1" customWidth="1"/>
    <col min="2873" max="2873" width="17.7109375" bestFit="1" customWidth="1"/>
    <col min="2874" max="2874" width="15.5703125" bestFit="1" customWidth="1"/>
    <col min="2875" max="2875" width="12.5703125" bestFit="1" customWidth="1"/>
    <col min="2876" max="2876" width="17.7109375" bestFit="1" customWidth="1"/>
    <col min="2877" max="2877" width="15.5703125" bestFit="1" customWidth="1"/>
    <col min="2878" max="2878" width="13.28515625" bestFit="1" customWidth="1"/>
    <col min="2879" max="2879" width="17.7109375" bestFit="1" customWidth="1"/>
    <col min="2880" max="2880" width="15.5703125" bestFit="1" customWidth="1"/>
    <col min="2881" max="2881" width="12.5703125" bestFit="1" customWidth="1"/>
    <col min="2882" max="2882" width="17.7109375" bestFit="1" customWidth="1"/>
    <col min="2883" max="2883" width="15.5703125" bestFit="1" customWidth="1"/>
    <col min="2884" max="2884" width="12.5703125" bestFit="1" customWidth="1"/>
    <col min="2885" max="2885" width="17.7109375" bestFit="1" customWidth="1"/>
    <col min="2886" max="2886" width="15.5703125" bestFit="1" customWidth="1"/>
    <col min="2887" max="2887" width="12.5703125" bestFit="1" customWidth="1"/>
    <col min="2888" max="2888" width="17.7109375" bestFit="1" customWidth="1"/>
    <col min="2889" max="2889" width="15.5703125" bestFit="1" customWidth="1"/>
    <col min="2890" max="2890" width="12.5703125" bestFit="1" customWidth="1"/>
    <col min="2891" max="2891" width="17.7109375" bestFit="1" customWidth="1"/>
    <col min="2892" max="2892" width="15.5703125" bestFit="1" customWidth="1"/>
    <col min="2893" max="2893" width="13.28515625" bestFit="1" customWidth="1"/>
    <col min="2894" max="2894" width="17.7109375" bestFit="1" customWidth="1"/>
    <col min="2895" max="2895" width="15.5703125" bestFit="1" customWidth="1"/>
    <col min="2896" max="2896" width="13.28515625" bestFit="1" customWidth="1"/>
    <col min="2897" max="2897" width="17.7109375" bestFit="1" customWidth="1"/>
    <col min="2898" max="2898" width="15.5703125" bestFit="1" customWidth="1"/>
    <col min="2899" max="2899" width="12.5703125" bestFit="1" customWidth="1"/>
    <col min="2900" max="2900" width="17.7109375" bestFit="1" customWidth="1"/>
    <col min="2901" max="2901" width="15.5703125" bestFit="1" customWidth="1"/>
    <col min="2902" max="2902" width="12.5703125" bestFit="1" customWidth="1"/>
    <col min="2903" max="2903" width="17.7109375" bestFit="1" customWidth="1"/>
    <col min="2904" max="2904" width="15.5703125" bestFit="1" customWidth="1"/>
    <col min="2905" max="2905" width="13.28515625" bestFit="1" customWidth="1"/>
    <col min="2906" max="2906" width="17.7109375" bestFit="1" customWidth="1"/>
    <col min="2907" max="2907" width="15.5703125" bestFit="1" customWidth="1"/>
    <col min="2908" max="2908" width="13.28515625" bestFit="1" customWidth="1"/>
    <col min="2909" max="2909" width="17.7109375" bestFit="1" customWidth="1"/>
    <col min="2910" max="2910" width="15.5703125" bestFit="1" customWidth="1"/>
    <col min="2911" max="2911" width="13.28515625" bestFit="1" customWidth="1"/>
    <col min="2912" max="2912" width="17.7109375" bestFit="1" customWidth="1"/>
    <col min="2913" max="2913" width="15.5703125" bestFit="1" customWidth="1"/>
    <col min="2914" max="2914" width="12.5703125" bestFit="1" customWidth="1"/>
    <col min="2915" max="2915" width="17.7109375" bestFit="1" customWidth="1"/>
    <col min="2916" max="2916" width="15.5703125" bestFit="1" customWidth="1"/>
    <col min="2917" max="2917" width="12.5703125" bestFit="1" customWidth="1"/>
    <col min="2918" max="2918" width="17.7109375" bestFit="1" customWidth="1"/>
    <col min="2919" max="2919" width="15.5703125" bestFit="1" customWidth="1"/>
    <col min="2920" max="2920" width="13.28515625" bestFit="1" customWidth="1"/>
    <col min="2921" max="2921" width="17.7109375" bestFit="1" customWidth="1"/>
    <col min="2922" max="2922" width="15.5703125" bestFit="1" customWidth="1"/>
    <col min="2923" max="2923" width="13.28515625" bestFit="1" customWidth="1"/>
    <col min="2924" max="2924" width="17.7109375" bestFit="1" customWidth="1"/>
    <col min="2925" max="2925" width="15.5703125" bestFit="1" customWidth="1"/>
    <col min="2926" max="2926" width="12.5703125" bestFit="1" customWidth="1"/>
    <col min="2927" max="2927" width="17.7109375" bestFit="1" customWidth="1"/>
    <col min="2928" max="2928" width="15.5703125" bestFit="1" customWidth="1"/>
    <col min="2929" max="2929" width="12.5703125" bestFit="1" customWidth="1"/>
    <col min="2930" max="2930" width="17.7109375" bestFit="1" customWidth="1"/>
    <col min="2931" max="2931" width="15.5703125" bestFit="1" customWidth="1"/>
    <col min="2932" max="2932" width="13.28515625" bestFit="1" customWidth="1"/>
    <col min="2933" max="2933" width="17.7109375" bestFit="1" customWidth="1"/>
    <col min="2934" max="2934" width="15.5703125" bestFit="1" customWidth="1"/>
    <col min="2935" max="2935" width="12.5703125" bestFit="1" customWidth="1"/>
    <col min="2936" max="2936" width="17.7109375" bestFit="1" customWidth="1"/>
    <col min="2937" max="2937" width="15.5703125" bestFit="1" customWidth="1"/>
    <col min="2938" max="2938" width="13.28515625" bestFit="1" customWidth="1"/>
    <col min="2939" max="2939" width="17.7109375" bestFit="1" customWidth="1"/>
    <col min="2940" max="2940" width="15.5703125" bestFit="1" customWidth="1"/>
    <col min="2941" max="2941" width="12.5703125" bestFit="1" customWidth="1"/>
    <col min="2942" max="2942" width="17.7109375" bestFit="1" customWidth="1"/>
    <col min="2943" max="2943" width="15.5703125" bestFit="1" customWidth="1"/>
    <col min="2944" max="2944" width="13.28515625" bestFit="1" customWidth="1"/>
    <col min="2945" max="2945" width="17.7109375" bestFit="1" customWidth="1"/>
    <col min="2946" max="2946" width="15.5703125" bestFit="1" customWidth="1"/>
    <col min="2947" max="2947" width="12.5703125" bestFit="1" customWidth="1"/>
    <col min="2948" max="2948" width="17.7109375" bestFit="1" customWidth="1"/>
    <col min="2949" max="2949" width="15.5703125" bestFit="1" customWidth="1"/>
    <col min="2950" max="2950" width="12.5703125" bestFit="1" customWidth="1"/>
    <col min="2951" max="2951" width="17.7109375" bestFit="1" customWidth="1"/>
    <col min="2952" max="2952" width="15.5703125" bestFit="1" customWidth="1"/>
    <col min="2953" max="2953" width="12.5703125" bestFit="1" customWidth="1"/>
    <col min="2954" max="2954" width="17.7109375" bestFit="1" customWidth="1"/>
    <col min="2955" max="2955" width="15.5703125" bestFit="1" customWidth="1"/>
    <col min="2956" max="2956" width="12.5703125" bestFit="1" customWidth="1"/>
    <col min="2957" max="2957" width="17.7109375" bestFit="1" customWidth="1"/>
    <col min="2958" max="2958" width="15.5703125" bestFit="1" customWidth="1"/>
    <col min="2959" max="2959" width="12.5703125" bestFit="1" customWidth="1"/>
    <col min="2960" max="2960" width="17.7109375" bestFit="1" customWidth="1"/>
    <col min="2961" max="2961" width="15.5703125" bestFit="1" customWidth="1"/>
    <col min="2962" max="2962" width="12.5703125" bestFit="1" customWidth="1"/>
    <col min="2963" max="2963" width="17.7109375" bestFit="1" customWidth="1"/>
    <col min="2964" max="2964" width="15.5703125" bestFit="1" customWidth="1"/>
    <col min="2965" max="2965" width="12.5703125" bestFit="1" customWidth="1"/>
    <col min="2966" max="2966" width="17.7109375" bestFit="1" customWidth="1"/>
    <col min="2967" max="2967" width="15.5703125" bestFit="1" customWidth="1"/>
    <col min="2968" max="2968" width="12.5703125" bestFit="1" customWidth="1"/>
    <col min="2969" max="2969" width="17.7109375" bestFit="1" customWidth="1"/>
    <col min="2970" max="2970" width="15.5703125" bestFit="1" customWidth="1"/>
    <col min="2971" max="2971" width="12.5703125" bestFit="1" customWidth="1"/>
    <col min="2972" max="2972" width="17.7109375" bestFit="1" customWidth="1"/>
    <col min="2973" max="2973" width="15.5703125" bestFit="1" customWidth="1"/>
    <col min="2974" max="2974" width="13.28515625" bestFit="1" customWidth="1"/>
    <col min="2975" max="2975" width="17.7109375" bestFit="1" customWidth="1"/>
    <col min="2976" max="2976" width="15.5703125" bestFit="1" customWidth="1"/>
    <col min="2977" max="2977" width="12.5703125" bestFit="1" customWidth="1"/>
    <col min="2978" max="2978" width="17.7109375" bestFit="1" customWidth="1"/>
    <col min="2979" max="2979" width="15.5703125" bestFit="1" customWidth="1"/>
    <col min="2980" max="2980" width="12.5703125" bestFit="1" customWidth="1"/>
    <col min="2981" max="2981" width="17.7109375" bestFit="1" customWidth="1"/>
    <col min="2982" max="2982" width="15.5703125" bestFit="1" customWidth="1"/>
    <col min="2983" max="2983" width="12.5703125" bestFit="1" customWidth="1"/>
    <col min="2984" max="2984" width="17.7109375" bestFit="1" customWidth="1"/>
    <col min="2985" max="2985" width="15.5703125" bestFit="1" customWidth="1"/>
    <col min="2986" max="2986" width="12.5703125" bestFit="1" customWidth="1"/>
    <col min="2987" max="2987" width="17.7109375" bestFit="1" customWidth="1"/>
    <col min="2988" max="2988" width="15.5703125" bestFit="1" customWidth="1"/>
    <col min="2989" max="2989" width="13.28515625" bestFit="1" customWidth="1"/>
    <col min="2990" max="2990" width="17.7109375" bestFit="1" customWidth="1"/>
    <col min="2991" max="2991" width="15.5703125" bestFit="1" customWidth="1"/>
    <col min="2992" max="2992" width="12.5703125" bestFit="1" customWidth="1"/>
    <col min="2993" max="2993" width="17.7109375" bestFit="1" customWidth="1"/>
    <col min="2994" max="2994" width="15.5703125" bestFit="1" customWidth="1"/>
    <col min="2995" max="2995" width="12.5703125" bestFit="1" customWidth="1"/>
    <col min="2996" max="2996" width="17.7109375" bestFit="1" customWidth="1"/>
    <col min="2997" max="2997" width="15.5703125" bestFit="1" customWidth="1"/>
    <col min="2998" max="2998" width="12.5703125" bestFit="1" customWidth="1"/>
    <col min="2999" max="2999" width="17.7109375" bestFit="1" customWidth="1"/>
    <col min="3000" max="3000" width="15.5703125" bestFit="1" customWidth="1"/>
    <col min="3001" max="3001" width="13.28515625" bestFit="1" customWidth="1"/>
    <col min="3002" max="3002" width="17.7109375" bestFit="1" customWidth="1"/>
    <col min="3003" max="3003" width="15.5703125" bestFit="1" customWidth="1"/>
    <col min="3004" max="3004" width="13.28515625" bestFit="1" customWidth="1"/>
    <col min="3005" max="3005" width="17.7109375" bestFit="1" customWidth="1"/>
    <col min="3006" max="3006" width="15.5703125" bestFit="1" customWidth="1"/>
    <col min="3007" max="3007" width="12.5703125" bestFit="1" customWidth="1"/>
    <col min="3008" max="3008" width="17.7109375" bestFit="1" customWidth="1"/>
    <col min="3009" max="3009" width="15.5703125" bestFit="1" customWidth="1"/>
    <col min="3010" max="3010" width="13.28515625" bestFit="1" customWidth="1"/>
    <col min="3011" max="3011" width="17.7109375" bestFit="1" customWidth="1"/>
    <col min="3012" max="3012" width="15.5703125" bestFit="1" customWidth="1"/>
    <col min="3013" max="3013" width="13.28515625" bestFit="1" customWidth="1"/>
    <col min="3014" max="3014" width="17.7109375" bestFit="1" customWidth="1"/>
    <col min="3015" max="3015" width="15.5703125" bestFit="1" customWidth="1"/>
    <col min="3016" max="3016" width="12.5703125" bestFit="1" customWidth="1"/>
    <col min="3017" max="3017" width="17.7109375" bestFit="1" customWidth="1"/>
    <col min="3018" max="3018" width="15.5703125" bestFit="1" customWidth="1"/>
    <col min="3019" max="3019" width="12.5703125" bestFit="1" customWidth="1"/>
    <col min="3020" max="3020" width="17.7109375" bestFit="1" customWidth="1"/>
    <col min="3021" max="3021" width="15.5703125" bestFit="1" customWidth="1"/>
    <col min="3022" max="3022" width="12.5703125" bestFit="1" customWidth="1"/>
    <col min="3023" max="3023" width="17.7109375" bestFit="1" customWidth="1"/>
    <col min="3024" max="3024" width="15.5703125" bestFit="1" customWidth="1"/>
    <col min="3025" max="3025" width="13.28515625" bestFit="1" customWidth="1"/>
    <col min="3026" max="3026" width="17.7109375" bestFit="1" customWidth="1"/>
    <col min="3027" max="3027" width="15.5703125" bestFit="1" customWidth="1"/>
    <col min="3028" max="3028" width="12.5703125" bestFit="1" customWidth="1"/>
    <col min="3029" max="3029" width="17.7109375" bestFit="1" customWidth="1"/>
    <col min="3030" max="3030" width="15.5703125" bestFit="1" customWidth="1"/>
    <col min="3031" max="3031" width="12.5703125" bestFit="1" customWidth="1"/>
    <col min="3032" max="3032" width="17.7109375" bestFit="1" customWidth="1"/>
    <col min="3033" max="3033" width="15.5703125" bestFit="1" customWidth="1"/>
    <col min="3034" max="3034" width="13.28515625" bestFit="1" customWidth="1"/>
    <col min="3035" max="3035" width="17.7109375" bestFit="1" customWidth="1"/>
    <col min="3036" max="3036" width="15.5703125" bestFit="1" customWidth="1"/>
    <col min="3037" max="3037" width="13.28515625" bestFit="1" customWidth="1"/>
    <col min="3038" max="3038" width="17.7109375" bestFit="1" customWidth="1"/>
    <col min="3039" max="3039" width="15.5703125" bestFit="1" customWidth="1"/>
    <col min="3040" max="3040" width="12.5703125" bestFit="1" customWidth="1"/>
    <col min="3041" max="3041" width="17.7109375" bestFit="1" customWidth="1"/>
    <col min="3042" max="3042" width="15.5703125" bestFit="1" customWidth="1"/>
    <col min="3043" max="3043" width="12.5703125" bestFit="1" customWidth="1"/>
    <col min="3044" max="3044" width="17.7109375" bestFit="1" customWidth="1"/>
    <col min="3045" max="3045" width="15.5703125" bestFit="1" customWidth="1"/>
    <col min="3046" max="3046" width="12.5703125" bestFit="1" customWidth="1"/>
    <col min="3047" max="3047" width="17.7109375" bestFit="1" customWidth="1"/>
    <col min="3048" max="3048" width="15.5703125" bestFit="1" customWidth="1"/>
    <col min="3049" max="3049" width="13.28515625" bestFit="1" customWidth="1"/>
    <col min="3050" max="3050" width="17.7109375" bestFit="1" customWidth="1"/>
    <col min="3051" max="3051" width="15.5703125" bestFit="1" customWidth="1"/>
    <col min="3052" max="3052" width="13.28515625" bestFit="1" customWidth="1"/>
    <col min="3053" max="3053" width="17.7109375" bestFit="1" customWidth="1"/>
    <col min="3054" max="3054" width="15.5703125" bestFit="1" customWidth="1"/>
    <col min="3055" max="3055" width="12.5703125" bestFit="1" customWidth="1"/>
    <col min="3056" max="3056" width="17.7109375" bestFit="1" customWidth="1"/>
    <col min="3057" max="3057" width="15.5703125" bestFit="1" customWidth="1"/>
    <col min="3058" max="3058" width="13.28515625" bestFit="1" customWidth="1"/>
    <col min="3059" max="3059" width="17.7109375" bestFit="1" customWidth="1"/>
    <col min="3060" max="3060" width="15.5703125" bestFit="1" customWidth="1"/>
    <col min="3061" max="3061" width="13.28515625" bestFit="1" customWidth="1"/>
    <col min="3062" max="3062" width="17.7109375" bestFit="1" customWidth="1"/>
    <col min="3063" max="3063" width="15.5703125" bestFit="1" customWidth="1"/>
    <col min="3064" max="3064" width="12.5703125" bestFit="1" customWidth="1"/>
    <col min="3065" max="3065" width="17.7109375" bestFit="1" customWidth="1"/>
    <col min="3066" max="3066" width="15.5703125" bestFit="1" customWidth="1"/>
    <col min="3067" max="3067" width="13.28515625" bestFit="1" customWidth="1"/>
    <col min="3068" max="3068" width="17.7109375" bestFit="1" customWidth="1"/>
    <col min="3069" max="3069" width="15.5703125" bestFit="1" customWidth="1"/>
    <col min="3070" max="3070" width="12.5703125" bestFit="1" customWidth="1"/>
    <col min="3071" max="3071" width="17.7109375" bestFit="1" customWidth="1"/>
    <col min="3072" max="3072" width="15.5703125" bestFit="1" customWidth="1"/>
    <col min="3073" max="3073" width="13.28515625" bestFit="1" customWidth="1"/>
    <col min="3074" max="3074" width="17.7109375" bestFit="1" customWidth="1"/>
    <col min="3075" max="3075" width="15.5703125" bestFit="1" customWidth="1"/>
    <col min="3076" max="3076" width="12.5703125" bestFit="1" customWidth="1"/>
    <col min="3077" max="3077" width="17.7109375" bestFit="1" customWidth="1"/>
    <col min="3078" max="3078" width="15.5703125" bestFit="1" customWidth="1"/>
    <col min="3079" max="3079" width="12.5703125" bestFit="1" customWidth="1"/>
    <col min="3080" max="3080" width="17.7109375" bestFit="1" customWidth="1"/>
    <col min="3081" max="3081" width="15.5703125" bestFit="1" customWidth="1"/>
    <col min="3082" max="3082" width="12.5703125" bestFit="1" customWidth="1"/>
    <col min="3083" max="3083" width="17.7109375" bestFit="1" customWidth="1"/>
    <col min="3084" max="3084" width="15.5703125" bestFit="1" customWidth="1"/>
    <col min="3085" max="3085" width="12.5703125" bestFit="1" customWidth="1"/>
    <col min="3086" max="3086" width="17.7109375" bestFit="1" customWidth="1"/>
    <col min="3087" max="3087" width="15.5703125" bestFit="1" customWidth="1"/>
    <col min="3088" max="3088" width="12.5703125" bestFit="1" customWidth="1"/>
    <col min="3089" max="3089" width="17.7109375" bestFit="1" customWidth="1"/>
    <col min="3090" max="3090" width="15.5703125" bestFit="1" customWidth="1"/>
    <col min="3091" max="3091" width="12.5703125" bestFit="1" customWidth="1"/>
    <col min="3092" max="3092" width="17.7109375" bestFit="1" customWidth="1"/>
    <col min="3093" max="3093" width="15.5703125" bestFit="1" customWidth="1"/>
    <col min="3094" max="3094" width="12.5703125" bestFit="1" customWidth="1"/>
    <col min="3095" max="3095" width="17.7109375" bestFit="1" customWidth="1"/>
    <col min="3096" max="3096" width="15.5703125" bestFit="1" customWidth="1"/>
    <col min="3097" max="3097" width="12.5703125" bestFit="1" customWidth="1"/>
    <col min="3098" max="3098" width="17.7109375" bestFit="1" customWidth="1"/>
    <col min="3099" max="3099" width="15.5703125" bestFit="1" customWidth="1"/>
    <col min="3100" max="3100" width="12.5703125" bestFit="1" customWidth="1"/>
    <col min="3101" max="3101" width="17.7109375" bestFit="1" customWidth="1"/>
    <col min="3102" max="3102" width="15.5703125" bestFit="1" customWidth="1"/>
    <col min="3103" max="3103" width="12.5703125" bestFit="1" customWidth="1"/>
    <col min="3104" max="3104" width="17.7109375" bestFit="1" customWidth="1"/>
    <col min="3105" max="3105" width="15.5703125" bestFit="1" customWidth="1"/>
    <col min="3106" max="3106" width="13.28515625" bestFit="1" customWidth="1"/>
    <col min="3107" max="3107" width="17.7109375" bestFit="1" customWidth="1"/>
    <col min="3108" max="3108" width="15.5703125" bestFit="1" customWidth="1"/>
    <col min="3109" max="3109" width="13.28515625" bestFit="1" customWidth="1"/>
    <col min="3110" max="3110" width="17.7109375" bestFit="1" customWidth="1"/>
    <col min="3111" max="3111" width="15.5703125" bestFit="1" customWidth="1"/>
    <col min="3112" max="3112" width="13.28515625" bestFit="1" customWidth="1"/>
    <col min="3113" max="3113" width="17.7109375" bestFit="1" customWidth="1"/>
    <col min="3114" max="3114" width="15.5703125" bestFit="1" customWidth="1"/>
    <col min="3115" max="3115" width="12.5703125" bestFit="1" customWidth="1"/>
    <col min="3116" max="3116" width="17.7109375" bestFit="1" customWidth="1"/>
    <col min="3117" max="3117" width="15.5703125" bestFit="1" customWidth="1"/>
    <col min="3118" max="3118" width="13.28515625" bestFit="1" customWidth="1"/>
    <col min="3119" max="3119" width="17.7109375" bestFit="1" customWidth="1"/>
    <col min="3120" max="3120" width="15.5703125" bestFit="1" customWidth="1"/>
    <col min="3121" max="3121" width="12.5703125" bestFit="1" customWidth="1"/>
    <col min="3122" max="3122" width="17.7109375" bestFit="1" customWidth="1"/>
    <col min="3123" max="3123" width="15.5703125" bestFit="1" customWidth="1"/>
    <col min="3124" max="3124" width="12.5703125" bestFit="1" customWidth="1"/>
    <col min="3125" max="3125" width="17.7109375" bestFit="1" customWidth="1"/>
    <col min="3126" max="3126" width="15.5703125" bestFit="1" customWidth="1"/>
    <col min="3127" max="3127" width="12.5703125" bestFit="1" customWidth="1"/>
    <col min="3128" max="3128" width="17.7109375" bestFit="1" customWidth="1"/>
    <col min="3129" max="3129" width="15.5703125" bestFit="1" customWidth="1"/>
    <col min="3130" max="3130" width="13.28515625" bestFit="1" customWidth="1"/>
    <col min="3131" max="3131" width="17.7109375" bestFit="1" customWidth="1"/>
    <col min="3132" max="3132" width="15.5703125" bestFit="1" customWidth="1"/>
    <col min="3133" max="3133" width="12.5703125" bestFit="1" customWidth="1"/>
    <col min="3134" max="3134" width="17.7109375" bestFit="1" customWidth="1"/>
    <col min="3135" max="3135" width="15.5703125" bestFit="1" customWidth="1"/>
    <col min="3136" max="3136" width="13.28515625" bestFit="1" customWidth="1"/>
    <col min="3137" max="3137" width="17.7109375" bestFit="1" customWidth="1"/>
    <col min="3138" max="3138" width="15.5703125" bestFit="1" customWidth="1"/>
    <col min="3139" max="3139" width="12.5703125" bestFit="1" customWidth="1"/>
    <col min="3140" max="3140" width="17.7109375" bestFit="1" customWidth="1"/>
    <col min="3141" max="3141" width="15.5703125" bestFit="1" customWidth="1"/>
    <col min="3142" max="3142" width="13.28515625" bestFit="1" customWidth="1"/>
    <col min="3143" max="3143" width="17.7109375" bestFit="1" customWidth="1"/>
    <col min="3144" max="3144" width="15.5703125" bestFit="1" customWidth="1"/>
    <col min="3145" max="3145" width="12.5703125" bestFit="1" customWidth="1"/>
    <col min="3146" max="3146" width="17.7109375" bestFit="1" customWidth="1"/>
    <col min="3147" max="3147" width="15.5703125" bestFit="1" customWidth="1"/>
    <col min="3148" max="3148" width="12.5703125" bestFit="1" customWidth="1"/>
    <col min="3149" max="3149" width="17.7109375" bestFit="1" customWidth="1"/>
    <col min="3150" max="3150" width="15.5703125" bestFit="1" customWidth="1"/>
    <col min="3151" max="3151" width="13.28515625" bestFit="1" customWidth="1"/>
    <col min="3152" max="3152" width="17.7109375" bestFit="1" customWidth="1"/>
    <col min="3153" max="3153" width="15.5703125" bestFit="1" customWidth="1"/>
    <col min="3154" max="3154" width="13.28515625" bestFit="1" customWidth="1"/>
    <col min="3155" max="3155" width="17.7109375" bestFit="1" customWidth="1"/>
    <col min="3156" max="3156" width="15.5703125" bestFit="1" customWidth="1"/>
    <col min="3157" max="3157" width="12.5703125" bestFit="1" customWidth="1"/>
    <col min="3158" max="3158" width="17.7109375" bestFit="1" customWidth="1"/>
    <col min="3159" max="3159" width="15.5703125" bestFit="1" customWidth="1"/>
    <col min="3160" max="3160" width="13.28515625" bestFit="1" customWidth="1"/>
    <col min="3161" max="3161" width="17.7109375" bestFit="1" customWidth="1"/>
    <col min="3162" max="3162" width="15.5703125" bestFit="1" customWidth="1"/>
    <col min="3163" max="3163" width="13.28515625" bestFit="1" customWidth="1"/>
    <col min="3164" max="3164" width="17.7109375" bestFit="1" customWidth="1"/>
    <col min="3165" max="3165" width="15.5703125" bestFit="1" customWidth="1"/>
    <col min="3166" max="3166" width="13.28515625" bestFit="1" customWidth="1"/>
    <col min="3167" max="3167" width="17.7109375" bestFit="1" customWidth="1"/>
    <col min="3168" max="3168" width="15.5703125" bestFit="1" customWidth="1"/>
    <col min="3169" max="3169" width="12.5703125" bestFit="1" customWidth="1"/>
    <col min="3170" max="3170" width="17.7109375" bestFit="1" customWidth="1"/>
    <col min="3171" max="3171" width="15.5703125" bestFit="1" customWidth="1"/>
    <col min="3172" max="3172" width="12.5703125" bestFit="1" customWidth="1"/>
    <col min="3173" max="3173" width="17.7109375" bestFit="1" customWidth="1"/>
    <col min="3174" max="3174" width="15.5703125" bestFit="1" customWidth="1"/>
    <col min="3175" max="3175" width="13.28515625" bestFit="1" customWidth="1"/>
    <col min="3176" max="3176" width="17.7109375" bestFit="1" customWidth="1"/>
    <col min="3177" max="3177" width="15.5703125" bestFit="1" customWidth="1"/>
    <col min="3178" max="3178" width="13.28515625" bestFit="1" customWidth="1"/>
    <col min="3179" max="3179" width="17.7109375" bestFit="1" customWidth="1"/>
    <col min="3180" max="3180" width="15.5703125" bestFit="1" customWidth="1"/>
    <col min="3181" max="3181" width="13.28515625" bestFit="1" customWidth="1"/>
    <col min="3182" max="3182" width="17.7109375" bestFit="1" customWidth="1"/>
    <col min="3183" max="3183" width="15.5703125" bestFit="1" customWidth="1"/>
    <col min="3184" max="3184" width="12.5703125" bestFit="1" customWidth="1"/>
    <col min="3185" max="3185" width="17.7109375" bestFit="1" customWidth="1"/>
    <col min="3186" max="3186" width="15.5703125" bestFit="1" customWidth="1"/>
    <col min="3187" max="3187" width="12.5703125" bestFit="1" customWidth="1"/>
    <col min="3188" max="3188" width="17.7109375" bestFit="1" customWidth="1"/>
    <col min="3189" max="3189" width="15.5703125" bestFit="1" customWidth="1"/>
    <col min="3190" max="3190" width="12.5703125" bestFit="1" customWidth="1"/>
    <col min="3191" max="3191" width="17.7109375" bestFit="1" customWidth="1"/>
    <col min="3192" max="3192" width="15.5703125" bestFit="1" customWidth="1"/>
    <col min="3193" max="3193" width="13.28515625" bestFit="1" customWidth="1"/>
    <col min="3194" max="3194" width="17.7109375" bestFit="1" customWidth="1"/>
    <col min="3195" max="3195" width="15.5703125" bestFit="1" customWidth="1"/>
    <col min="3196" max="3196" width="13.28515625" bestFit="1" customWidth="1"/>
    <col min="3197" max="3197" width="17.7109375" bestFit="1" customWidth="1"/>
    <col min="3198" max="3198" width="15.5703125" bestFit="1" customWidth="1"/>
    <col min="3199" max="3199" width="12.5703125" bestFit="1" customWidth="1"/>
    <col min="3200" max="3200" width="17.7109375" bestFit="1" customWidth="1"/>
    <col min="3201" max="3201" width="15.5703125" bestFit="1" customWidth="1"/>
    <col min="3202" max="3202" width="12.5703125" bestFit="1" customWidth="1"/>
    <col min="3203" max="3203" width="17.7109375" bestFit="1" customWidth="1"/>
    <col min="3204" max="3204" width="15.5703125" bestFit="1" customWidth="1"/>
    <col min="3205" max="3205" width="13.28515625" bestFit="1" customWidth="1"/>
    <col min="3206" max="3206" width="17.7109375" bestFit="1" customWidth="1"/>
    <col min="3207" max="3207" width="15.5703125" bestFit="1" customWidth="1"/>
    <col min="3208" max="3208" width="13.28515625" bestFit="1" customWidth="1"/>
    <col min="3209" max="3209" width="17.7109375" bestFit="1" customWidth="1"/>
    <col min="3210" max="3210" width="15.5703125" bestFit="1" customWidth="1"/>
    <col min="3211" max="3211" width="12.5703125" bestFit="1" customWidth="1"/>
    <col min="3212" max="3212" width="17.7109375" bestFit="1" customWidth="1"/>
    <col min="3213" max="3213" width="15.5703125" bestFit="1" customWidth="1"/>
    <col min="3214" max="3214" width="12.5703125" bestFit="1" customWidth="1"/>
    <col min="3215" max="3215" width="17.7109375" bestFit="1" customWidth="1"/>
    <col min="3216" max="3216" width="15.5703125" bestFit="1" customWidth="1"/>
    <col min="3217" max="3217" width="13.28515625" bestFit="1" customWidth="1"/>
    <col min="3218" max="3218" width="17.7109375" bestFit="1" customWidth="1"/>
    <col min="3219" max="3219" width="15.5703125" bestFit="1" customWidth="1"/>
    <col min="3220" max="3220" width="12.5703125" bestFit="1" customWidth="1"/>
    <col min="3221" max="3221" width="17.7109375" bestFit="1" customWidth="1"/>
    <col min="3222" max="3222" width="15.5703125" bestFit="1" customWidth="1"/>
    <col min="3223" max="3223" width="13.28515625" bestFit="1" customWidth="1"/>
    <col min="3224" max="3224" width="17.7109375" bestFit="1" customWidth="1"/>
    <col min="3225" max="3225" width="15.5703125" bestFit="1" customWidth="1"/>
    <col min="3226" max="3226" width="12.5703125" bestFit="1" customWidth="1"/>
    <col min="3227" max="3227" width="17.7109375" bestFit="1" customWidth="1"/>
    <col min="3228" max="3228" width="15.5703125" bestFit="1" customWidth="1"/>
    <col min="3229" max="3229" width="13.28515625" bestFit="1" customWidth="1"/>
    <col min="3230" max="3230" width="17.7109375" bestFit="1" customWidth="1"/>
    <col min="3231" max="3231" width="15.5703125" bestFit="1" customWidth="1"/>
    <col min="3232" max="3232" width="12.5703125" bestFit="1" customWidth="1"/>
    <col min="3233" max="3233" width="17.7109375" bestFit="1" customWidth="1"/>
    <col min="3234" max="3234" width="15.5703125" bestFit="1" customWidth="1"/>
    <col min="3235" max="3235" width="13.28515625" bestFit="1" customWidth="1"/>
    <col min="3236" max="3236" width="17.7109375" bestFit="1" customWidth="1"/>
    <col min="3237" max="3237" width="15.5703125" bestFit="1" customWidth="1"/>
    <col min="3238" max="3238" width="13.28515625" bestFit="1" customWidth="1"/>
    <col min="3239" max="3239" width="17.7109375" bestFit="1" customWidth="1"/>
    <col min="3240" max="3240" width="15.5703125" bestFit="1" customWidth="1"/>
    <col min="3241" max="3241" width="12.5703125" bestFit="1" customWidth="1"/>
    <col min="3242" max="3242" width="17.7109375" bestFit="1" customWidth="1"/>
    <col min="3243" max="3243" width="15.5703125" bestFit="1" customWidth="1"/>
    <col min="3244" max="3244" width="12.5703125" bestFit="1" customWidth="1"/>
    <col min="3245" max="3245" width="17.7109375" bestFit="1" customWidth="1"/>
    <col min="3246" max="3246" width="15.5703125" bestFit="1" customWidth="1"/>
    <col min="3247" max="3247" width="12.5703125" bestFit="1" customWidth="1"/>
    <col min="3248" max="3248" width="17.7109375" bestFit="1" customWidth="1"/>
    <col min="3249" max="3249" width="15.5703125" bestFit="1" customWidth="1"/>
    <col min="3250" max="3250" width="12.5703125" bestFit="1" customWidth="1"/>
    <col min="3251" max="3251" width="17.7109375" bestFit="1" customWidth="1"/>
    <col min="3252" max="3252" width="15.5703125" bestFit="1" customWidth="1"/>
    <col min="3253" max="3253" width="13.28515625" bestFit="1" customWidth="1"/>
    <col min="3254" max="3254" width="17.7109375" bestFit="1" customWidth="1"/>
    <col min="3255" max="3255" width="15.5703125" bestFit="1" customWidth="1"/>
    <col min="3256" max="3256" width="12.5703125" bestFit="1" customWidth="1"/>
    <col min="3257" max="3257" width="17.7109375" bestFit="1" customWidth="1"/>
    <col min="3258" max="3258" width="15.5703125" bestFit="1" customWidth="1"/>
    <col min="3259" max="3259" width="12.5703125" bestFit="1" customWidth="1"/>
    <col min="3260" max="3260" width="17.7109375" bestFit="1" customWidth="1"/>
    <col min="3261" max="3261" width="15.5703125" bestFit="1" customWidth="1"/>
    <col min="3262" max="3262" width="13.28515625" bestFit="1" customWidth="1"/>
    <col min="3263" max="3263" width="17.7109375" bestFit="1" customWidth="1"/>
    <col min="3264" max="3264" width="15.5703125" bestFit="1" customWidth="1"/>
    <col min="3265" max="3265" width="13.28515625" bestFit="1" customWidth="1"/>
    <col min="3266" max="3266" width="17.7109375" bestFit="1" customWidth="1"/>
    <col min="3267" max="3267" width="15.5703125" bestFit="1" customWidth="1"/>
    <col min="3268" max="3268" width="12.5703125" bestFit="1" customWidth="1"/>
    <col min="3269" max="3269" width="17.7109375" bestFit="1" customWidth="1"/>
    <col min="3270" max="3270" width="15.5703125" bestFit="1" customWidth="1"/>
    <col min="3271" max="3271" width="13.28515625" bestFit="1" customWidth="1"/>
    <col min="3272" max="3272" width="17.7109375" bestFit="1" customWidth="1"/>
    <col min="3273" max="3273" width="15.5703125" bestFit="1" customWidth="1"/>
    <col min="3274" max="3274" width="13.28515625" bestFit="1" customWidth="1"/>
    <col min="3275" max="3275" width="17.7109375" bestFit="1" customWidth="1"/>
    <col min="3276" max="3276" width="15.5703125" bestFit="1" customWidth="1"/>
    <col min="3277" max="3277" width="13.28515625" bestFit="1" customWidth="1"/>
    <col min="3278" max="3278" width="17.7109375" bestFit="1" customWidth="1"/>
    <col min="3279" max="3279" width="15.5703125" bestFit="1" customWidth="1"/>
    <col min="3280" max="3280" width="13.28515625" bestFit="1" customWidth="1"/>
    <col min="3281" max="3281" width="17.7109375" bestFit="1" customWidth="1"/>
    <col min="3282" max="3282" width="15.5703125" bestFit="1" customWidth="1"/>
    <col min="3283" max="3283" width="12.5703125" bestFit="1" customWidth="1"/>
    <col min="3284" max="3284" width="17.7109375" bestFit="1" customWidth="1"/>
    <col min="3285" max="3285" width="15.5703125" bestFit="1" customWidth="1"/>
    <col min="3286" max="3286" width="12.5703125" bestFit="1" customWidth="1"/>
    <col min="3287" max="3287" width="17.7109375" bestFit="1" customWidth="1"/>
    <col min="3288" max="3288" width="15.5703125" bestFit="1" customWidth="1"/>
    <col min="3289" max="3289" width="12.5703125" bestFit="1" customWidth="1"/>
    <col min="3290" max="3290" width="17.7109375" bestFit="1" customWidth="1"/>
    <col min="3291" max="3291" width="15.5703125" bestFit="1" customWidth="1"/>
    <col min="3292" max="3292" width="13.28515625" bestFit="1" customWidth="1"/>
    <col min="3293" max="3293" width="17.7109375" bestFit="1" customWidth="1"/>
    <col min="3294" max="3294" width="15.5703125" bestFit="1" customWidth="1"/>
    <col min="3295" max="3295" width="13.28515625" bestFit="1" customWidth="1"/>
    <col min="3296" max="3296" width="17.7109375" bestFit="1" customWidth="1"/>
    <col min="3297" max="3297" width="15.5703125" bestFit="1" customWidth="1"/>
    <col min="3298" max="3298" width="13.28515625" bestFit="1" customWidth="1"/>
    <col min="3299" max="3299" width="17.7109375" bestFit="1" customWidth="1"/>
    <col min="3300" max="3300" width="15.5703125" bestFit="1" customWidth="1"/>
    <col min="3301" max="3301" width="13.28515625" bestFit="1" customWidth="1"/>
    <col min="3302" max="3302" width="17.7109375" bestFit="1" customWidth="1"/>
    <col min="3303" max="3303" width="15.5703125" bestFit="1" customWidth="1"/>
    <col min="3304" max="3304" width="12.5703125" bestFit="1" customWidth="1"/>
    <col min="3305" max="3305" width="17.7109375" bestFit="1" customWidth="1"/>
    <col min="3306" max="3306" width="15.5703125" bestFit="1" customWidth="1"/>
    <col min="3307" max="3307" width="13.28515625" bestFit="1" customWidth="1"/>
    <col min="3308" max="3308" width="17.7109375" bestFit="1" customWidth="1"/>
    <col min="3309" max="3309" width="15.5703125" bestFit="1" customWidth="1"/>
    <col min="3310" max="3310" width="12.5703125" bestFit="1" customWidth="1"/>
    <col min="3311" max="3311" width="17.7109375" bestFit="1" customWidth="1"/>
    <col min="3312" max="3312" width="15.5703125" bestFit="1" customWidth="1"/>
    <col min="3313" max="3313" width="13.28515625" bestFit="1" customWidth="1"/>
    <col min="3314" max="3314" width="17.7109375" bestFit="1" customWidth="1"/>
    <col min="3315" max="3315" width="15.5703125" bestFit="1" customWidth="1"/>
    <col min="3316" max="3316" width="12.5703125" bestFit="1" customWidth="1"/>
    <col min="3317" max="3317" width="17.7109375" bestFit="1" customWidth="1"/>
    <col min="3318" max="3318" width="15.5703125" bestFit="1" customWidth="1"/>
    <col min="3319" max="3319" width="12.5703125" bestFit="1" customWidth="1"/>
    <col min="3320" max="3320" width="17.7109375" bestFit="1" customWidth="1"/>
    <col min="3321" max="3321" width="15.5703125" bestFit="1" customWidth="1"/>
    <col min="3322" max="3322" width="13.28515625" bestFit="1" customWidth="1"/>
    <col min="3323" max="3323" width="17.7109375" bestFit="1" customWidth="1"/>
    <col min="3324" max="3324" width="15.5703125" bestFit="1" customWidth="1"/>
    <col min="3325" max="3325" width="13.28515625" bestFit="1" customWidth="1"/>
    <col min="3326" max="3326" width="17.7109375" bestFit="1" customWidth="1"/>
    <col min="3327" max="3327" width="15.5703125" bestFit="1" customWidth="1"/>
    <col min="3328" max="3328" width="12.5703125" bestFit="1" customWidth="1"/>
    <col min="3329" max="3329" width="17.7109375" bestFit="1" customWidth="1"/>
    <col min="3330" max="3330" width="15.5703125" bestFit="1" customWidth="1"/>
    <col min="3331" max="3331" width="12.5703125" bestFit="1" customWidth="1"/>
    <col min="3332" max="3332" width="17.7109375" bestFit="1" customWidth="1"/>
    <col min="3333" max="3333" width="15.5703125" bestFit="1" customWidth="1"/>
    <col min="3334" max="3334" width="13.28515625" bestFit="1" customWidth="1"/>
    <col min="3335" max="3335" width="17.7109375" bestFit="1" customWidth="1"/>
    <col min="3336" max="3336" width="15.5703125" bestFit="1" customWidth="1"/>
    <col min="3337" max="3337" width="13.28515625" bestFit="1" customWidth="1"/>
    <col min="3338" max="3338" width="17.7109375" bestFit="1" customWidth="1"/>
    <col min="3339" max="3339" width="15.5703125" bestFit="1" customWidth="1"/>
    <col min="3340" max="3340" width="12.5703125" bestFit="1" customWidth="1"/>
    <col min="3341" max="3341" width="17.7109375" bestFit="1" customWidth="1"/>
    <col min="3342" max="3342" width="15.5703125" bestFit="1" customWidth="1"/>
    <col min="3343" max="3343" width="13.28515625" bestFit="1" customWidth="1"/>
    <col min="3344" max="3344" width="17.7109375" bestFit="1" customWidth="1"/>
    <col min="3345" max="3345" width="15.5703125" bestFit="1" customWidth="1"/>
    <col min="3346" max="3346" width="12.5703125" bestFit="1" customWidth="1"/>
    <col min="3347" max="3347" width="17.7109375" bestFit="1" customWidth="1"/>
    <col min="3348" max="3348" width="15.5703125" bestFit="1" customWidth="1"/>
    <col min="3349" max="3349" width="13.28515625" bestFit="1" customWidth="1"/>
    <col min="3350" max="3350" width="17.7109375" bestFit="1" customWidth="1"/>
    <col min="3351" max="3351" width="15.5703125" bestFit="1" customWidth="1"/>
    <col min="3352" max="3352" width="13.28515625" bestFit="1" customWidth="1"/>
    <col min="3353" max="3353" width="17.7109375" bestFit="1" customWidth="1"/>
    <col min="3354" max="3354" width="15.5703125" bestFit="1" customWidth="1"/>
    <col min="3355" max="3355" width="13.28515625" bestFit="1" customWidth="1"/>
    <col min="3356" max="3356" width="17.7109375" bestFit="1" customWidth="1"/>
    <col min="3357" max="3357" width="15.5703125" bestFit="1" customWidth="1"/>
    <col min="3358" max="3358" width="12.5703125" bestFit="1" customWidth="1"/>
    <col min="3359" max="3359" width="17.7109375" bestFit="1" customWidth="1"/>
    <col min="3360" max="3360" width="15.5703125" bestFit="1" customWidth="1"/>
    <col min="3361" max="3361" width="12.5703125" bestFit="1" customWidth="1"/>
    <col min="3362" max="3362" width="17.7109375" bestFit="1" customWidth="1"/>
    <col min="3363" max="3363" width="15.5703125" bestFit="1" customWidth="1"/>
    <col min="3364" max="3364" width="12.5703125" bestFit="1" customWidth="1"/>
    <col min="3365" max="3365" width="17.7109375" bestFit="1" customWidth="1"/>
    <col min="3366" max="3366" width="15.5703125" bestFit="1" customWidth="1"/>
    <col min="3367" max="3367" width="13.28515625" bestFit="1" customWidth="1"/>
    <col min="3368" max="3368" width="17.7109375" bestFit="1" customWidth="1"/>
    <col min="3369" max="3369" width="15.5703125" bestFit="1" customWidth="1"/>
    <col min="3370" max="3370" width="13.28515625" bestFit="1" customWidth="1"/>
    <col min="3371" max="3371" width="17.7109375" bestFit="1" customWidth="1"/>
    <col min="3372" max="3372" width="15.5703125" bestFit="1" customWidth="1"/>
    <col min="3373" max="3373" width="13.28515625" bestFit="1" customWidth="1"/>
    <col min="3374" max="3374" width="17.7109375" bestFit="1" customWidth="1"/>
    <col min="3375" max="3375" width="15.5703125" bestFit="1" customWidth="1"/>
    <col min="3376" max="3376" width="12.5703125" bestFit="1" customWidth="1"/>
    <col min="3377" max="3377" width="17.7109375" bestFit="1" customWidth="1"/>
    <col min="3378" max="3378" width="15.5703125" bestFit="1" customWidth="1"/>
    <col min="3379" max="3379" width="12.5703125" bestFit="1" customWidth="1"/>
    <col min="3380" max="3380" width="17.7109375" bestFit="1" customWidth="1"/>
    <col min="3381" max="3381" width="15.5703125" bestFit="1" customWidth="1"/>
    <col min="3382" max="3382" width="13.28515625" bestFit="1" customWidth="1"/>
    <col min="3383" max="3383" width="17.7109375" bestFit="1" customWidth="1"/>
    <col min="3384" max="3384" width="15.5703125" bestFit="1" customWidth="1"/>
    <col min="3385" max="3385" width="12.5703125" bestFit="1" customWidth="1"/>
    <col min="3386" max="3386" width="17.7109375" bestFit="1" customWidth="1"/>
    <col min="3387" max="3387" width="15.5703125" bestFit="1" customWidth="1"/>
    <col min="3388" max="3388" width="13.28515625" bestFit="1" customWidth="1"/>
    <col min="3389" max="3389" width="17.7109375" bestFit="1" customWidth="1"/>
    <col min="3390" max="3390" width="15.5703125" bestFit="1" customWidth="1"/>
    <col min="3391" max="3391" width="13.28515625" bestFit="1" customWidth="1"/>
    <col min="3392" max="3392" width="17.7109375" bestFit="1" customWidth="1"/>
    <col min="3393" max="3393" width="15.5703125" bestFit="1" customWidth="1"/>
    <col min="3394" max="3394" width="12.5703125" bestFit="1" customWidth="1"/>
    <col min="3395" max="3395" width="17.7109375" bestFit="1" customWidth="1"/>
    <col min="3396" max="3396" width="15.5703125" bestFit="1" customWidth="1"/>
    <col min="3397" max="3397" width="12.5703125" bestFit="1" customWidth="1"/>
    <col min="3398" max="3398" width="17.7109375" bestFit="1" customWidth="1"/>
    <col min="3399" max="3399" width="15.5703125" bestFit="1" customWidth="1"/>
    <col min="3400" max="3400" width="13.28515625" bestFit="1" customWidth="1"/>
    <col min="3401" max="3401" width="17.7109375" bestFit="1" customWidth="1"/>
    <col min="3402" max="3402" width="15.5703125" bestFit="1" customWidth="1"/>
    <col min="3403" max="3403" width="12.5703125" bestFit="1" customWidth="1"/>
    <col min="3404" max="3404" width="17.7109375" bestFit="1" customWidth="1"/>
    <col min="3405" max="3405" width="15.5703125" bestFit="1" customWidth="1"/>
    <col min="3406" max="3406" width="12.5703125" bestFit="1" customWidth="1"/>
    <col min="3407" max="3407" width="17.7109375" bestFit="1" customWidth="1"/>
    <col min="3408" max="3408" width="15.5703125" bestFit="1" customWidth="1"/>
    <col min="3409" max="3409" width="13.28515625" bestFit="1" customWidth="1"/>
    <col min="3410" max="3410" width="17.7109375" bestFit="1" customWidth="1"/>
    <col min="3411" max="3411" width="15.5703125" bestFit="1" customWidth="1"/>
    <col min="3412" max="3412" width="12.5703125" bestFit="1" customWidth="1"/>
    <col min="3413" max="3413" width="17.7109375" bestFit="1" customWidth="1"/>
    <col min="3414" max="3414" width="15.5703125" bestFit="1" customWidth="1"/>
    <col min="3415" max="3415" width="13.28515625" bestFit="1" customWidth="1"/>
    <col min="3416" max="3416" width="17.7109375" bestFit="1" customWidth="1"/>
    <col min="3417" max="3417" width="15.5703125" bestFit="1" customWidth="1"/>
    <col min="3418" max="3418" width="12.5703125" bestFit="1" customWidth="1"/>
    <col min="3419" max="3419" width="17.7109375" bestFit="1" customWidth="1"/>
    <col min="3420" max="3420" width="15.5703125" bestFit="1" customWidth="1"/>
    <col min="3421" max="3421" width="13.28515625" bestFit="1" customWidth="1"/>
    <col min="3422" max="3422" width="17.7109375" bestFit="1" customWidth="1"/>
    <col min="3423" max="3423" width="15.5703125" bestFit="1" customWidth="1"/>
    <col min="3424" max="3424" width="12.5703125" bestFit="1" customWidth="1"/>
    <col min="3425" max="3425" width="17.7109375" bestFit="1" customWidth="1"/>
    <col min="3426" max="3426" width="15.5703125" bestFit="1" customWidth="1"/>
    <col min="3427" max="3427" width="12.5703125" bestFit="1" customWidth="1"/>
    <col min="3428" max="3428" width="17.7109375" bestFit="1" customWidth="1"/>
    <col min="3429" max="3429" width="15.5703125" bestFit="1" customWidth="1"/>
    <col min="3430" max="3430" width="13.28515625" bestFit="1" customWidth="1"/>
    <col min="3431" max="3431" width="17.7109375" bestFit="1" customWidth="1"/>
    <col min="3432" max="3432" width="15.5703125" bestFit="1" customWidth="1"/>
    <col min="3433" max="3433" width="12.5703125" bestFit="1" customWidth="1"/>
    <col min="3434" max="3434" width="17.7109375" bestFit="1" customWidth="1"/>
    <col min="3435" max="3435" width="15.5703125" bestFit="1" customWidth="1"/>
    <col min="3436" max="3436" width="13.28515625" bestFit="1" customWidth="1"/>
    <col min="3437" max="3437" width="17.7109375" bestFit="1" customWidth="1"/>
    <col min="3438" max="3438" width="15.5703125" bestFit="1" customWidth="1"/>
    <col min="3439" max="3439" width="13.28515625" bestFit="1" customWidth="1"/>
    <col min="3440" max="3440" width="17.7109375" bestFit="1" customWidth="1"/>
    <col min="3441" max="3441" width="15.5703125" bestFit="1" customWidth="1"/>
    <col min="3442" max="3442" width="12.5703125" bestFit="1" customWidth="1"/>
    <col min="3443" max="3443" width="17.7109375" bestFit="1" customWidth="1"/>
    <col min="3444" max="3444" width="15.5703125" bestFit="1" customWidth="1"/>
    <col min="3445" max="3445" width="13.28515625" bestFit="1" customWidth="1"/>
    <col min="3446" max="3446" width="17.7109375" bestFit="1" customWidth="1"/>
    <col min="3447" max="3447" width="15.5703125" bestFit="1" customWidth="1"/>
    <col min="3448" max="3448" width="12.5703125" bestFit="1" customWidth="1"/>
    <col min="3449" max="3449" width="17.7109375" bestFit="1" customWidth="1"/>
    <col min="3450" max="3450" width="15.5703125" bestFit="1" customWidth="1"/>
    <col min="3451" max="3451" width="12.5703125" bestFit="1" customWidth="1"/>
    <col min="3452" max="3452" width="17.7109375" bestFit="1" customWidth="1"/>
    <col min="3453" max="3453" width="15.5703125" bestFit="1" customWidth="1"/>
    <col min="3454" max="3454" width="13.28515625" bestFit="1" customWidth="1"/>
    <col min="3455" max="3455" width="17.7109375" bestFit="1" customWidth="1"/>
    <col min="3456" max="3456" width="15.5703125" bestFit="1" customWidth="1"/>
    <col min="3457" max="3457" width="12.5703125" bestFit="1" customWidth="1"/>
    <col min="3458" max="3458" width="17.7109375" bestFit="1" customWidth="1"/>
    <col min="3459" max="3459" width="15.5703125" bestFit="1" customWidth="1"/>
    <col min="3460" max="3460" width="13.28515625" bestFit="1" customWidth="1"/>
    <col min="3461" max="3461" width="17.7109375" bestFit="1" customWidth="1"/>
    <col min="3462" max="3462" width="15.5703125" bestFit="1" customWidth="1"/>
    <col min="3463" max="3463" width="12.5703125" bestFit="1" customWidth="1"/>
    <col min="3464" max="3464" width="17.7109375" bestFit="1" customWidth="1"/>
    <col min="3465" max="3465" width="15.5703125" bestFit="1" customWidth="1"/>
    <col min="3466" max="3466" width="12.5703125" bestFit="1" customWidth="1"/>
    <col min="3467" max="3467" width="17.7109375" bestFit="1" customWidth="1"/>
    <col min="3468" max="3468" width="15.5703125" bestFit="1" customWidth="1"/>
    <col min="3469" max="3469" width="13.28515625" bestFit="1" customWidth="1"/>
    <col min="3470" max="3470" width="17.7109375" bestFit="1" customWidth="1"/>
    <col min="3471" max="3471" width="15.5703125" bestFit="1" customWidth="1"/>
    <col min="3472" max="3472" width="13.28515625" bestFit="1" customWidth="1"/>
    <col min="3473" max="3473" width="17.7109375" bestFit="1" customWidth="1"/>
    <col min="3474" max="3474" width="15.5703125" bestFit="1" customWidth="1"/>
    <col min="3475" max="3475" width="13.28515625" bestFit="1" customWidth="1"/>
    <col min="3476" max="3476" width="17.7109375" bestFit="1" customWidth="1"/>
    <col min="3477" max="3477" width="15.5703125" bestFit="1" customWidth="1"/>
    <col min="3478" max="3478" width="12.5703125" bestFit="1" customWidth="1"/>
    <col min="3479" max="3479" width="17.7109375" bestFit="1" customWidth="1"/>
    <col min="3480" max="3480" width="15.5703125" bestFit="1" customWidth="1"/>
    <col min="3481" max="3481" width="12.5703125" bestFit="1" customWidth="1"/>
    <col min="3482" max="3482" width="17.7109375" bestFit="1" customWidth="1"/>
    <col min="3483" max="3483" width="15.5703125" bestFit="1" customWidth="1"/>
    <col min="3484" max="3484" width="12.5703125" bestFit="1" customWidth="1"/>
    <col min="3485" max="3485" width="17.7109375" bestFit="1" customWidth="1"/>
    <col min="3486" max="3486" width="15.5703125" bestFit="1" customWidth="1"/>
    <col min="3487" max="3487" width="12.5703125" bestFit="1" customWidth="1"/>
    <col min="3488" max="3488" width="17.7109375" bestFit="1" customWidth="1"/>
    <col min="3489" max="3489" width="15.5703125" bestFit="1" customWidth="1"/>
    <col min="3490" max="3490" width="12.5703125" bestFit="1" customWidth="1"/>
    <col min="3491" max="3491" width="17.7109375" bestFit="1" customWidth="1"/>
    <col min="3492" max="3492" width="15.5703125" bestFit="1" customWidth="1"/>
    <col min="3493" max="3493" width="12.5703125" bestFit="1" customWidth="1"/>
    <col min="3494" max="3494" width="17.7109375" bestFit="1" customWidth="1"/>
    <col min="3495" max="3495" width="15.5703125" bestFit="1" customWidth="1"/>
    <col min="3496" max="3496" width="13.28515625" bestFit="1" customWidth="1"/>
    <col min="3497" max="3497" width="17.7109375" bestFit="1" customWidth="1"/>
    <col min="3498" max="3498" width="15.5703125" bestFit="1" customWidth="1"/>
    <col min="3499" max="3499" width="12.5703125" bestFit="1" customWidth="1"/>
    <col min="3500" max="3500" width="17.7109375" bestFit="1" customWidth="1"/>
    <col min="3501" max="3501" width="15.5703125" bestFit="1" customWidth="1"/>
    <col min="3502" max="3502" width="13.28515625" bestFit="1" customWidth="1"/>
    <col min="3503" max="3503" width="17.7109375" bestFit="1" customWidth="1"/>
    <col min="3504" max="3504" width="15.5703125" bestFit="1" customWidth="1"/>
    <col min="3505" max="3505" width="13.28515625" bestFit="1" customWidth="1"/>
    <col min="3506" max="3506" width="17.7109375" bestFit="1" customWidth="1"/>
    <col min="3507" max="3507" width="15.5703125" bestFit="1" customWidth="1"/>
    <col min="3508" max="3508" width="12.5703125" bestFit="1" customWidth="1"/>
    <col min="3509" max="3509" width="17.7109375" bestFit="1" customWidth="1"/>
    <col min="3510" max="3510" width="15.5703125" bestFit="1" customWidth="1"/>
    <col min="3511" max="3511" width="13.28515625" bestFit="1" customWidth="1"/>
    <col min="3512" max="3512" width="17.7109375" bestFit="1" customWidth="1"/>
    <col min="3513" max="3513" width="15.5703125" bestFit="1" customWidth="1"/>
    <col min="3514" max="3514" width="12.5703125" bestFit="1" customWidth="1"/>
    <col min="3515" max="3515" width="17.7109375" bestFit="1" customWidth="1"/>
    <col min="3516" max="3516" width="15.5703125" bestFit="1" customWidth="1"/>
    <col min="3517" max="3517" width="12.5703125" bestFit="1" customWidth="1"/>
    <col min="3518" max="3518" width="17.7109375" bestFit="1" customWidth="1"/>
    <col min="3519" max="3519" width="15.5703125" bestFit="1" customWidth="1"/>
    <col min="3520" max="3520" width="13.28515625" bestFit="1" customWidth="1"/>
    <col min="3521" max="3521" width="17.7109375" bestFit="1" customWidth="1"/>
    <col min="3522" max="3522" width="15.5703125" bestFit="1" customWidth="1"/>
    <col min="3523" max="3523" width="12.5703125" bestFit="1" customWidth="1"/>
    <col min="3524" max="3524" width="17.7109375" bestFit="1" customWidth="1"/>
    <col min="3525" max="3525" width="15.5703125" bestFit="1" customWidth="1"/>
    <col min="3526" max="3526" width="13.28515625" bestFit="1" customWidth="1"/>
    <col min="3527" max="3527" width="17.7109375" bestFit="1" customWidth="1"/>
    <col min="3528" max="3528" width="15.5703125" bestFit="1" customWidth="1"/>
    <col min="3529" max="3529" width="12.5703125" bestFit="1" customWidth="1"/>
    <col min="3530" max="3530" width="17.7109375" bestFit="1" customWidth="1"/>
    <col min="3531" max="3531" width="15.5703125" bestFit="1" customWidth="1"/>
    <col min="3532" max="3532" width="12.5703125" bestFit="1" customWidth="1"/>
    <col min="3533" max="3533" width="17.7109375" bestFit="1" customWidth="1"/>
    <col min="3534" max="3534" width="15.5703125" bestFit="1" customWidth="1"/>
    <col min="3535" max="3535" width="13.28515625" bestFit="1" customWidth="1"/>
    <col min="3536" max="3536" width="17.7109375" bestFit="1" customWidth="1"/>
    <col min="3537" max="3537" width="15.5703125" bestFit="1" customWidth="1"/>
    <col min="3538" max="3538" width="13.28515625" bestFit="1" customWidth="1"/>
    <col min="3539" max="3539" width="17.7109375" bestFit="1" customWidth="1"/>
    <col min="3540" max="3540" width="15.5703125" bestFit="1" customWidth="1"/>
    <col min="3541" max="3541" width="12.5703125" bestFit="1" customWidth="1"/>
    <col min="3542" max="3542" width="17.7109375" bestFit="1" customWidth="1"/>
    <col min="3543" max="3543" width="15.5703125" bestFit="1" customWidth="1"/>
    <col min="3544" max="3544" width="12.5703125" bestFit="1" customWidth="1"/>
    <col min="3545" max="3545" width="17.7109375" bestFit="1" customWidth="1"/>
    <col min="3546" max="3546" width="15.5703125" bestFit="1" customWidth="1"/>
    <col min="3547" max="3547" width="12.5703125" bestFit="1" customWidth="1"/>
    <col min="3548" max="3548" width="17.7109375" bestFit="1" customWidth="1"/>
    <col min="3549" max="3549" width="15.5703125" bestFit="1" customWidth="1"/>
    <col min="3550" max="3550" width="12.5703125" bestFit="1" customWidth="1"/>
    <col min="3551" max="3551" width="17.7109375" bestFit="1" customWidth="1"/>
    <col min="3552" max="3552" width="15.5703125" bestFit="1" customWidth="1"/>
    <col min="3553" max="3553" width="12.5703125" bestFit="1" customWidth="1"/>
    <col min="3554" max="3554" width="17.7109375" bestFit="1" customWidth="1"/>
    <col min="3555" max="3555" width="15.5703125" bestFit="1" customWidth="1"/>
    <col min="3556" max="3556" width="12.5703125" bestFit="1" customWidth="1"/>
    <col min="3557" max="3557" width="17.7109375" bestFit="1" customWidth="1"/>
    <col min="3558" max="3558" width="15.5703125" bestFit="1" customWidth="1"/>
    <col min="3559" max="3559" width="13.28515625" bestFit="1" customWidth="1"/>
    <col min="3560" max="3560" width="17.7109375" bestFit="1" customWidth="1"/>
    <col min="3561" max="3561" width="15.5703125" bestFit="1" customWidth="1"/>
    <col min="3562" max="3562" width="13.28515625" bestFit="1" customWidth="1"/>
    <col min="3563" max="3563" width="17.7109375" bestFit="1" customWidth="1"/>
    <col min="3564" max="3564" width="15.5703125" bestFit="1" customWidth="1"/>
    <col min="3565" max="3565" width="12.5703125" bestFit="1" customWidth="1"/>
    <col min="3566" max="3566" width="17.7109375" bestFit="1" customWidth="1"/>
    <col min="3567" max="3567" width="15.5703125" bestFit="1" customWidth="1"/>
    <col min="3568" max="3568" width="12.5703125" bestFit="1" customWidth="1"/>
    <col min="3569" max="3569" width="17.7109375" bestFit="1" customWidth="1"/>
    <col min="3570" max="3570" width="15.5703125" bestFit="1" customWidth="1"/>
    <col min="3571" max="3571" width="13.28515625" bestFit="1" customWidth="1"/>
    <col min="3572" max="3572" width="17.7109375" bestFit="1" customWidth="1"/>
    <col min="3573" max="3573" width="15.5703125" bestFit="1" customWidth="1"/>
    <col min="3574" max="3574" width="13.28515625" bestFit="1" customWidth="1"/>
    <col min="3575" max="3575" width="17.7109375" bestFit="1" customWidth="1"/>
    <col min="3576" max="3576" width="15.5703125" bestFit="1" customWidth="1"/>
    <col min="3577" max="3577" width="13.28515625" bestFit="1" customWidth="1"/>
    <col min="3578" max="3578" width="17.7109375" bestFit="1" customWidth="1"/>
    <col min="3579" max="3579" width="15.5703125" bestFit="1" customWidth="1"/>
    <col min="3580" max="3580" width="12.5703125" bestFit="1" customWidth="1"/>
    <col min="3581" max="3581" width="17.7109375" bestFit="1" customWidth="1"/>
    <col min="3582" max="3582" width="15.5703125" bestFit="1" customWidth="1"/>
    <col min="3583" max="3583" width="12.5703125" bestFit="1" customWidth="1"/>
    <col min="3584" max="3584" width="17.7109375" bestFit="1" customWidth="1"/>
    <col min="3585" max="3585" width="15.5703125" bestFit="1" customWidth="1"/>
    <col min="3586" max="3586" width="13.28515625" bestFit="1" customWidth="1"/>
    <col min="3587" max="3587" width="17.7109375" bestFit="1" customWidth="1"/>
    <col min="3588" max="3588" width="15.5703125" bestFit="1" customWidth="1"/>
    <col min="3589" max="3589" width="12.5703125" bestFit="1" customWidth="1"/>
    <col min="3590" max="3590" width="17.7109375" bestFit="1" customWidth="1"/>
    <col min="3591" max="3591" width="15.5703125" bestFit="1" customWidth="1"/>
    <col min="3592" max="3592" width="13.28515625" bestFit="1" customWidth="1"/>
    <col min="3593" max="3593" width="17.7109375" bestFit="1" customWidth="1"/>
    <col min="3594" max="3594" width="15.5703125" bestFit="1" customWidth="1"/>
    <col min="3595" max="3595" width="12.5703125" bestFit="1" customWidth="1"/>
    <col min="3596" max="3596" width="17.7109375" bestFit="1" customWidth="1"/>
    <col min="3597" max="3597" width="15.5703125" bestFit="1" customWidth="1"/>
    <col min="3598" max="3598" width="12.5703125" bestFit="1" customWidth="1"/>
    <col min="3599" max="3599" width="17.7109375" bestFit="1" customWidth="1"/>
    <col min="3600" max="3600" width="15.5703125" bestFit="1" customWidth="1"/>
    <col min="3601" max="3601" width="12.5703125" bestFit="1" customWidth="1"/>
    <col min="3602" max="3602" width="17.7109375" bestFit="1" customWidth="1"/>
    <col min="3603" max="3603" width="15.5703125" bestFit="1" customWidth="1"/>
    <col min="3604" max="3604" width="12.5703125" bestFit="1" customWidth="1"/>
    <col min="3605" max="3605" width="17.7109375" bestFit="1" customWidth="1"/>
    <col min="3606" max="3606" width="15.5703125" bestFit="1" customWidth="1"/>
    <col min="3607" max="3607" width="12.5703125" bestFit="1" customWidth="1"/>
    <col min="3608" max="3608" width="17.7109375" bestFit="1" customWidth="1"/>
    <col min="3609" max="3609" width="15.5703125" bestFit="1" customWidth="1"/>
    <col min="3610" max="3610" width="12.5703125" bestFit="1" customWidth="1"/>
    <col min="3611" max="3611" width="17.7109375" bestFit="1" customWidth="1"/>
    <col min="3612" max="3612" width="15.5703125" bestFit="1" customWidth="1"/>
    <col min="3613" max="3613" width="13.28515625" bestFit="1" customWidth="1"/>
    <col min="3614" max="3614" width="17.7109375" bestFit="1" customWidth="1"/>
    <col min="3615" max="3615" width="15.5703125" bestFit="1" customWidth="1"/>
    <col min="3616" max="3616" width="13.28515625" bestFit="1" customWidth="1"/>
    <col min="3617" max="3617" width="17.7109375" bestFit="1" customWidth="1"/>
    <col min="3618" max="3618" width="15.5703125" bestFit="1" customWidth="1"/>
    <col min="3619" max="3619" width="12.5703125" bestFit="1" customWidth="1"/>
    <col min="3620" max="3620" width="17.7109375" bestFit="1" customWidth="1"/>
    <col min="3621" max="3621" width="15.5703125" bestFit="1" customWidth="1"/>
    <col min="3622" max="3622" width="13.28515625" bestFit="1" customWidth="1"/>
    <col min="3623" max="3623" width="17.7109375" bestFit="1" customWidth="1"/>
    <col min="3624" max="3624" width="15.5703125" bestFit="1" customWidth="1"/>
    <col min="3625" max="3625" width="12.5703125" bestFit="1" customWidth="1"/>
    <col min="3626" max="3626" width="17.7109375" bestFit="1" customWidth="1"/>
    <col min="3627" max="3627" width="15.5703125" bestFit="1" customWidth="1"/>
    <col min="3628" max="3628" width="12.5703125" bestFit="1" customWidth="1"/>
    <col min="3629" max="3629" width="17.7109375" bestFit="1" customWidth="1"/>
    <col min="3630" max="3630" width="15.5703125" bestFit="1" customWidth="1"/>
    <col min="3631" max="3631" width="12.5703125" bestFit="1" customWidth="1"/>
    <col min="3632" max="3632" width="17.7109375" bestFit="1" customWidth="1"/>
    <col min="3633" max="3633" width="15.5703125" bestFit="1" customWidth="1"/>
    <col min="3634" max="3634" width="13.28515625" bestFit="1" customWidth="1"/>
    <col min="3635" max="3635" width="17.7109375" bestFit="1" customWidth="1"/>
    <col min="3636" max="3636" width="15.5703125" bestFit="1" customWidth="1"/>
    <col min="3637" max="3637" width="13.28515625" bestFit="1" customWidth="1"/>
    <col min="3638" max="3638" width="17.7109375" bestFit="1" customWidth="1"/>
    <col min="3639" max="3639" width="15.5703125" bestFit="1" customWidth="1"/>
    <col min="3640" max="3640" width="12.5703125" bestFit="1" customWidth="1"/>
    <col min="3641" max="3641" width="17.7109375" bestFit="1" customWidth="1"/>
    <col min="3642" max="3642" width="15.5703125" bestFit="1" customWidth="1"/>
    <col min="3643" max="3643" width="12.5703125" bestFit="1" customWidth="1"/>
    <col min="3644" max="3644" width="17.7109375" bestFit="1" customWidth="1"/>
    <col min="3645" max="3645" width="15.5703125" bestFit="1" customWidth="1"/>
    <col min="3646" max="3646" width="13.28515625" bestFit="1" customWidth="1"/>
    <col min="3647" max="3647" width="17.7109375" bestFit="1" customWidth="1"/>
    <col min="3648" max="3648" width="15.5703125" bestFit="1" customWidth="1"/>
    <col min="3649" max="3649" width="12.5703125" bestFit="1" customWidth="1"/>
    <col min="3650" max="3650" width="17.7109375" bestFit="1" customWidth="1"/>
    <col min="3651" max="3651" width="15.5703125" bestFit="1" customWidth="1"/>
    <col min="3652" max="3652" width="13.28515625" bestFit="1" customWidth="1"/>
    <col min="3653" max="3653" width="17.7109375" bestFit="1" customWidth="1"/>
    <col min="3654" max="3654" width="15.5703125" bestFit="1" customWidth="1"/>
    <col min="3655" max="3655" width="12.5703125" bestFit="1" customWidth="1"/>
    <col min="3656" max="3656" width="17.7109375" bestFit="1" customWidth="1"/>
    <col min="3657" max="3657" width="15.5703125" bestFit="1" customWidth="1"/>
    <col min="3658" max="3658" width="12.5703125" bestFit="1" customWidth="1"/>
    <col min="3659" max="3659" width="17.7109375" bestFit="1" customWidth="1"/>
    <col min="3660" max="3660" width="15.5703125" bestFit="1" customWidth="1"/>
    <col min="3661" max="3661" width="13.28515625" bestFit="1" customWidth="1"/>
    <col min="3662" max="3662" width="17.7109375" bestFit="1" customWidth="1"/>
    <col min="3663" max="3663" width="15.5703125" bestFit="1" customWidth="1"/>
    <col min="3664" max="3664" width="12.5703125" bestFit="1" customWidth="1"/>
    <col min="3665" max="3665" width="17.7109375" bestFit="1" customWidth="1"/>
    <col min="3666" max="3666" width="15.5703125" bestFit="1" customWidth="1"/>
    <col min="3667" max="3667" width="13.28515625" bestFit="1" customWidth="1"/>
    <col min="3668" max="3668" width="17.7109375" bestFit="1" customWidth="1"/>
    <col min="3669" max="3669" width="15.5703125" bestFit="1" customWidth="1"/>
    <col min="3670" max="3670" width="13.28515625" bestFit="1" customWidth="1"/>
    <col min="3671" max="3671" width="17.7109375" bestFit="1" customWidth="1"/>
    <col min="3672" max="3672" width="15.5703125" bestFit="1" customWidth="1"/>
    <col min="3673" max="3673" width="12.5703125" bestFit="1" customWidth="1"/>
    <col min="3674" max="3674" width="17.7109375" bestFit="1" customWidth="1"/>
    <col min="3675" max="3675" width="15.5703125" bestFit="1" customWidth="1"/>
    <col min="3676" max="3676" width="12.5703125" bestFit="1" customWidth="1"/>
    <col min="3677" max="3677" width="17.7109375" bestFit="1" customWidth="1"/>
    <col min="3678" max="3678" width="15.5703125" bestFit="1" customWidth="1"/>
    <col min="3679" max="3679" width="12.5703125" bestFit="1" customWidth="1"/>
    <col min="3680" max="3680" width="17.7109375" bestFit="1" customWidth="1"/>
    <col min="3681" max="3681" width="15.5703125" bestFit="1" customWidth="1"/>
    <col min="3682" max="3682" width="12.5703125" bestFit="1" customWidth="1"/>
    <col min="3683" max="3683" width="17.7109375" bestFit="1" customWidth="1"/>
    <col min="3684" max="3684" width="15.5703125" bestFit="1" customWidth="1"/>
    <col min="3685" max="3685" width="13.28515625" bestFit="1" customWidth="1"/>
    <col min="3686" max="3686" width="17.7109375" bestFit="1" customWidth="1"/>
    <col min="3687" max="3687" width="15.5703125" bestFit="1" customWidth="1"/>
    <col min="3688" max="3688" width="13.28515625" bestFit="1" customWidth="1"/>
    <col min="3689" max="3689" width="17.7109375" bestFit="1" customWidth="1"/>
    <col min="3690" max="3690" width="15.5703125" bestFit="1" customWidth="1"/>
    <col min="3691" max="3691" width="12.5703125" bestFit="1" customWidth="1"/>
    <col min="3692" max="3692" width="17.7109375" bestFit="1" customWidth="1"/>
    <col min="3693" max="3693" width="15.5703125" bestFit="1" customWidth="1"/>
    <col min="3694" max="3694" width="12.5703125" bestFit="1" customWidth="1"/>
    <col min="3695" max="3695" width="17.7109375" bestFit="1" customWidth="1"/>
    <col min="3696" max="3696" width="15.5703125" bestFit="1" customWidth="1"/>
    <col min="3697" max="3697" width="12.5703125" bestFit="1" customWidth="1"/>
    <col min="3698" max="3698" width="17.7109375" bestFit="1" customWidth="1"/>
    <col min="3699" max="3699" width="15.5703125" bestFit="1" customWidth="1"/>
    <col min="3700" max="3700" width="12.5703125" bestFit="1" customWidth="1"/>
    <col min="3701" max="3701" width="17.7109375" bestFit="1" customWidth="1"/>
    <col min="3702" max="3702" width="15.5703125" bestFit="1" customWidth="1"/>
    <col min="3703" max="3703" width="12.5703125" bestFit="1" customWidth="1"/>
    <col min="3704" max="3704" width="17.7109375" bestFit="1" customWidth="1"/>
    <col min="3705" max="3705" width="15.5703125" bestFit="1" customWidth="1"/>
    <col min="3706" max="3706" width="13.28515625" bestFit="1" customWidth="1"/>
    <col min="3707" max="3707" width="17.7109375" bestFit="1" customWidth="1"/>
    <col min="3708" max="3708" width="15.5703125" bestFit="1" customWidth="1"/>
    <col min="3709" max="3709" width="12.5703125" bestFit="1" customWidth="1"/>
    <col min="3710" max="3710" width="17.7109375" bestFit="1" customWidth="1"/>
    <col min="3711" max="3711" width="15.5703125" bestFit="1" customWidth="1"/>
    <col min="3712" max="3712" width="13.28515625" bestFit="1" customWidth="1"/>
    <col min="3713" max="3713" width="17.7109375" bestFit="1" customWidth="1"/>
    <col min="3714" max="3714" width="15.5703125" bestFit="1" customWidth="1"/>
    <col min="3715" max="3715" width="13.28515625" bestFit="1" customWidth="1"/>
    <col min="3716" max="3716" width="17.7109375" bestFit="1" customWidth="1"/>
    <col min="3717" max="3717" width="15.5703125" bestFit="1" customWidth="1"/>
    <col min="3718" max="3718" width="12.5703125" bestFit="1" customWidth="1"/>
    <col min="3719" max="3719" width="17.7109375" bestFit="1" customWidth="1"/>
    <col min="3720" max="3720" width="15.5703125" bestFit="1" customWidth="1"/>
    <col min="3721" max="3721" width="12.5703125" bestFit="1" customWidth="1"/>
    <col min="3722" max="3722" width="17.7109375" bestFit="1" customWidth="1"/>
    <col min="3723" max="3723" width="15.5703125" bestFit="1" customWidth="1"/>
    <col min="3724" max="3724" width="13.28515625" bestFit="1" customWidth="1"/>
    <col min="3725" max="3725" width="17.7109375" bestFit="1" customWidth="1"/>
    <col min="3726" max="3726" width="15.5703125" bestFit="1" customWidth="1"/>
    <col min="3727" max="3727" width="13.28515625" bestFit="1" customWidth="1"/>
    <col min="3728" max="3728" width="17.7109375" bestFit="1" customWidth="1"/>
    <col min="3729" max="3729" width="15.5703125" bestFit="1" customWidth="1"/>
    <col min="3730" max="3730" width="12.5703125" bestFit="1" customWidth="1"/>
    <col min="3731" max="3731" width="17.7109375" bestFit="1" customWidth="1"/>
    <col min="3732" max="3732" width="15.5703125" bestFit="1" customWidth="1"/>
    <col min="3733" max="3733" width="12.5703125" bestFit="1" customWidth="1"/>
    <col min="3734" max="3734" width="17.7109375" bestFit="1" customWidth="1"/>
    <col min="3735" max="3735" width="15.5703125" bestFit="1" customWidth="1"/>
    <col min="3736" max="3736" width="12.5703125" bestFit="1" customWidth="1"/>
    <col min="3737" max="3737" width="17.7109375" bestFit="1" customWidth="1"/>
    <col min="3738" max="3738" width="15.5703125" bestFit="1" customWidth="1"/>
    <col min="3739" max="3739" width="12.5703125" bestFit="1" customWidth="1"/>
    <col min="3740" max="3740" width="17.7109375" bestFit="1" customWidth="1"/>
    <col min="3741" max="3741" width="15.5703125" bestFit="1" customWidth="1"/>
    <col min="3742" max="3742" width="13.28515625" bestFit="1" customWidth="1"/>
    <col min="3743" max="3743" width="17.7109375" bestFit="1" customWidth="1"/>
    <col min="3744" max="3744" width="15.5703125" bestFit="1" customWidth="1"/>
    <col min="3745" max="3745" width="13.28515625" bestFit="1" customWidth="1"/>
    <col min="3746" max="3746" width="17.7109375" bestFit="1" customWidth="1"/>
    <col min="3747" max="3747" width="15.5703125" bestFit="1" customWidth="1"/>
    <col min="3748" max="3748" width="12.5703125" bestFit="1" customWidth="1"/>
    <col min="3749" max="3749" width="17.7109375" bestFit="1" customWidth="1"/>
    <col min="3750" max="3750" width="15.5703125" bestFit="1" customWidth="1"/>
    <col min="3751" max="3751" width="12.5703125" bestFit="1" customWidth="1"/>
    <col min="3752" max="3752" width="17.7109375" bestFit="1" customWidth="1"/>
    <col min="3753" max="3753" width="15.5703125" bestFit="1" customWidth="1"/>
    <col min="3754" max="3754" width="12.5703125" bestFit="1" customWidth="1"/>
    <col min="3755" max="3755" width="17.7109375" bestFit="1" customWidth="1"/>
    <col min="3756" max="3756" width="15.5703125" bestFit="1" customWidth="1"/>
    <col min="3757" max="3757" width="12.5703125" bestFit="1" customWidth="1"/>
    <col min="3758" max="3758" width="17.7109375" bestFit="1" customWidth="1"/>
    <col min="3759" max="3759" width="15.5703125" bestFit="1" customWidth="1"/>
    <col min="3760" max="3760" width="12.5703125" bestFit="1" customWidth="1"/>
    <col min="3761" max="3761" width="17.7109375" bestFit="1" customWidth="1"/>
    <col min="3762" max="3762" width="15.5703125" bestFit="1" customWidth="1"/>
    <col min="3763" max="3763" width="12.5703125" bestFit="1" customWidth="1"/>
    <col min="3764" max="3764" width="17.7109375" bestFit="1" customWidth="1"/>
    <col min="3765" max="3765" width="15.5703125" bestFit="1" customWidth="1"/>
    <col min="3766" max="3766" width="12.5703125" bestFit="1" customWidth="1"/>
    <col min="3767" max="3767" width="17.7109375" bestFit="1" customWidth="1"/>
    <col min="3768" max="3768" width="15.5703125" bestFit="1" customWidth="1"/>
    <col min="3769" max="3769" width="12.5703125" bestFit="1" customWidth="1"/>
    <col min="3770" max="3770" width="17.7109375" bestFit="1" customWidth="1"/>
    <col min="3771" max="3771" width="15.5703125" bestFit="1" customWidth="1"/>
    <col min="3772" max="3772" width="12.5703125" bestFit="1" customWidth="1"/>
    <col min="3773" max="3773" width="17.7109375" bestFit="1" customWidth="1"/>
    <col min="3774" max="3774" width="15.5703125" bestFit="1" customWidth="1"/>
    <col min="3775" max="3775" width="13.28515625" bestFit="1" customWidth="1"/>
    <col min="3776" max="3776" width="17.7109375" bestFit="1" customWidth="1"/>
    <col min="3777" max="3777" width="15.5703125" bestFit="1" customWidth="1"/>
    <col min="3778" max="3778" width="12.5703125" bestFit="1" customWidth="1"/>
    <col min="3779" max="3779" width="17.7109375" bestFit="1" customWidth="1"/>
    <col min="3780" max="3780" width="15.5703125" bestFit="1" customWidth="1"/>
    <col min="3781" max="3781" width="13.28515625" bestFit="1" customWidth="1"/>
    <col min="3782" max="3782" width="17.7109375" bestFit="1" customWidth="1"/>
    <col min="3783" max="3783" width="15.5703125" bestFit="1" customWidth="1"/>
    <col min="3784" max="3784" width="13.28515625" bestFit="1" customWidth="1"/>
    <col min="3785" max="3785" width="17.7109375" bestFit="1" customWidth="1"/>
    <col min="3786" max="3786" width="15.5703125" bestFit="1" customWidth="1"/>
    <col min="3787" max="3787" width="12.5703125" bestFit="1" customWidth="1"/>
    <col min="3788" max="3788" width="17.7109375" bestFit="1" customWidth="1"/>
    <col min="3789" max="3789" width="15.5703125" bestFit="1" customWidth="1"/>
    <col min="3790" max="3790" width="12.5703125" bestFit="1" customWidth="1"/>
    <col min="3791" max="3791" width="17.7109375" bestFit="1" customWidth="1"/>
    <col min="3792" max="3792" width="15.5703125" bestFit="1" customWidth="1"/>
    <col min="3793" max="3793" width="12.5703125" bestFit="1" customWidth="1"/>
    <col min="3794" max="3794" width="17.7109375" bestFit="1" customWidth="1"/>
    <col min="3795" max="3795" width="15.5703125" bestFit="1" customWidth="1"/>
    <col min="3796" max="3796" width="12.5703125" bestFit="1" customWidth="1"/>
    <col min="3797" max="3797" width="17.7109375" bestFit="1" customWidth="1"/>
    <col min="3798" max="3798" width="15.5703125" bestFit="1" customWidth="1"/>
    <col min="3799" max="3799" width="12.5703125" bestFit="1" customWidth="1"/>
    <col min="3800" max="3800" width="17.7109375" bestFit="1" customWidth="1"/>
    <col min="3801" max="3801" width="15.5703125" bestFit="1" customWidth="1"/>
    <col min="3802" max="3802" width="12.5703125" bestFit="1" customWidth="1"/>
    <col min="3803" max="3803" width="17.7109375" bestFit="1" customWidth="1"/>
    <col min="3804" max="3804" width="15.5703125" bestFit="1" customWidth="1"/>
    <col min="3805" max="3805" width="13.28515625" bestFit="1" customWidth="1"/>
    <col min="3806" max="3806" width="17.7109375" bestFit="1" customWidth="1"/>
    <col min="3807" max="3807" width="15.5703125" bestFit="1" customWidth="1"/>
    <col min="3808" max="3808" width="12.5703125" bestFit="1" customWidth="1"/>
    <col min="3809" max="3809" width="17.7109375" bestFit="1" customWidth="1"/>
    <col min="3810" max="3810" width="15.5703125" bestFit="1" customWidth="1"/>
    <col min="3811" max="3811" width="13.28515625" bestFit="1" customWidth="1"/>
    <col min="3812" max="3812" width="17.7109375" bestFit="1" customWidth="1"/>
    <col min="3813" max="3813" width="15.5703125" bestFit="1" customWidth="1"/>
    <col min="3814" max="3814" width="12.5703125" bestFit="1" customWidth="1"/>
    <col min="3815" max="3815" width="17.7109375" bestFit="1" customWidth="1"/>
    <col min="3816" max="3816" width="15.5703125" bestFit="1" customWidth="1"/>
    <col min="3817" max="3817" width="12.5703125" bestFit="1" customWidth="1"/>
    <col min="3818" max="3818" width="17.7109375" bestFit="1" customWidth="1"/>
    <col min="3819" max="3819" width="15.5703125" bestFit="1" customWidth="1"/>
    <col min="3820" max="3820" width="12.5703125" bestFit="1" customWidth="1"/>
    <col min="3821" max="3821" width="17.7109375" bestFit="1" customWidth="1"/>
    <col min="3822" max="3822" width="15.5703125" bestFit="1" customWidth="1"/>
    <col min="3823" max="3823" width="12.5703125" bestFit="1" customWidth="1"/>
    <col min="3824" max="3824" width="17.7109375" bestFit="1" customWidth="1"/>
    <col min="3825" max="3825" width="15.5703125" bestFit="1" customWidth="1"/>
    <col min="3826" max="3826" width="13.28515625" bestFit="1" customWidth="1"/>
    <col min="3827" max="3827" width="17.7109375" bestFit="1" customWidth="1"/>
    <col min="3828" max="3828" width="15.5703125" bestFit="1" customWidth="1"/>
    <col min="3829" max="3829" width="12.5703125" bestFit="1" customWidth="1"/>
    <col min="3830" max="3830" width="17.7109375" bestFit="1" customWidth="1"/>
    <col min="3831" max="3831" width="15.5703125" bestFit="1" customWidth="1"/>
    <col min="3832" max="3832" width="12.5703125" bestFit="1" customWidth="1"/>
    <col min="3833" max="3833" width="17.7109375" bestFit="1" customWidth="1"/>
    <col min="3834" max="3834" width="15.5703125" bestFit="1" customWidth="1"/>
    <col min="3835" max="3835" width="12.5703125" bestFit="1" customWidth="1"/>
    <col min="3836" max="3836" width="17.7109375" bestFit="1" customWidth="1"/>
    <col min="3837" max="3837" width="15.5703125" bestFit="1" customWidth="1"/>
    <col min="3838" max="3838" width="12.5703125" bestFit="1" customWidth="1"/>
    <col min="3839" max="3839" width="17.7109375" bestFit="1" customWidth="1"/>
    <col min="3840" max="3840" width="15.5703125" bestFit="1" customWidth="1"/>
    <col min="3841" max="3841" width="12.5703125" bestFit="1" customWidth="1"/>
    <col min="3842" max="3842" width="17.7109375" bestFit="1" customWidth="1"/>
    <col min="3843" max="3843" width="15.5703125" bestFit="1" customWidth="1"/>
    <col min="3844" max="3844" width="12.5703125" bestFit="1" customWidth="1"/>
    <col min="3845" max="3845" width="17.7109375" bestFit="1" customWidth="1"/>
    <col min="3846" max="3846" width="15.5703125" bestFit="1" customWidth="1"/>
    <col min="3847" max="3847" width="12.5703125" bestFit="1" customWidth="1"/>
    <col min="3848" max="3848" width="17.7109375" bestFit="1" customWidth="1"/>
    <col min="3849" max="3849" width="15.5703125" bestFit="1" customWidth="1"/>
    <col min="3850" max="3850" width="12.5703125" bestFit="1" customWidth="1"/>
    <col min="3851" max="3851" width="17.7109375" bestFit="1" customWidth="1"/>
    <col min="3852" max="3852" width="15.5703125" bestFit="1" customWidth="1"/>
    <col min="3853" max="3853" width="12.5703125" bestFit="1" customWidth="1"/>
    <col min="3854" max="3854" width="17.7109375" bestFit="1" customWidth="1"/>
    <col min="3855" max="3855" width="15.5703125" bestFit="1" customWidth="1"/>
    <col min="3856" max="3856" width="12.5703125" bestFit="1" customWidth="1"/>
    <col min="3857" max="3857" width="17.7109375" bestFit="1" customWidth="1"/>
    <col min="3858" max="3858" width="15.5703125" bestFit="1" customWidth="1"/>
    <col min="3859" max="3859" width="12.5703125" bestFit="1" customWidth="1"/>
    <col min="3860" max="3860" width="17.7109375" bestFit="1" customWidth="1"/>
    <col min="3861" max="3861" width="15.5703125" bestFit="1" customWidth="1"/>
    <col min="3862" max="3862" width="13.28515625" bestFit="1" customWidth="1"/>
    <col min="3863" max="3863" width="17.7109375" bestFit="1" customWidth="1"/>
    <col min="3864" max="3864" width="15.5703125" bestFit="1" customWidth="1"/>
    <col min="3865" max="3865" width="13.28515625" bestFit="1" customWidth="1"/>
    <col min="3866" max="3866" width="17.7109375" bestFit="1" customWidth="1"/>
    <col min="3867" max="3867" width="15.5703125" bestFit="1" customWidth="1"/>
    <col min="3868" max="3868" width="13.28515625" bestFit="1" customWidth="1"/>
    <col min="3869" max="3869" width="17.7109375" bestFit="1" customWidth="1"/>
    <col min="3870" max="3870" width="15.5703125" bestFit="1" customWidth="1"/>
    <col min="3871" max="3871" width="12.5703125" bestFit="1" customWidth="1"/>
    <col min="3872" max="3872" width="17.7109375" bestFit="1" customWidth="1"/>
    <col min="3873" max="3873" width="15.5703125" bestFit="1" customWidth="1"/>
    <col min="3874" max="3874" width="12.5703125" bestFit="1" customWidth="1"/>
    <col min="3875" max="3875" width="17.7109375" bestFit="1" customWidth="1"/>
    <col min="3876" max="3876" width="15.5703125" bestFit="1" customWidth="1"/>
    <col min="3877" max="3877" width="12.5703125" bestFit="1" customWidth="1"/>
    <col min="3878" max="3878" width="17.7109375" bestFit="1" customWidth="1"/>
    <col min="3879" max="3879" width="15.5703125" bestFit="1" customWidth="1"/>
    <col min="3880" max="3880" width="13.28515625" bestFit="1" customWidth="1"/>
    <col min="3881" max="3881" width="17.7109375" bestFit="1" customWidth="1"/>
    <col min="3882" max="3882" width="15.5703125" bestFit="1" customWidth="1"/>
    <col min="3883" max="3883" width="12.5703125" bestFit="1" customWidth="1"/>
    <col min="3884" max="3884" width="17.7109375" bestFit="1" customWidth="1"/>
    <col min="3885" max="3885" width="15.5703125" bestFit="1" customWidth="1"/>
    <col min="3886" max="3886" width="13.28515625" bestFit="1" customWidth="1"/>
    <col min="3887" max="3887" width="17.7109375" bestFit="1" customWidth="1"/>
    <col min="3888" max="3888" width="15.5703125" bestFit="1" customWidth="1"/>
    <col min="3889" max="3889" width="13.28515625" bestFit="1" customWidth="1"/>
    <col min="3890" max="3890" width="17.7109375" bestFit="1" customWidth="1"/>
    <col min="3891" max="3891" width="15.5703125" bestFit="1" customWidth="1"/>
    <col min="3892" max="3892" width="12.5703125" bestFit="1" customWidth="1"/>
    <col min="3893" max="3893" width="17.7109375" bestFit="1" customWidth="1"/>
    <col min="3894" max="3894" width="15.5703125" bestFit="1" customWidth="1"/>
    <col min="3895" max="3895" width="13.28515625" bestFit="1" customWidth="1"/>
    <col min="3896" max="3896" width="17.7109375" bestFit="1" customWidth="1"/>
    <col min="3897" max="3897" width="15.5703125" bestFit="1" customWidth="1"/>
    <col min="3898" max="3898" width="13.28515625" bestFit="1" customWidth="1"/>
    <col min="3899" max="3899" width="17.7109375" bestFit="1" customWidth="1"/>
    <col min="3900" max="3900" width="15.5703125" bestFit="1" customWidth="1"/>
    <col min="3901" max="3901" width="12.5703125" bestFit="1" customWidth="1"/>
    <col min="3902" max="3902" width="17.7109375" bestFit="1" customWidth="1"/>
    <col min="3903" max="3903" width="15.5703125" bestFit="1" customWidth="1"/>
    <col min="3904" max="3904" width="12.5703125" bestFit="1" customWidth="1"/>
    <col min="3905" max="3905" width="17.7109375" bestFit="1" customWidth="1"/>
    <col min="3906" max="3906" width="15.5703125" bestFit="1" customWidth="1"/>
    <col min="3907" max="3907" width="12.5703125" bestFit="1" customWidth="1"/>
    <col min="3908" max="3908" width="17.7109375" bestFit="1" customWidth="1"/>
    <col min="3909" max="3909" width="15.5703125" bestFit="1" customWidth="1"/>
    <col min="3910" max="3910" width="12.5703125" bestFit="1" customWidth="1"/>
    <col min="3911" max="3911" width="17.7109375" bestFit="1" customWidth="1"/>
    <col min="3912" max="3912" width="15.5703125" bestFit="1" customWidth="1"/>
    <col min="3913" max="3913" width="13.28515625" bestFit="1" customWidth="1"/>
    <col min="3914" max="3914" width="17.7109375" bestFit="1" customWidth="1"/>
    <col min="3915" max="3915" width="15.5703125" bestFit="1" customWidth="1"/>
    <col min="3916" max="3916" width="12.5703125" bestFit="1" customWidth="1"/>
    <col min="3917" max="3917" width="17.7109375" bestFit="1" customWidth="1"/>
    <col min="3918" max="3918" width="15.5703125" bestFit="1" customWidth="1"/>
    <col min="3919" max="3919" width="13.28515625" bestFit="1" customWidth="1"/>
    <col min="3920" max="3920" width="17.7109375" bestFit="1" customWidth="1"/>
    <col min="3921" max="3921" width="15.5703125" bestFit="1" customWidth="1"/>
    <col min="3922" max="3922" width="13.28515625" bestFit="1" customWidth="1"/>
    <col min="3923" max="3923" width="17.7109375" bestFit="1" customWidth="1"/>
    <col min="3924" max="3924" width="15.5703125" bestFit="1" customWidth="1"/>
    <col min="3925" max="3925" width="12.5703125" bestFit="1" customWidth="1"/>
    <col min="3926" max="3926" width="17.7109375" bestFit="1" customWidth="1"/>
    <col min="3927" max="3927" width="15.5703125" bestFit="1" customWidth="1"/>
    <col min="3928" max="3928" width="13.28515625" bestFit="1" customWidth="1"/>
    <col min="3929" max="3929" width="17.7109375" bestFit="1" customWidth="1"/>
    <col min="3930" max="3930" width="15.5703125" bestFit="1" customWidth="1"/>
    <col min="3931" max="3931" width="12.5703125" bestFit="1" customWidth="1"/>
    <col min="3932" max="3932" width="17.7109375" bestFit="1" customWidth="1"/>
    <col min="3933" max="3933" width="15.5703125" bestFit="1" customWidth="1"/>
    <col min="3934" max="3934" width="12.5703125" bestFit="1" customWidth="1"/>
    <col min="3935" max="3935" width="17.7109375" bestFit="1" customWidth="1"/>
    <col min="3936" max="3936" width="15.5703125" bestFit="1" customWidth="1"/>
    <col min="3937" max="3937" width="12.5703125" bestFit="1" customWidth="1"/>
    <col min="3938" max="3938" width="17.7109375" bestFit="1" customWidth="1"/>
    <col min="3939" max="3939" width="15.5703125" bestFit="1" customWidth="1"/>
    <col min="3940" max="3940" width="12.5703125" bestFit="1" customWidth="1"/>
    <col min="3941" max="3941" width="17.7109375" bestFit="1" customWidth="1"/>
    <col min="3942" max="3942" width="15.5703125" bestFit="1" customWidth="1"/>
    <col min="3943" max="3943" width="13.28515625" bestFit="1" customWidth="1"/>
    <col min="3944" max="3944" width="17.7109375" bestFit="1" customWidth="1"/>
    <col min="3945" max="3945" width="15.5703125" bestFit="1" customWidth="1"/>
    <col min="3946" max="3946" width="13.28515625" bestFit="1" customWidth="1"/>
    <col min="3947" max="3947" width="17.7109375" bestFit="1" customWidth="1"/>
    <col min="3948" max="3948" width="15.5703125" bestFit="1" customWidth="1"/>
    <col min="3949" max="3949" width="12.5703125" bestFit="1" customWidth="1"/>
    <col min="3950" max="3950" width="17.7109375" bestFit="1" customWidth="1"/>
    <col min="3951" max="3951" width="15.5703125" bestFit="1" customWidth="1"/>
    <col min="3952" max="3952" width="12.5703125" bestFit="1" customWidth="1"/>
    <col min="3953" max="3953" width="17.7109375" bestFit="1" customWidth="1"/>
    <col min="3954" max="3954" width="15.5703125" bestFit="1" customWidth="1"/>
    <col min="3955" max="3955" width="12.5703125" bestFit="1" customWidth="1"/>
    <col min="3956" max="3956" width="17.7109375" bestFit="1" customWidth="1"/>
    <col min="3957" max="3957" width="15.5703125" bestFit="1" customWidth="1"/>
    <col min="3958" max="3958" width="12.5703125" bestFit="1" customWidth="1"/>
    <col min="3959" max="3959" width="17.7109375" bestFit="1" customWidth="1"/>
    <col min="3960" max="3960" width="15.5703125" bestFit="1" customWidth="1"/>
    <col min="3961" max="3961" width="12.5703125" bestFit="1" customWidth="1"/>
    <col min="3962" max="3962" width="17.7109375" bestFit="1" customWidth="1"/>
    <col min="3963" max="3963" width="15.5703125" bestFit="1" customWidth="1"/>
    <col min="3964" max="3964" width="12.5703125" bestFit="1" customWidth="1"/>
    <col min="3965" max="3965" width="17.7109375" bestFit="1" customWidth="1"/>
    <col min="3966" max="3966" width="15.5703125" bestFit="1" customWidth="1"/>
    <col min="3967" max="3967" width="13.28515625" bestFit="1" customWidth="1"/>
    <col min="3968" max="3968" width="17.7109375" bestFit="1" customWidth="1"/>
    <col min="3969" max="3969" width="15.5703125" bestFit="1" customWidth="1"/>
    <col min="3970" max="3970" width="12.5703125" bestFit="1" customWidth="1"/>
    <col min="3971" max="3971" width="17.7109375" bestFit="1" customWidth="1"/>
    <col min="3972" max="3972" width="15.5703125" bestFit="1" customWidth="1"/>
    <col min="3973" max="3973" width="12.5703125" bestFit="1" customWidth="1"/>
    <col min="3974" max="3974" width="17.7109375" bestFit="1" customWidth="1"/>
    <col min="3975" max="3975" width="15.5703125" bestFit="1" customWidth="1"/>
    <col min="3976" max="3976" width="12.5703125" bestFit="1" customWidth="1"/>
    <col min="3977" max="3977" width="17.7109375" bestFit="1" customWidth="1"/>
    <col min="3978" max="3978" width="15.5703125" bestFit="1" customWidth="1"/>
    <col min="3979" max="3979" width="12.5703125" bestFit="1" customWidth="1"/>
    <col min="3980" max="3980" width="17.7109375" bestFit="1" customWidth="1"/>
    <col min="3981" max="3981" width="15.5703125" bestFit="1" customWidth="1"/>
    <col min="3982" max="3982" width="12.5703125" bestFit="1" customWidth="1"/>
    <col min="3983" max="3983" width="17.7109375" bestFit="1" customWidth="1"/>
    <col min="3984" max="3984" width="15.5703125" bestFit="1" customWidth="1"/>
    <col min="3985" max="3985" width="13.28515625" bestFit="1" customWidth="1"/>
    <col min="3986" max="3986" width="17.7109375" bestFit="1" customWidth="1"/>
    <col min="3987" max="3987" width="15.5703125" bestFit="1" customWidth="1"/>
    <col min="3988" max="3988" width="12.5703125" bestFit="1" customWidth="1"/>
    <col min="3989" max="3989" width="17.7109375" bestFit="1" customWidth="1"/>
    <col min="3990" max="3990" width="15.5703125" bestFit="1" customWidth="1"/>
    <col min="3991" max="3991" width="13.28515625" bestFit="1" customWidth="1"/>
    <col min="3992" max="3992" width="17.7109375" bestFit="1" customWidth="1"/>
    <col min="3993" max="3993" width="15.5703125" bestFit="1" customWidth="1"/>
    <col min="3994" max="3994" width="13.28515625" bestFit="1" customWidth="1"/>
    <col min="3995" max="3995" width="17.7109375" bestFit="1" customWidth="1"/>
    <col min="3996" max="3996" width="15.5703125" bestFit="1" customWidth="1"/>
    <col min="3997" max="3997" width="13.28515625" bestFit="1" customWidth="1"/>
    <col min="3998" max="3998" width="17.7109375" bestFit="1" customWidth="1"/>
    <col min="3999" max="3999" width="15.5703125" bestFit="1" customWidth="1"/>
    <col min="4000" max="4000" width="12.5703125" bestFit="1" customWidth="1"/>
    <col min="4001" max="4001" width="17.7109375" bestFit="1" customWidth="1"/>
    <col min="4002" max="4002" width="15.5703125" bestFit="1" customWidth="1"/>
    <col min="4003" max="4003" width="13.28515625" bestFit="1" customWidth="1"/>
    <col min="4004" max="4004" width="17.7109375" bestFit="1" customWidth="1"/>
    <col min="4005" max="4005" width="15.5703125" bestFit="1" customWidth="1"/>
    <col min="4006" max="4006" width="13.28515625" bestFit="1" customWidth="1"/>
    <col min="4007" max="4007" width="17.7109375" bestFit="1" customWidth="1"/>
    <col min="4008" max="4008" width="15.5703125" bestFit="1" customWidth="1"/>
    <col min="4009" max="4009" width="12.5703125" bestFit="1" customWidth="1"/>
    <col min="4010" max="4010" width="17.7109375" bestFit="1" customWidth="1"/>
    <col min="4011" max="4011" width="15.5703125" bestFit="1" customWidth="1"/>
    <col min="4012" max="4012" width="12.5703125" bestFit="1" customWidth="1"/>
    <col min="4013" max="4013" width="17.7109375" bestFit="1" customWidth="1"/>
    <col min="4014" max="4014" width="15.5703125" bestFit="1" customWidth="1"/>
    <col min="4015" max="4015" width="12.5703125" bestFit="1" customWidth="1"/>
    <col min="4016" max="4016" width="17.7109375" bestFit="1" customWidth="1"/>
    <col min="4017" max="4017" width="15.5703125" bestFit="1" customWidth="1"/>
    <col min="4018" max="4018" width="12.5703125" bestFit="1" customWidth="1"/>
    <col min="4019" max="4019" width="17.7109375" bestFit="1" customWidth="1"/>
    <col min="4020" max="4020" width="15.5703125" bestFit="1" customWidth="1"/>
    <col min="4021" max="4021" width="12.5703125" bestFit="1" customWidth="1"/>
    <col min="4022" max="4022" width="17.7109375" bestFit="1" customWidth="1"/>
    <col min="4023" max="4023" width="15.5703125" bestFit="1" customWidth="1"/>
    <col min="4024" max="4024" width="12.5703125" bestFit="1" customWidth="1"/>
    <col min="4025" max="4025" width="17.7109375" bestFit="1" customWidth="1"/>
    <col min="4026" max="4026" width="15.5703125" bestFit="1" customWidth="1"/>
    <col min="4027" max="4027" width="13.28515625" bestFit="1" customWidth="1"/>
    <col min="4028" max="4028" width="17.7109375" bestFit="1" customWidth="1"/>
    <col min="4029" max="4029" width="15.5703125" bestFit="1" customWidth="1"/>
    <col min="4030" max="4030" width="12.5703125" bestFit="1" customWidth="1"/>
    <col min="4031" max="4031" width="17.7109375" bestFit="1" customWidth="1"/>
    <col min="4032" max="4032" width="15.5703125" bestFit="1" customWidth="1"/>
    <col min="4033" max="4033" width="13.28515625" bestFit="1" customWidth="1"/>
    <col min="4034" max="4034" width="17.7109375" bestFit="1" customWidth="1"/>
    <col min="4035" max="4035" width="15.5703125" bestFit="1" customWidth="1"/>
    <col min="4036" max="4036" width="12.5703125" bestFit="1" customWidth="1"/>
    <col min="4037" max="4037" width="17.7109375" bestFit="1" customWidth="1"/>
    <col min="4038" max="4038" width="15.5703125" bestFit="1" customWidth="1"/>
    <col min="4039" max="4039" width="13.28515625" bestFit="1" customWidth="1"/>
    <col min="4040" max="4040" width="17.7109375" bestFit="1" customWidth="1"/>
    <col min="4041" max="4041" width="15.5703125" bestFit="1" customWidth="1"/>
    <col min="4042" max="4042" width="12.5703125" bestFit="1" customWidth="1"/>
    <col min="4043" max="4043" width="17.7109375" bestFit="1" customWidth="1"/>
    <col min="4044" max="4044" width="15.5703125" bestFit="1" customWidth="1"/>
    <col min="4045" max="4045" width="12.5703125" bestFit="1" customWidth="1"/>
    <col min="4046" max="4046" width="17.7109375" bestFit="1" customWidth="1"/>
    <col min="4047" max="4047" width="15.5703125" bestFit="1" customWidth="1"/>
    <col min="4048" max="4048" width="12.5703125" bestFit="1" customWidth="1"/>
    <col min="4049" max="4049" width="17.7109375" bestFit="1" customWidth="1"/>
    <col min="4050" max="4050" width="15.5703125" bestFit="1" customWidth="1"/>
    <col min="4051" max="4051" width="13.28515625" bestFit="1" customWidth="1"/>
    <col min="4052" max="4052" width="17.7109375" bestFit="1" customWidth="1"/>
    <col min="4053" max="4053" width="15.5703125" bestFit="1" customWidth="1"/>
    <col min="4054" max="4054" width="13.28515625" bestFit="1" customWidth="1"/>
    <col min="4055" max="4055" width="17.7109375" bestFit="1" customWidth="1"/>
    <col min="4056" max="4056" width="15.5703125" bestFit="1" customWidth="1"/>
    <col min="4057" max="4057" width="12.5703125" bestFit="1" customWidth="1"/>
    <col min="4058" max="4058" width="17.7109375" bestFit="1" customWidth="1"/>
    <col min="4059" max="4059" width="15.5703125" bestFit="1" customWidth="1"/>
    <col min="4060" max="4060" width="13.28515625" bestFit="1" customWidth="1"/>
    <col min="4061" max="4061" width="17.7109375" bestFit="1" customWidth="1"/>
    <col min="4062" max="4062" width="15.5703125" bestFit="1" customWidth="1"/>
    <col min="4063" max="4063" width="12.5703125" bestFit="1" customWidth="1"/>
    <col min="4064" max="4064" width="17.7109375" bestFit="1" customWidth="1"/>
    <col min="4065" max="4065" width="15.5703125" bestFit="1" customWidth="1"/>
    <col min="4066" max="4066" width="12.5703125" bestFit="1" customWidth="1"/>
    <col min="4067" max="4067" width="17.7109375" bestFit="1" customWidth="1"/>
    <col min="4068" max="4068" width="15.5703125" bestFit="1" customWidth="1"/>
    <col min="4069" max="4069" width="12.5703125" bestFit="1" customWidth="1"/>
    <col min="4070" max="4070" width="17.7109375" bestFit="1" customWidth="1"/>
    <col min="4071" max="4071" width="15.5703125" bestFit="1" customWidth="1"/>
    <col min="4072" max="4072" width="13.28515625" bestFit="1" customWidth="1"/>
    <col min="4073" max="4073" width="17.7109375" bestFit="1" customWidth="1"/>
    <col min="4074" max="4074" width="15.5703125" bestFit="1" customWidth="1"/>
    <col min="4075" max="4075" width="12.5703125" bestFit="1" customWidth="1"/>
    <col min="4076" max="4076" width="17.7109375" bestFit="1" customWidth="1"/>
    <col min="4077" max="4077" width="15.5703125" bestFit="1" customWidth="1"/>
    <col min="4078" max="4078" width="13.28515625" bestFit="1" customWidth="1"/>
    <col min="4079" max="4079" width="17.7109375" bestFit="1" customWidth="1"/>
    <col min="4080" max="4080" width="15.5703125" bestFit="1" customWidth="1"/>
    <col min="4081" max="4081" width="13.28515625" bestFit="1" customWidth="1"/>
    <col min="4082" max="4082" width="17.7109375" bestFit="1" customWidth="1"/>
    <col min="4083" max="4083" width="15.5703125" bestFit="1" customWidth="1"/>
    <col min="4084" max="4084" width="12.5703125" bestFit="1" customWidth="1"/>
    <col min="4085" max="4085" width="17.7109375" bestFit="1" customWidth="1"/>
    <col min="4086" max="4086" width="15.5703125" bestFit="1" customWidth="1"/>
    <col min="4087" max="4087" width="13.28515625" bestFit="1" customWidth="1"/>
    <col min="4088" max="4088" width="17.7109375" bestFit="1" customWidth="1"/>
    <col min="4089" max="4089" width="15.5703125" bestFit="1" customWidth="1"/>
    <col min="4090" max="4090" width="12.5703125" bestFit="1" customWidth="1"/>
    <col min="4091" max="4091" width="17.7109375" bestFit="1" customWidth="1"/>
    <col min="4092" max="4092" width="15.5703125" bestFit="1" customWidth="1"/>
    <col min="4093" max="4093" width="12.5703125" bestFit="1" customWidth="1"/>
    <col min="4094" max="4094" width="17.7109375" bestFit="1" customWidth="1"/>
    <col min="4095" max="4095" width="15.5703125" bestFit="1" customWidth="1"/>
    <col min="4096" max="4096" width="13.28515625" bestFit="1" customWidth="1"/>
    <col min="4097" max="4097" width="17.7109375" bestFit="1" customWidth="1"/>
    <col min="4098" max="4098" width="15.5703125" bestFit="1" customWidth="1"/>
    <col min="4099" max="4099" width="12.5703125" bestFit="1" customWidth="1"/>
    <col min="4100" max="4100" width="17.7109375" bestFit="1" customWidth="1"/>
    <col min="4101" max="4101" width="15.5703125" bestFit="1" customWidth="1"/>
    <col min="4102" max="4102" width="12.5703125" bestFit="1" customWidth="1"/>
    <col min="4103" max="4103" width="17.7109375" bestFit="1" customWidth="1"/>
    <col min="4104" max="4104" width="15.5703125" bestFit="1" customWidth="1"/>
    <col min="4105" max="4105" width="12.5703125" bestFit="1" customWidth="1"/>
    <col min="4106" max="4106" width="17.7109375" bestFit="1" customWidth="1"/>
    <col min="4107" max="4107" width="15.5703125" bestFit="1" customWidth="1"/>
    <col min="4108" max="4108" width="13.28515625" bestFit="1" customWidth="1"/>
    <col min="4109" max="4109" width="17.7109375" bestFit="1" customWidth="1"/>
    <col min="4110" max="4110" width="15.5703125" bestFit="1" customWidth="1"/>
    <col min="4111" max="4111" width="13.28515625" bestFit="1" customWidth="1"/>
    <col min="4112" max="4112" width="17.7109375" bestFit="1" customWidth="1"/>
    <col min="4113" max="4113" width="15.5703125" bestFit="1" customWidth="1"/>
    <col min="4114" max="4114" width="13.28515625" bestFit="1" customWidth="1"/>
    <col min="4115" max="4115" width="17.7109375" bestFit="1" customWidth="1"/>
    <col min="4116" max="4116" width="15.5703125" bestFit="1" customWidth="1"/>
    <col min="4117" max="4117" width="12.5703125" bestFit="1" customWidth="1"/>
    <col min="4118" max="4118" width="17.7109375" bestFit="1" customWidth="1"/>
    <col min="4119" max="4119" width="15.5703125" bestFit="1" customWidth="1"/>
    <col min="4120" max="4120" width="12.5703125" bestFit="1" customWidth="1"/>
    <col min="4121" max="4121" width="17.7109375" bestFit="1" customWidth="1"/>
    <col min="4122" max="4122" width="15.5703125" bestFit="1" customWidth="1"/>
    <col min="4123" max="4123" width="13.28515625" bestFit="1" customWidth="1"/>
    <col min="4124" max="4124" width="17.7109375" bestFit="1" customWidth="1"/>
    <col min="4125" max="4125" width="15.5703125" bestFit="1" customWidth="1"/>
    <col min="4126" max="4126" width="12.5703125" bestFit="1" customWidth="1"/>
    <col min="4127" max="4127" width="17.7109375" bestFit="1" customWidth="1"/>
    <col min="4128" max="4128" width="15.5703125" bestFit="1" customWidth="1"/>
    <col min="4129" max="4129" width="12.5703125" bestFit="1" customWidth="1"/>
    <col min="4130" max="4130" width="17.7109375" bestFit="1" customWidth="1"/>
    <col min="4131" max="4131" width="15.5703125" bestFit="1" customWidth="1"/>
    <col min="4132" max="4132" width="13.28515625" bestFit="1" customWidth="1"/>
    <col min="4133" max="4133" width="17.7109375" bestFit="1" customWidth="1"/>
    <col min="4134" max="4134" width="15.5703125" bestFit="1" customWidth="1"/>
    <col min="4135" max="4135" width="13.28515625" bestFit="1" customWidth="1"/>
    <col min="4136" max="4136" width="17.7109375" bestFit="1" customWidth="1"/>
    <col min="4137" max="4137" width="15.5703125" bestFit="1" customWidth="1"/>
    <col min="4138" max="4138" width="13.28515625" bestFit="1" customWidth="1"/>
    <col min="4139" max="4139" width="17.7109375" bestFit="1" customWidth="1"/>
    <col min="4140" max="4140" width="15.5703125" bestFit="1" customWidth="1"/>
    <col min="4141" max="4141" width="12.5703125" bestFit="1" customWidth="1"/>
    <col min="4142" max="4142" width="17.7109375" bestFit="1" customWidth="1"/>
    <col min="4143" max="4143" width="15.5703125" bestFit="1" customWidth="1"/>
    <col min="4144" max="4144" width="13.28515625" bestFit="1" customWidth="1"/>
    <col min="4145" max="4145" width="17.7109375" bestFit="1" customWidth="1"/>
    <col min="4146" max="4146" width="15.5703125" bestFit="1" customWidth="1"/>
    <col min="4147" max="4147" width="12.5703125" bestFit="1" customWidth="1"/>
    <col min="4148" max="4148" width="17.7109375" bestFit="1" customWidth="1"/>
    <col min="4149" max="4149" width="15.5703125" bestFit="1" customWidth="1"/>
    <col min="4150" max="4150" width="12.5703125" bestFit="1" customWidth="1"/>
    <col min="4151" max="4151" width="17.7109375" bestFit="1" customWidth="1"/>
    <col min="4152" max="4152" width="15.5703125" bestFit="1" customWidth="1"/>
    <col min="4153" max="4153" width="12.5703125" bestFit="1" customWidth="1"/>
    <col min="4154" max="4154" width="17.7109375" bestFit="1" customWidth="1"/>
    <col min="4155" max="4155" width="15.5703125" bestFit="1" customWidth="1"/>
    <col min="4156" max="4156" width="13.28515625" bestFit="1" customWidth="1"/>
    <col min="4157" max="4157" width="17.7109375" bestFit="1" customWidth="1"/>
    <col min="4158" max="4158" width="15.5703125" bestFit="1" customWidth="1"/>
    <col min="4159" max="4159" width="12.5703125" bestFit="1" customWidth="1"/>
    <col min="4160" max="4160" width="17.7109375" bestFit="1" customWidth="1"/>
    <col min="4161" max="4161" width="15.5703125" bestFit="1" customWidth="1"/>
    <col min="4162" max="4162" width="13.28515625" bestFit="1" customWidth="1"/>
    <col min="4163" max="4163" width="17.7109375" bestFit="1" customWidth="1"/>
    <col min="4164" max="4164" width="15.5703125" bestFit="1" customWidth="1"/>
    <col min="4165" max="4165" width="13.28515625" bestFit="1" customWidth="1"/>
    <col min="4166" max="4166" width="17.7109375" bestFit="1" customWidth="1"/>
    <col min="4167" max="4167" width="15.5703125" bestFit="1" customWidth="1"/>
    <col min="4168" max="4168" width="13.28515625" bestFit="1" customWidth="1"/>
    <col min="4169" max="4169" width="17.7109375" bestFit="1" customWidth="1"/>
    <col min="4170" max="4170" width="15.5703125" bestFit="1" customWidth="1"/>
    <col min="4171" max="4171" width="13.28515625" bestFit="1" customWidth="1"/>
    <col min="4172" max="4172" width="17.7109375" bestFit="1" customWidth="1"/>
    <col min="4173" max="4173" width="15.5703125" bestFit="1" customWidth="1"/>
    <col min="4174" max="4174" width="12.5703125" bestFit="1" customWidth="1"/>
    <col min="4175" max="4175" width="17.7109375" bestFit="1" customWidth="1"/>
    <col min="4176" max="4176" width="15.5703125" bestFit="1" customWidth="1"/>
    <col min="4177" max="4177" width="12.5703125" bestFit="1" customWidth="1"/>
    <col min="4178" max="4178" width="17.7109375" bestFit="1" customWidth="1"/>
    <col min="4179" max="4179" width="15.5703125" bestFit="1" customWidth="1"/>
    <col min="4180" max="4180" width="13.28515625" bestFit="1" customWidth="1"/>
    <col min="4181" max="4181" width="17.7109375" bestFit="1" customWidth="1"/>
    <col min="4182" max="4182" width="15.5703125" bestFit="1" customWidth="1"/>
    <col min="4183" max="4183" width="13.28515625" bestFit="1" customWidth="1"/>
    <col min="4184" max="4184" width="17.7109375" bestFit="1" customWidth="1"/>
    <col min="4185" max="4185" width="15.5703125" bestFit="1" customWidth="1"/>
    <col min="4186" max="4186" width="12.5703125" bestFit="1" customWidth="1"/>
    <col min="4187" max="4187" width="17.7109375" bestFit="1" customWidth="1"/>
    <col min="4188" max="4188" width="15.5703125" bestFit="1" customWidth="1"/>
    <col min="4189" max="4189" width="13.28515625" bestFit="1" customWidth="1"/>
    <col min="4190" max="4190" width="17.7109375" bestFit="1" customWidth="1"/>
    <col min="4191" max="4191" width="15.5703125" bestFit="1" customWidth="1"/>
    <col min="4192" max="4192" width="12.5703125" bestFit="1" customWidth="1"/>
    <col min="4193" max="4193" width="17.7109375" bestFit="1" customWidth="1"/>
    <col min="4194" max="4194" width="15.5703125" bestFit="1" customWidth="1"/>
    <col min="4195" max="4195" width="13.28515625" bestFit="1" customWidth="1"/>
    <col min="4196" max="4196" width="17.7109375" bestFit="1" customWidth="1"/>
    <col min="4197" max="4197" width="15.5703125" bestFit="1" customWidth="1"/>
    <col min="4198" max="4198" width="13.28515625" bestFit="1" customWidth="1"/>
    <col min="4199" max="4199" width="17.7109375" bestFit="1" customWidth="1"/>
    <col min="4200" max="4200" width="15.5703125" bestFit="1" customWidth="1"/>
    <col min="4201" max="4201" width="12.5703125" bestFit="1" customWidth="1"/>
    <col min="4202" max="4202" width="17.7109375" bestFit="1" customWidth="1"/>
    <col min="4203" max="4203" width="15.5703125" bestFit="1" customWidth="1"/>
    <col min="4204" max="4204" width="13.28515625" bestFit="1" customWidth="1"/>
    <col min="4205" max="4205" width="17.7109375" bestFit="1" customWidth="1"/>
    <col min="4206" max="4206" width="15.5703125" bestFit="1" customWidth="1"/>
    <col min="4207" max="4207" width="12.5703125" bestFit="1" customWidth="1"/>
    <col min="4208" max="4208" width="17.7109375" bestFit="1" customWidth="1"/>
    <col min="4209" max="4209" width="15.5703125" bestFit="1" customWidth="1"/>
    <col min="4210" max="4210" width="12.5703125" bestFit="1" customWidth="1"/>
    <col min="4211" max="4211" width="17.7109375" bestFit="1" customWidth="1"/>
    <col min="4212" max="4212" width="15.5703125" bestFit="1" customWidth="1"/>
    <col min="4213" max="4213" width="13.28515625" bestFit="1" customWidth="1"/>
    <col min="4214" max="4214" width="17.7109375" bestFit="1" customWidth="1"/>
    <col min="4215" max="4215" width="15.5703125" bestFit="1" customWidth="1"/>
    <col min="4216" max="4216" width="12.5703125" bestFit="1" customWidth="1"/>
    <col min="4217" max="4217" width="17.7109375" bestFit="1" customWidth="1"/>
    <col min="4218" max="4218" width="15.5703125" bestFit="1" customWidth="1"/>
    <col min="4219" max="4219" width="12.5703125" bestFit="1" customWidth="1"/>
    <col min="4220" max="4220" width="17.7109375" bestFit="1" customWidth="1"/>
    <col min="4221" max="4221" width="15.5703125" bestFit="1" customWidth="1"/>
    <col min="4222" max="4222" width="12.5703125" bestFit="1" customWidth="1"/>
    <col min="4223" max="4223" width="17.7109375" bestFit="1" customWidth="1"/>
    <col min="4224" max="4224" width="15.5703125" bestFit="1" customWidth="1"/>
    <col min="4225" max="4225" width="12.5703125" bestFit="1" customWidth="1"/>
    <col min="4226" max="4226" width="17.7109375" bestFit="1" customWidth="1"/>
    <col min="4227" max="4227" width="15.5703125" bestFit="1" customWidth="1"/>
    <col min="4228" max="4228" width="12.5703125" bestFit="1" customWidth="1"/>
    <col min="4229" max="4229" width="17.7109375" bestFit="1" customWidth="1"/>
    <col min="4230" max="4230" width="15.5703125" bestFit="1" customWidth="1"/>
    <col min="4231" max="4231" width="12.5703125" bestFit="1" customWidth="1"/>
    <col min="4232" max="4232" width="17.7109375" bestFit="1" customWidth="1"/>
    <col min="4233" max="4233" width="15.5703125" bestFit="1" customWidth="1"/>
    <col min="4234" max="4234" width="13.28515625" bestFit="1" customWidth="1"/>
    <col min="4235" max="4235" width="17.7109375" bestFit="1" customWidth="1"/>
    <col min="4236" max="4236" width="15.5703125" bestFit="1" customWidth="1"/>
    <col min="4237" max="4237" width="12.5703125" bestFit="1" customWidth="1"/>
    <col min="4238" max="4238" width="17.7109375" bestFit="1" customWidth="1"/>
    <col min="4239" max="4239" width="15.5703125" bestFit="1" customWidth="1"/>
    <col min="4240" max="4240" width="13.28515625" bestFit="1" customWidth="1"/>
    <col min="4241" max="4241" width="17.7109375" bestFit="1" customWidth="1"/>
    <col min="4242" max="4242" width="15.5703125" bestFit="1" customWidth="1"/>
    <col min="4243" max="4243" width="12.5703125" bestFit="1" customWidth="1"/>
    <col min="4244" max="4244" width="17.7109375" bestFit="1" customWidth="1"/>
    <col min="4245" max="4245" width="15.5703125" bestFit="1" customWidth="1"/>
    <col min="4246" max="4246" width="12.5703125" bestFit="1" customWidth="1"/>
    <col min="4247" max="4247" width="17.7109375" bestFit="1" customWidth="1"/>
    <col min="4248" max="4248" width="15.5703125" bestFit="1" customWidth="1"/>
    <col min="4249" max="4249" width="12.5703125" bestFit="1" customWidth="1"/>
    <col min="4250" max="4250" width="17.7109375" bestFit="1" customWidth="1"/>
    <col min="4251" max="4251" width="15.5703125" bestFit="1" customWidth="1"/>
    <col min="4252" max="4252" width="13.28515625" bestFit="1" customWidth="1"/>
    <col min="4253" max="4253" width="17.7109375" bestFit="1" customWidth="1"/>
    <col min="4254" max="4254" width="15.5703125" bestFit="1" customWidth="1"/>
    <col min="4255" max="4255" width="12.5703125" bestFit="1" customWidth="1"/>
    <col min="4256" max="4256" width="17.7109375" bestFit="1" customWidth="1"/>
    <col min="4257" max="4257" width="15.5703125" bestFit="1" customWidth="1"/>
    <col min="4258" max="4258" width="12.5703125" bestFit="1" customWidth="1"/>
    <col min="4259" max="4259" width="17.7109375" bestFit="1" customWidth="1"/>
    <col min="4260" max="4260" width="15.5703125" bestFit="1" customWidth="1"/>
    <col min="4261" max="4261" width="13.28515625" bestFit="1" customWidth="1"/>
    <col min="4262" max="4262" width="17.7109375" bestFit="1" customWidth="1"/>
    <col min="4263" max="4263" width="15.5703125" bestFit="1" customWidth="1"/>
    <col min="4264" max="4264" width="13.28515625" bestFit="1" customWidth="1"/>
    <col min="4265" max="4265" width="17.7109375" bestFit="1" customWidth="1"/>
    <col min="4266" max="4266" width="15.5703125" bestFit="1" customWidth="1"/>
    <col min="4267" max="4267" width="12.5703125" bestFit="1" customWidth="1"/>
    <col min="4268" max="4268" width="17.7109375" bestFit="1" customWidth="1"/>
    <col min="4269" max="4269" width="15.5703125" bestFit="1" customWidth="1"/>
    <col min="4270" max="4270" width="12.5703125" bestFit="1" customWidth="1"/>
    <col min="4271" max="4271" width="17.7109375" bestFit="1" customWidth="1"/>
    <col min="4272" max="4272" width="15.5703125" bestFit="1" customWidth="1"/>
    <col min="4273" max="4273" width="12.5703125" bestFit="1" customWidth="1"/>
    <col min="4274" max="4274" width="17.7109375" bestFit="1" customWidth="1"/>
    <col min="4275" max="4275" width="15.5703125" bestFit="1" customWidth="1"/>
    <col min="4276" max="4276" width="13.28515625" bestFit="1" customWidth="1"/>
    <col min="4277" max="4277" width="17.7109375" bestFit="1" customWidth="1"/>
    <col min="4278" max="4278" width="15.5703125" bestFit="1" customWidth="1"/>
    <col min="4279" max="4279" width="12.5703125" bestFit="1" customWidth="1"/>
    <col min="4280" max="4280" width="17.7109375" bestFit="1" customWidth="1"/>
    <col min="4281" max="4281" width="15.5703125" bestFit="1" customWidth="1"/>
    <col min="4282" max="4282" width="13.28515625" bestFit="1" customWidth="1"/>
    <col min="4283" max="4283" width="17.7109375" bestFit="1" customWidth="1"/>
    <col min="4284" max="4284" width="15.5703125" bestFit="1" customWidth="1"/>
    <col min="4285" max="4285" width="13.28515625" bestFit="1" customWidth="1"/>
    <col min="4286" max="4286" width="17.7109375" bestFit="1" customWidth="1"/>
    <col min="4287" max="4287" width="15.5703125" bestFit="1" customWidth="1"/>
    <col min="4288" max="4288" width="12.5703125" bestFit="1" customWidth="1"/>
    <col min="4289" max="4289" width="17.7109375" bestFit="1" customWidth="1"/>
    <col min="4290" max="4290" width="15.5703125" bestFit="1" customWidth="1"/>
    <col min="4291" max="4291" width="12.5703125" bestFit="1" customWidth="1"/>
    <col min="4292" max="4292" width="17.7109375" bestFit="1" customWidth="1"/>
    <col min="4293" max="4293" width="15.5703125" bestFit="1" customWidth="1"/>
    <col min="4294" max="4294" width="12.5703125" bestFit="1" customWidth="1"/>
    <col min="4295" max="4295" width="17.7109375" bestFit="1" customWidth="1"/>
    <col min="4296" max="4296" width="15.5703125" bestFit="1" customWidth="1"/>
    <col min="4297" max="4297" width="12.5703125" bestFit="1" customWidth="1"/>
    <col min="4298" max="4298" width="17.7109375" bestFit="1" customWidth="1"/>
    <col min="4299" max="4299" width="15.5703125" bestFit="1" customWidth="1"/>
    <col min="4300" max="4300" width="12.5703125" bestFit="1" customWidth="1"/>
    <col min="4301" max="4301" width="17.7109375" bestFit="1" customWidth="1"/>
    <col min="4302" max="4302" width="15.5703125" bestFit="1" customWidth="1"/>
    <col min="4303" max="4303" width="12.5703125" bestFit="1" customWidth="1"/>
    <col min="4304" max="4304" width="17.7109375" bestFit="1" customWidth="1"/>
    <col min="4305" max="4305" width="15.5703125" bestFit="1" customWidth="1"/>
    <col min="4306" max="4306" width="12.5703125" bestFit="1" customWidth="1"/>
    <col min="4307" max="4307" width="17.7109375" bestFit="1" customWidth="1"/>
    <col min="4308" max="4308" width="15.5703125" bestFit="1" customWidth="1"/>
    <col min="4309" max="4309" width="13.28515625" bestFit="1" customWidth="1"/>
    <col min="4310" max="4310" width="17.7109375" bestFit="1" customWidth="1"/>
    <col min="4311" max="4311" width="15.5703125" bestFit="1" customWidth="1"/>
    <col min="4312" max="4312" width="12.5703125" bestFit="1" customWidth="1"/>
    <col min="4313" max="4313" width="17.7109375" bestFit="1" customWidth="1"/>
    <col min="4314" max="4314" width="15.5703125" bestFit="1" customWidth="1"/>
    <col min="4315" max="4315" width="12.5703125" bestFit="1" customWidth="1"/>
    <col min="4316" max="4316" width="17.7109375" bestFit="1" customWidth="1"/>
    <col min="4317" max="4317" width="15.5703125" bestFit="1" customWidth="1"/>
    <col min="4318" max="4318" width="13.28515625" bestFit="1" customWidth="1"/>
    <col min="4319" max="4319" width="17.7109375" bestFit="1" customWidth="1"/>
    <col min="4320" max="4320" width="15.5703125" bestFit="1" customWidth="1"/>
    <col min="4321" max="4321" width="13.28515625" bestFit="1" customWidth="1"/>
    <col min="4322" max="4322" width="17.7109375" bestFit="1" customWidth="1"/>
    <col min="4323" max="4323" width="15.5703125" bestFit="1" customWidth="1"/>
    <col min="4324" max="4324" width="12.5703125" bestFit="1" customWidth="1"/>
    <col min="4325" max="4325" width="17.7109375" bestFit="1" customWidth="1"/>
    <col min="4326" max="4326" width="15.5703125" bestFit="1" customWidth="1"/>
    <col min="4327" max="4327" width="12.5703125" bestFit="1" customWidth="1"/>
    <col min="4328" max="4328" width="17.7109375" bestFit="1" customWidth="1"/>
    <col min="4329" max="4329" width="15.5703125" bestFit="1" customWidth="1"/>
    <col min="4330" max="4330" width="12.5703125" bestFit="1" customWidth="1"/>
    <col min="4331" max="4331" width="17.7109375" bestFit="1" customWidth="1"/>
    <col min="4332" max="4332" width="15.5703125" bestFit="1" customWidth="1"/>
    <col min="4333" max="4333" width="13.28515625" bestFit="1" customWidth="1"/>
    <col min="4334" max="4334" width="17.7109375" bestFit="1" customWidth="1"/>
    <col min="4335" max="4335" width="15.5703125" bestFit="1" customWidth="1"/>
    <col min="4336" max="4336" width="13.28515625" bestFit="1" customWidth="1"/>
    <col min="4337" max="4337" width="17.7109375" bestFit="1" customWidth="1"/>
    <col min="4338" max="4338" width="15.5703125" bestFit="1" customWidth="1"/>
    <col min="4339" max="4339" width="12.5703125" bestFit="1" customWidth="1"/>
    <col min="4340" max="4340" width="17.7109375" bestFit="1" customWidth="1"/>
    <col min="4341" max="4341" width="15.5703125" bestFit="1" customWidth="1"/>
    <col min="4342" max="4342" width="12.5703125" bestFit="1" customWidth="1"/>
    <col min="4343" max="4343" width="17.7109375" bestFit="1" customWidth="1"/>
    <col min="4344" max="4344" width="15.5703125" bestFit="1" customWidth="1"/>
    <col min="4345" max="4345" width="12.5703125" bestFit="1" customWidth="1"/>
    <col min="4346" max="4346" width="17.7109375" bestFit="1" customWidth="1"/>
    <col min="4347" max="4347" width="15.5703125" bestFit="1" customWidth="1"/>
    <col min="4348" max="4348" width="12.5703125" bestFit="1" customWidth="1"/>
    <col min="4349" max="4349" width="17.7109375" bestFit="1" customWidth="1"/>
    <col min="4350" max="4350" width="15.5703125" bestFit="1" customWidth="1"/>
    <col min="4351" max="4351" width="12.5703125" bestFit="1" customWidth="1"/>
    <col min="4352" max="4352" width="17.7109375" bestFit="1" customWidth="1"/>
    <col min="4353" max="4353" width="15.5703125" bestFit="1" customWidth="1"/>
    <col min="4354" max="4354" width="13.28515625" bestFit="1" customWidth="1"/>
    <col min="4355" max="4355" width="17.7109375" bestFit="1" customWidth="1"/>
    <col min="4356" max="4356" width="15.5703125" bestFit="1" customWidth="1"/>
    <col min="4357" max="4357" width="12.5703125" bestFit="1" customWidth="1"/>
    <col min="4358" max="4358" width="17.7109375" bestFit="1" customWidth="1"/>
    <col min="4359" max="4359" width="15.5703125" bestFit="1" customWidth="1"/>
    <col min="4360" max="4360" width="13.28515625" bestFit="1" customWidth="1"/>
    <col min="4361" max="4361" width="17.7109375" bestFit="1" customWidth="1"/>
    <col min="4362" max="4362" width="15.5703125" bestFit="1" customWidth="1"/>
    <col min="4363" max="4363" width="12.5703125" bestFit="1" customWidth="1"/>
    <col min="4364" max="4364" width="17.7109375" bestFit="1" customWidth="1"/>
    <col min="4365" max="4365" width="15.5703125" bestFit="1" customWidth="1"/>
    <col min="4366" max="4366" width="13.28515625" bestFit="1" customWidth="1"/>
    <col min="4367" max="4367" width="17.7109375" bestFit="1" customWidth="1"/>
    <col min="4368" max="4368" width="15.5703125" bestFit="1" customWidth="1"/>
    <col min="4369" max="4369" width="13.28515625" bestFit="1" customWidth="1"/>
    <col min="4370" max="4370" width="17.7109375" bestFit="1" customWidth="1"/>
    <col min="4371" max="4371" width="15.5703125" bestFit="1" customWidth="1"/>
    <col min="4372" max="4372" width="13.28515625" bestFit="1" customWidth="1"/>
    <col min="4373" max="4373" width="17.7109375" bestFit="1" customWidth="1"/>
    <col min="4374" max="4374" width="15.5703125" bestFit="1" customWidth="1"/>
    <col min="4375" max="4375" width="12.5703125" bestFit="1" customWidth="1"/>
    <col min="4376" max="4376" width="17.7109375" bestFit="1" customWidth="1"/>
    <col min="4377" max="4377" width="15.5703125" bestFit="1" customWidth="1"/>
    <col min="4378" max="4378" width="12.5703125" bestFit="1" customWidth="1"/>
    <col min="4379" max="4379" width="17.7109375" bestFit="1" customWidth="1"/>
    <col min="4380" max="4380" width="15.5703125" bestFit="1" customWidth="1"/>
    <col min="4381" max="4381" width="12.5703125" bestFit="1" customWidth="1"/>
    <col min="4382" max="4382" width="17.7109375" bestFit="1" customWidth="1"/>
    <col min="4383" max="4383" width="15.5703125" bestFit="1" customWidth="1"/>
    <col min="4384" max="4384" width="12.5703125" bestFit="1" customWidth="1"/>
    <col min="4385" max="4385" width="17.7109375" bestFit="1" customWidth="1"/>
    <col min="4386" max="4386" width="15.5703125" bestFit="1" customWidth="1"/>
    <col min="4387" max="4387" width="12.5703125" bestFit="1" customWidth="1"/>
    <col min="4388" max="4388" width="17.7109375" bestFit="1" customWidth="1"/>
    <col min="4389" max="4389" width="15.5703125" bestFit="1" customWidth="1"/>
    <col min="4390" max="4390" width="12.5703125" bestFit="1" customWidth="1"/>
    <col min="4391" max="4391" width="17.7109375" bestFit="1" customWidth="1"/>
    <col min="4392" max="4392" width="15.5703125" bestFit="1" customWidth="1"/>
    <col min="4393" max="4393" width="12.5703125" bestFit="1" customWidth="1"/>
    <col min="4394" max="4394" width="17.7109375" bestFit="1" customWidth="1"/>
    <col min="4395" max="4395" width="15.5703125" bestFit="1" customWidth="1"/>
    <col min="4396" max="4396" width="13.28515625" bestFit="1" customWidth="1"/>
    <col min="4397" max="4397" width="17.7109375" bestFit="1" customWidth="1"/>
    <col min="4398" max="4398" width="15.5703125" bestFit="1" customWidth="1"/>
    <col min="4399" max="4399" width="12.5703125" bestFit="1" customWidth="1"/>
    <col min="4400" max="4400" width="17.7109375" bestFit="1" customWidth="1"/>
    <col min="4401" max="4401" width="15.5703125" bestFit="1" customWidth="1"/>
    <col min="4402" max="4402" width="12.5703125" bestFit="1" customWidth="1"/>
    <col min="4403" max="4403" width="17.7109375" bestFit="1" customWidth="1"/>
    <col min="4404" max="4404" width="15.5703125" bestFit="1" customWidth="1"/>
    <col min="4405" max="4405" width="13.28515625" bestFit="1" customWidth="1"/>
    <col min="4406" max="4406" width="17.7109375" bestFit="1" customWidth="1"/>
    <col min="4407" max="4407" width="15.5703125" bestFit="1" customWidth="1"/>
    <col min="4408" max="4408" width="13.28515625" bestFit="1" customWidth="1"/>
    <col min="4409" max="4409" width="17.7109375" bestFit="1" customWidth="1"/>
    <col min="4410" max="4410" width="15.5703125" bestFit="1" customWidth="1"/>
    <col min="4411" max="4411" width="12.5703125" bestFit="1" customWidth="1"/>
    <col min="4412" max="4412" width="17.7109375" bestFit="1" customWidth="1"/>
    <col min="4413" max="4413" width="15.5703125" bestFit="1" customWidth="1"/>
    <col min="4414" max="4414" width="12.5703125" bestFit="1" customWidth="1"/>
    <col min="4415" max="4415" width="17.7109375" bestFit="1" customWidth="1"/>
    <col min="4416" max="4416" width="15.5703125" bestFit="1" customWidth="1"/>
    <col min="4417" max="4417" width="12.5703125" bestFit="1" customWidth="1"/>
    <col min="4418" max="4418" width="17.7109375" bestFit="1" customWidth="1"/>
    <col min="4419" max="4419" width="15.5703125" bestFit="1" customWidth="1"/>
    <col min="4420" max="4420" width="13.28515625" bestFit="1" customWidth="1"/>
    <col min="4421" max="4421" width="17.7109375" bestFit="1" customWidth="1"/>
    <col min="4422" max="4422" width="15.5703125" bestFit="1" customWidth="1"/>
    <col min="4423" max="4423" width="13.28515625" bestFit="1" customWidth="1"/>
    <col min="4424" max="4424" width="17.7109375" bestFit="1" customWidth="1"/>
    <col min="4425" max="4425" width="15.5703125" bestFit="1" customWidth="1"/>
    <col min="4426" max="4426" width="12.5703125" bestFit="1" customWidth="1"/>
    <col min="4427" max="4427" width="17.7109375" bestFit="1" customWidth="1"/>
    <col min="4428" max="4428" width="15.5703125" bestFit="1" customWidth="1"/>
    <col min="4429" max="4429" width="12.5703125" bestFit="1" customWidth="1"/>
    <col min="4430" max="4430" width="17.7109375" bestFit="1" customWidth="1"/>
    <col min="4431" max="4431" width="15.5703125" bestFit="1" customWidth="1"/>
    <col min="4432" max="4432" width="12.5703125" bestFit="1" customWidth="1"/>
    <col min="4433" max="4433" width="17.7109375" bestFit="1" customWidth="1"/>
    <col min="4434" max="4434" width="15.5703125" bestFit="1" customWidth="1"/>
    <col min="4435" max="4435" width="13.28515625" bestFit="1" customWidth="1"/>
    <col min="4436" max="4436" width="17.7109375" bestFit="1" customWidth="1"/>
    <col min="4437" max="4437" width="15.5703125" bestFit="1" customWidth="1"/>
    <col min="4438" max="4438" width="13.28515625" bestFit="1" customWidth="1"/>
    <col min="4439" max="4439" width="17.7109375" bestFit="1" customWidth="1"/>
    <col min="4440" max="4440" width="15.5703125" bestFit="1" customWidth="1"/>
    <col min="4441" max="4441" width="12.5703125" bestFit="1" customWidth="1"/>
    <col min="4442" max="4442" width="17.7109375" bestFit="1" customWidth="1"/>
    <col min="4443" max="4443" width="15.5703125" bestFit="1" customWidth="1"/>
    <col min="4444" max="4444" width="13.28515625" bestFit="1" customWidth="1"/>
    <col min="4445" max="4445" width="17.7109375" bestFit="1" customWidth="1"/>
    <col min="4446" max="4446" width="15.5703125" bestFit="1" customWidth="1"/>
    <col min="4447" max="4447" width="12.5703125" bestFit="1" customWidth="1"/>
    <col min="4448" max="4448" width="17.7109375" bestFit="1" customWidth="1"/>
    <col min="4449" max="4449" width="15.5703125" bestFit="1" customWidth="1"/>
    <col min="4450" max="4450" width="13.28515625" bestFit="1" customWidth="1"/>
    <col min="4451" max="4451" width="17.7109375" bestFit="1" customWidth="1"/>
    <col min="4452" max="4452" width="15.5703125" bestFit="1" customWidth="1"/>
    <col min="4453" max="4453" width="12.5703125" bestFit="1" customWidth="1"/>
    <col min="4454" max="4454" width="17.7109375" bestFit="1" customWidth="1"/>
    <col min="4455" max="4455" width="15.5703125" bestFit="1" customWidth="1"/>
    <col min="4456" max="4456" width="12.5703125" bestFit="1" customWidth="1"/>
    <col min="4457" max="4457" width="17.7109375" bestFit="1" customWidth="1"/>
    <col min="4458" max="4458" width="15.5703125" bestFit="1" customWidth="1"/>
    <col min="4459" max="4459" width="12.5703125" bestFit="1" customWidth="1"/>
    <col min="4460" max="4460" width="17.7109375" bestFit="1" customWidth="1"/>
    <col min="4461" max="4461" width="15.5703125" bestFit="1" customWidth="1"/>
    <col min="4462" max="4462" width="13.28515625" bestFit="1" customWidth="1"/>
    <col min="4463" max="4463" width="17.7109375" bestFit="1" customWidth="1"/>
    <col min="4464" max="4464" width="15.5703125" bestFit="1" customWidth="1"/>
    <col min="4465" max="4465" width="12.5703125" bestFit="1" customWidth="1"/>
    <col min="4466" max="4466" width="17.7109375" bestFit="1" customWidth="1"/>
    <col min="4467" max="4467" width="15.5703125" bestFit="1" customWidth="1"/>
    <col min="4468" max="4468" width="12.5703125" bestFit="1" customWidth="1"/>
    <col min="4469" max="4469" width="17.7109375" bestFit="1" customWidth="1"/>
    <col min="4470" max="4470" width="15.5703125" bestFit="1" customWidth="1"/>
    <col min="4471" max="4471" width="12.5703125" bestFit="1" customWidth="1"/>
    <col min="4472" max="4472" width="17.7109375" bestFit="1" customWidth="1"/>
    <col min="4473" max="4473" width="15.5703125" bestFit="1" customWidth="1"/>
    <col min="4474" max="4474" width="12.5703125" bestFit="1" customWidth="1"/>
    <col min="4475" max="4475" width="17.7109375" bestFit="1" customWidth="1"/>
    <col min="4476" max="4476" width="15.5703125" bestFit="1" customWidth="1"/>
    <col min="4477" max="4477" width="13.28515625" bestFit="1" customWidth="1"/>
    <col min="4478" max="4478" width="17.7109375" bestFit="1" customWidth="1"/>
    <col min="4479" max="4479" width="15.5703125" bestFit="1" customWidth="1"/>
    <col min="4480" max="4480" width="13.28515625" bestFit="1" customWidth="1"/>
    <col min="4481" max="4481" width="17.7109375" bestFit="1" customWidth="1"/>
    <col min="4482" max="4482" width="15.5703125" bestFit="1" customWidth="1"/>
    <col min="4483" max="4483" width="12.5703125" bestFit="1" customWidth="1"/>
    <col min="4484" max="4484" width="17.7109375" bestFit="1" customWidth="1"/>
    <col min="4485" max="4485" width="15.5703125" bestFit="1" customWidth="1"/>
    <col min="4486" max="4486" width="13.28515625" bestFit="1" customWidth="1"/>
    <col min="4487" max="4487" width="17.7109375" bestFit="1" customWidth="1"/>
    <col min="4488" max="4488" width="15.5703125" bestFit="1" customWidth="1"/>
    <col min="4489" max="4489" width="13.28515625" bestFit="1" customWidth="1"/>
    <col min="4490" max="4490" width="17.7109375" bestFit="1" customWidth="1"/>
    <col min="4491" max="4491" width="15.5703125" bestFit="1" customWidth="1"/>
    <col min="4492" max="4492" width="12.5703125" bestFit="1" customWidth="1"/>
    <col min="4493" max="4493" width="17.7109375" bestFit="1" customWidth="1"/>
    <col min="4494" max="4494" width="15.5703125" bestFit="1" customWidth="1"/>
    <col min="4495" max="4495" width="12.5703125" bestFit="1" customWidth="1"/>
    <col min="4496" max="4496" width="17.7109375" bestFit="1" customWidth="1"/>
    <col min="4497" max="4497" width="15.5703125" bestFit="1" customWidth="1"/>
    <col min="4498" max="4498" width="13.28515625" bestFit="1" customWidth="1"/>
    <col min="4499" max="4499" width="17.7109375" bestFit="1" customWidth="1"/>
    <col min="4500" max="4500" width="15.5703125" bestFit="1" customWidth="1"/>
    <col min="4501" max="4501" width="12.5703125" bestFit="1" customWidth="1"/>
    <col min="4502" max="4502" width="17.7109375" bestFit="1" customWidth="1"/>
    <col min="4503" max="4503" width="15.5703125" bestFit="1" customWidth="1"/>
    <col min="4504" max="4504" width="12.5703125" bestFit="1" customWidth="1"/>
    <col min="4505" max="4505" width="17.7109375" bestFit="1" customWidth="1"/>
    <col min="4506" max="4506" width="15.5703125" bestFit="1" customWidth="1"/>
    <col min="4507" max="4507" width="13.28515625" bestFit="1" customWidth="1"/>
    <col min="4508" max="4508" width="17.7109375" bestFit="1" customWidth="1"/>
    <col min="4509" max="4509" width="15.5703125" bestFit="1" customWidth="1"/>
    <col min="4510" max="4510" width="13.28515625" bestFit="1" customWidth="1"/>
    <col min="4511" max="4511" width="17.7109375" bestFit="1" customWidth="1"/>
    <col min="4512" max="4512" width="15.5703125" bestFit="1" customWidth="1"/>
    <col min="4513" max="4513" width="12.5703125" bestFit="1" customWidth="1"/>
    <col min="4514" max="4514" width="17.7109375" bestFit="1" customWidth="1"/>
    <col min="4515" max="4515" width="15.5703125" bestFit="1" customWidth="1"/>
    <col min="4516" max="4516" width="12.5703125" bestFit="1" customWidth="1"/>
    <col min="4517" max="4517" width="17.7109375" bestFit="1" customWidth="1"/>
    <col min="4518" max="4518" width="15.5703125" bestFit="1" customWidth="1"/>
    <col min="4519" max="4519" width="13.28515625" bestFit="1" customWidth="1"/>
    <col min="4520" max="4520" width="17.7109375" bestFit="1" customWidth="1"/>
    <col min="4521" max="4521" width="15.5703125" bestFit="1" customWidth="1"/>
    <col min="4522" max="4522" width="13.28515625" bestFit="1" customWidth="1"/>
    <col min="4523" max="4523" width="17.7109375" bestFit="1" customWidth="1"/>
    <col min="4524" max="4524" width="15.5703125" bestFit="1" customWidth="1"/>
    <col min="4525" max="4525" width="12.5703125" bestFit="1" customWidth="1"/>
    <col min="4526" max="4526" width="17.7109375" bestFit="1" customWidth="1"/>
    <col min="4527" max="4527" width="15.5703125" bestFit="1" customWidth="1"/>
    <col min="4528" max="4528" width="12.5703125" bestFit="1" customWidth="1"/>
    <col min="4529" max="4529" width="17.7109375" bestFit="1" customWidth="1"/>
    <col min="4530" max="4530" width="15.5703125" bestFit="1" customWidth="1"/>
    <col min="4531" max="4531" width="12.5703125" bestFit="1" customWidth="1"/>
    <col min="4532" max="4532" width="17.7109375" bestFit="1" customWidth="1"/>
    <col min="4533" max="4533" width="15.5703125" bestFit="1" customWidth="1"/>
    <col min="4534" max="4534" width="12.5703125" bestFit="1" customWidth="1"/>
    <col min="4535" max="4535" width="17.7109375" bestFit="1" customWidth="1"/>
    <col min="4536" max="4536" width="15.5703125" bestFit="1" customWidth="1"/>
    <col min="4537" max="4537" width="13.28515625" bestFit="1" customWidth="1"/>
    <col min="4538" max="4538" width="17.7109375" bestFit="1" customWidth="1"/>
    <col min="4539" max="4539" width="15.5703125" bestFit="1" customWidth="1"/>
    <col min="4540" max="4540" width="12.5703125" bestFit="1" customWidth="1"/>
    <col min="4541" max="4541" width="17.7109375" bestFit="1" customWidth="1"/>
    <col min="4542" max="4542" width="15.5703125" bestFit="1" customWidth="1"/>
    <col min="4543" max="4543" width="13.28515625" bestFit="1" customWidth="1"/>
    <col min="4544" max="4544" width="17.7109375" bestFit="1" customWidth="1"/>
    <col min="4545" max="4545" width="15.5703125" bestFit="1" customWidth="1"/>
    <col min="4546" max="4546" width="13.28515625" bestFit="1" customWidth="1"/>
    <col min="4547" max="4547" width="17.7109375" bestFit="1" customWidth="1"/>
    <col min="4548" max="4548" width="15.5703125" bestFit="1" customWidth="1"/>
    <col min="4549" max="4549" width="13.28515625" bestFit="1" customWidth="1"/>
    <col min="4550" max="4550" width="17.7109375" bestFit="1" customWidth="1"/>
    <col min="4551" max="4551" width="15.5703125" bestFit="1" customWidth="1"/>
    <col min="4552" max="4552" width="12.5703125" bestFit="1" customWidth="1"/>
    <col min="4553" max="4553" width="17.7109375" bestFit="1" customWidth="1"/>
    <col min="4554" max="4554" width="15.5703125" bestFit="1" customWidth="1"/>
    <col min="4555" max="4555" width="12.5703125" bestFit="1" customWidth="1"/>
    <col min="4556" max="4556" width="17.7109375" bestFit="1" customWidth="1"/>
    <col min="4557" max="4557" width="15.5703125" bestFit="1" customWidth="1"/>
    <col min="4558" max="4558" width="13.28515625" bestFit="1" customWidth="1"/>
    <col min="4559" max="4559" width="17.7109375" bestFit="1" customWidth="1"/>
    <col min="4560" max="4560" width="15.5703125" bestFit="1" customWidth="1"/>
    <col min="4561" max="4561" width="13.28515625" bestFit="1" customWidth="1"/>
    <col min="4562" max="4562" width="17.7109375" bestFit="1" customWidth="1"/>
    <col min="4563" max="4563" width="15.5703125" bestFit="1" customWidth="1"/>
    <col min="4564" max="4564" width="12.5703125" bestFit="1" customWidth="1"/>
    <col min="4565" max="4565" width="17.7109375" bestFit="1" customWidth="1"/>
    <col min="4566" max="4566" width="15.5703125" bestFit="1" customWidth="1"/>
    <col min="4567" max="4567" width="12.5703125" bestFit="1" customWidth="1"/>
    <col min="4568" max="4568" width="17.7109375" bestFit="1" customWidth="1"/>
    <col min="4569" max="4569" width="15.5703125" bestFit="1" customWidth="1"/>
    <col min="4570" max="4570" width="12.5703125" bestFit="1" customWidth="1"/>
    <col min="4571" max="4571" width="17.7109375" bestFit="1" customWidth="1"/>
    <col min="4572" max="4572" width="15.5703125" bestFit="1" customWidth="1"/>
    <col min="4573" max="4573" width="13.28515625" bestFit="1" customWidth="1"/>
    <col min="4574" max="4574" width="17.7109375" bestFit="1" customWidth="1"/>
    <col min="4575" max="4575" width="15.5703125" bestFit="1" customWidth="1"/>
    <col min="4576" max="4576" width="13.28515625" bestFit="1" customWidth="1"/>
    <col min="4577" max="4577" width="17.7109375" bestFit="1" customWidth="1"/>
    <col min="4578" max="4578" width="15.5703125" bestFit="1" customWidth="1"/>
    <col min="4579" max="4579" width="13.28515625" bestFit="1" customWidth="1"/>
    <col min="4580" max="4580" width="17.7109375" bestFit="1" customWidth="1"/>
    <col min="4581" max="4581" width="15.5703125" bestFit="1" customWidth="1"/>
    <col min="4582" max="4582" width="13.28515625" bestFit="1" customWidth="1"/>
    <col min="4583" max="4583" width="17.7109375" bestFit="1" customWidth="1"/>
    <col min="4584" max="4584" width="15.5703125" bestFit="1" customWidth="1"/>
    <col min="4585" max="4585" width="12.5703125" bestFit="1" customWidth="1"/>
    <col min="4586" max="4586" width="17.7109375" bestFit="1" customWidth="1"/>
    <col min="4587" max="4587" width="15.5703125" bestFit="1" customWidth="1"/>
    <col min="4588" max="4588" width="13.28515625" bestFit="1" customWidth="1"/>
    <col min="4589" max="4589" width="17.7109375" bestFit="1" customWidth="1"/>
    <col min="4590" max="4590" width="15.5703125" bestFit="1" customWidth="1"/>
    <col min="4591" max="4591" width="12.5703125" bestFit="1" customWidth="1"/>
    <col min="4592" max="4592" width="17.7109375" bestFit="1" customWidth="1"/>
    <col min="4593" max="4593" width="15.5703125" bestFit="1" customWidth="1"/>
    <col min="4594" max="4594" width="12.5703125" bestFit="1" customWidth="1"/>
    <col min="4595" max="4595" width="17.7109375" bestFit="1" customWidth="1"/>
    <col min="4596" max="4596" width="15.5703125" bestFit="1" customWidth="1"/>
    <col min="4597" max="4597" width="12.5703125" bestFit="1" customWidth="1"/>
    <col min="4598" max="4598" width="17.7109375" bestFit="1" customWidth="1"/>
    <col min="4599" max="4599" width="15.5703125" bestFit="1" customWidth="1"/>
    <col min="4600" max="4600" width="12.5703125" bestFit="1" customWidth="1"/>
    <col min="4601" max="4601" width="17.7109375" bestFit="1" customWidth="1"/>
    <col min="4602" max="4602" width="15.5703125" bestFit="1" customWidth="1"/>
    <col min="4603" max="4603" width="13.28515625" bestFit="1" customWidth="1"/>
    <col min="4604" max="4604" width="17.7109375" bestFit="1" customWidth="1"/>
    <col min="4605" max="4605" width="15.5703125" bestFit="1" customWidth="1"/>
    <col min="4606" max="4606" width="12.5703125" bestFit="1" customWidth="1"/>
    <col min="4607" max="4607" width="17.7109375" bestFit="1" customWidth="1"/>
    <col min="4608" max="4608" width="15.5703125" bestFit="1" customWidth="1"/>
    <col min="4609" max="4609" width="13.28515625" bestFit="1" customWidth="1"/>
    <col min="4610" max="4610" width="17.7109375" bestFit="1" customWidth="1"/>
    <col min="4611" max="4611" width="15.5703125" bestFit="1" customWidth="1"/>
    <col min="4612" max="4612" width="12.5703125" bestFit="1" customWidth="1"/>
    <col min="4613" max="4613" width="17.7109375" bestFit="1" customWidth="1"/>
    <col min="4614" max="4614" width="15.5703125" bestFit="1" customWidth="1"/>
    <col min="4615" max="4615" width="13.28515625" bestFit="1" customWidth="1"/>
    <col min="4616" max="4616" width="17.7109375" bestFit="1" customWidth="1"/>
    <col min="4617" max="4617" width="15.5703125" bestFit="1" customWidth="1"/>
    <col min="4618" max="4618" width="12.5703125" bestFit="1" customWidth="1"/>
    <col min="4619" max="4619" width="17.7109375" bestFit="1" customWidth="1"/>
    <col min="4620" max="4620" width="15.5703125" bestFit="1" customWidth="1"/>
    <col min="4621" max="4621" width="12.5703125" bestFit="1" customWidth="1"/>
    <col min="4622" max="4622" width="17.7109375" bestFit="1" customWidth="1"/>
    <col min="4623" max="4623" width="15.5703125" bestFit="1" customWidth="1"/>
    <col min="4624" max="4624" width="12.5703125" bestFit="1" customWidth="1"/>
    <col min="4625" max="4625" width="17.7109375" bestFit="1" customWidth="1"/>
    <col min="4626" max="4626" width="15.5703125" bestFit="1" customWidth="1"/>
    <col min="4627" max="4627" width="12.5703125" bestFit="1" customWidth="1"/>
    <col min="4628" max="4628" width="17.7109375" bestFit="1" customWidth="1"/>
    <col min="4629" max="4629" width="15.5703125" bestFit="1" customWidth="1"/>
    <col min="4630" max="4630" width="13.28515625" bestFit="1" customWidth="1"/>
    <col min="4631" max="4631" width="17.7109375" bestFit="1" customWidth="1"/>
    <col min="4632" max="4632" width="15.5703125" bestFit="1" customWidth="1"/>
    <col min="4633" max="4633" width="12.5703125" bestFit="1" customWidth="1"/>
    <col min="4634" max="4634" width="17.7109375" bestFit="1" customWidth="1"/>
    <col min="4635" max="4635" width="15.5703125" bestFit="1" customWidth="1"/>
    <col min="4636" max="4636" width="12.5703125" bestFit="1" customWidth="1"/>
    <col min="4637" max="4637" width="17.7109375" bestFit="1" customWidth="1"/>
    <col min="4638" max="4638" width="15.5703125" bestFit="1" customWidth="1"/>
    <col min="4639" max="4639" width="12.5703125" bestFit="1" customWidth="1"/>
    <col min="4640" max="4640" width="17.7109375" bestFit="1" customWidth="1"/>
    <col min="4641" max="4641" width="15.5703125" bestFit="1" customWidth="1"/>
    <col min="4642" max="4642" width="12.5703125" bestFit="1" customWidth="1"/>
    <col min="4643" max="4643" width="17.7109375" bestFit="1" customWidth="1"/>
    <col min="4644" max="4644" width="15.5703125" bestFit="1" customWidth="1"/>
    <col min="4645" max="4645" width="12.5703125" bestFit="1" customWidth="1"/>
    <col min="4646" max="4646" width="17.7109375" bestFit="1" customWidth="1"/>
    <col min="4647" max="4647" width="15.5703125" bestFit="1" customWidth="1"/>
    <col min="4648" max="4648" width="12.5703125" bestFit="1" customWidth="1"/>
    <col min="4649" max="4649" width="17.7109375" bestFit="1" customWidth="1"/>
    <col min="4650" max="4650" width="15.5703125" bestFit="1" customWidth="1"/>
    <col min="4651" max="4651" width="13.28515625" bestFit="1" customWidth="1"/>
    <col min="4652" max="4652" width="17.7109375" bestFit="1" customWidth="1"/>
    <col min="4653" max="4653" width="15.5703125" bestFit="1" customWidth="1"/>
    <col min="4654" max="4654" width="13.28515625" bestFit="1" customWidth="1"/>
    <col min="4655" max="4655" width="17.7109375" bestFit="1" customWidth="1"/>
    <col min="4656" max="4656" width="15.5703125" bestFit="1" customWidth="1"/>
    <col min="4657" max="4657" width="12.5703125" bestFit="1" customWidth="1"/>
    <col min="4658" max="4658" width="17.7109375" bestFit="1" customWidth="1"/>
    <col min="4659" max="4659" width="15.5703125" bestFit="1" customWidth="1"/>
    <col min="4660" max="4660" width="13.28515625" bestFit="1" customWidth="1"/>
    <col min="4661" max="4661" width="17.7109375" bestFit="1" customWidth="1"/>
    <col min="4662" max="4662" width="15.5703125" bestFit="1" customWidth="1"/>
    <col min="4663" max="4663" width="12.5703125" bestFit="1" customWidth="1"/>
    <col min="4664" max="4664" width="17.7109375" bestFit="1" customWidth="1"/>
    <col min="4665" max="4665" width="15.5703125" bestFit="1" customWidth="1"/>
    <col min="4666" max="4666" width="13.28515625" bestFit="1" customWidth="1"/>
    <col min="4667" max="4667" width="17.7109375" bestFit="1" customWidth="1"/>
    <col min="4668" max="4668" width="15.5703125" bestFit="1" customWidth="1"/>
    <col min="4669" max="4669" width="13.28515625" bestFit="1" customWidth="1"/>
    <col min="4670" max="4670" width="17.7109375" bestFit="1" customWidth="1"/>
    <col min="4671" max="4671" width="15.5703125" bestFit="1" customWidth="1"/>
    <col min="4672" max="4672" width="12.5703125" bestFit="1" customWidth="1"/>
    <col min="4673" max="4673" width="17.7109375" bestFit="1" customWidth="1"/>
    <col min="4674" max="4674" width="15.5703125" bestFit="1" customWidth="1"/>
    <col min="4675" max="4675" width="12.5703125" bestFit="1" customWidth="1"/>
    <col min="4676" max="4676" width="17.7109375" bestFit="1" customWidth="1"/>
    <col min="4677" max="4677" width="15.5703125" bestFit="1" customWidth="1"/>
    <col min="4678" max="4678" width="13.28515625" bestFit="1" customWidth="1"/>
    <col min="4679" max="4679" width="17.7109375" bestFit="1" customWidth="1"/>
    <col min="4680" max="4680" width="15.5703125" bestFit="1" customWidth="1"/>
    <col min="4681" max="4681" width="12.5703125" bestFit="1" customWidth="1"/>
    <col min="4682" max="4682" width="17.7109375" bestFit="1" customWidth="1"/>
    <col min="4683" max="4683" width="15.5703125" bestFit="1" customWidth="1"/>
    <col min="4684" max="4684" width="12.5703125" bestFit="1" customWidth="1"/>
    <col min="4685" max="4685" width="17.7109375" bestFit="1" customWidth="1"/>
    <col min="4686" max="4686" width="15.5703125" bestFit="1" customWidth="1"/>
    <col min="4687" max="4687" width="13.28515625" bestFit="1" customWidth="1"/>
    <col min="4688" max="4688" width="17.7109375" bestFit="1" customWidth="1"/>
    <col min="4689" max="4689" width="15.5703125" bestFit="1" customWidth="1"/>
    <col min="4690" max="4690" width="12.5703125" bestFit="1" customWidth="1"/>
    <col min="4691" max="4691" width="17.7109375" bestFit="1" customWidth="1"/>
    <col min="4692" max="4692" width="15.5703125" bestFit="1" customWidth="1"/>
    <col min="4693" max="4693" width="13.28515625" bestFit="1" customWidth="1"/>
    <col min="4694" max="4694" width="17.7109375" bestFit="1" customWidth="1"/>
    <col min="4695" max="4695" width="15.5703125" bestFit="1" customWidth="1"/>
    <col min="4696" max="4696" width="13.28515625" bestFit="1" customWidth="1"/>
    <col min="4697" max="4697" width="17.7109375" bestFit="1" customWidth="1"/>
    <col min="4698" max="4698" width="15.5703125" bestFit="1" customWidth="1"/>
    <col min="4699" max="4699" width="12.5703125" bestFit="1" customWidth="1"/>
    <col min="4700" max="4700" width="17.7109375" bestFit="1" customWidth="1"/>
    <col min="4701" max="4701" width="15.5703125" bestFit="1" customWidth="1"/>
    <col min="4702" max="4702" width="13.28515625" bestFit="1" customWidth="1"/>
    <col min="4703" max="4703" width="17.7109375" bestFit="1" customWidth="1"/>
    <col min="4704" max="4704" width="15.5703125" bestFit="1" customWidth="1"/>
    <col min="4705" max="4705" width="12.5703125" bestFit="1" customWidth="1"/>
    <col min="4706" max="4706" width="17.7109375" bestFit="1" customWidth="1"/>
    <col min="4707" max="4707" width="15.5703125" bestFit="1" customWidth="1"/>
    <col min="4708" max="4708" width="12.5703125" bestFit="1" customWidth="1"/>
    <col min="4709" max="4709" width="17.7109375" bestFit="1" customWidth="1"/>
    <col min="4710" max="4710" width="15.5703125" bestFit="1" customWidth="1"/>
    <col min="4711" max="4711" width="13.28515625" bestFit="1" customWidth="1"/>
    <col min="4712" max="4712" width="17.7109375" bestFit="1" customWidth="1"/>
    <col min="4713" max="4713" width="15.5703125" bestFit="1" customWidth="1"/>
    <col min="4714" max="4714" width="13.28515625" bestFit="1" customWidth="1"/>
    <col min="4715" max="4715" width="17.7109375" bestFit="1" customWidth="1"/>
    <col min="4716" max="4716" width="15.5703125" bestFit="1" customWidth="1"/>
    <col min="4717" max="4717" width="12.5703125" bestFit="1" customWidth="1"/>
    <col min="4718" max="4718" width="17.7109375" bestFit="1" customWidth="1"/>
    <col min="4719" max="4719" width="15.5703125" bestFit="1" customWidth="1"/>
    <col min="4720" max="4720" width="12.5703125" bestFit="1" customWidth="1"/>
    <col min="4721" max="4721" width="17.7109375" bestFit="1" customWidth="1"/>
    <col min="4722" max="4722" width="15.5703125" bestFit="1" customWidth="1"/>
    <col min="4723" max="4723" width="13.28515625" bestFit="1" customWidth="1"/>
    <col min="4724" max="4724" width="17.7109375" bestFit="1" customWidth="1"/>
    <col min="4725" max="4725" width="15.5703125" bestFit="1" customWidth="1"/>
    <col min="4726" max="4726" width="13.28515625" bestFit="1" customWidth="1"/>
    <col min="4727" max="4727" width="17.7109375" bestFit="1" customWidth="1"/>
    <col min="4728" max="4728" width="15.5703125" bestFit="1" customWidth="1"/>
    <col min="4729" max="4729" width="12.5703125" bestFit="1" customWidth="1"/>
    <col min="4730" max="4730" width="17.7109375" bestFit="1" customWidth="1"/>
    <col min="4731" max="4731" width="15.5703125" bestFit="1" customWidth="1"/>
    <col min="4732" max="4732" width="13.28515625" bestFit="1" customWidth="1"/>
    <col min="4733" max="4733" width="17.7109375" bestFit="1" customWidth="1"/>
    <col min="4734" max="4734" width="15.5703125" bestFit="1" customWidth="1"/>
    <col min="4735" max="4735" width="13.28515625" bestFit="1" customWidth="1"/>
    <col min="4736" max="4736" width="17.7109375" bestFit="1" customWidth="1"/>
    <col min="4737" max="4737" width="15.5703125" bestFit="1" customWidth="1"/>
    <col min="4738" max="4738" width="12.5703125" bestFit="1" customWidth="1"/>
    <col min="4739" max="4739" width="17.7109375" bestFit="1" customWidth="1"/>
    <col min="4740" max="4740" width="15.5703125" bestFit="1" customWidth="1"/>
    <col min="4741" max="4741" width="13.28515625" bestFit="1" customWidth="1"/>
    <col min="4742" max="4742" width="17.7109375" bestFit="1" customWidth="1"/>
    <col min="4743" max="4743" width="15.5703125" bestFit="1" customWidth="1"/>
    <col min="4744" max="4744" width="12.5703125" bestFit="1" customWidth="1"/>
    <col min="4745" max="4745" width="17.7109375" bestFit="1" customWidth="1"/>
    <col min="4746" max="4746" width="15.5703125" bestFit="1" customWidth="1"/>
    <col min="4747" max="4747" width="13.28515625" bestFit="1" customWidth="1"/>
    <col min="4748" max="4748" width="17.7109375" bestFit="1" customWidth="1"/>
    <col min="4749" max="4749" width="15.5703125" bestFit="1" customWidth="1"/>
    <col min="4750" max="4750" width="13.28515625" bestFit="1" customWidth="1"/>
    <col min="4751" max="4751" width="17.7109375" bestFit="1" customWidth="1"/>
    <col min="4752" max="4752" width="15.5703125" bestFit="1" customWidth="1"/>
    <col min="4753" max="4753" width="12.5703125" bestFit="1" customWidth="1"/>
    <col min="4754" max="4754" width="17.7109375" bestFit="1" customWidth="1"/>
    <col min="4755" max="4755" width="15.5703125" bestFit="1" customWidth="1"/>
    <col min="4756" max="4756" width="13.28515625" bestFit="1" customWidth="1"/>
    <col min="4757" max="4757" width="17.7109375" bestFit="1" customWidth="1"/>
    <col min="4758" max="4758" width="15.5703125" bestFit="1" customWidth="1"/>
    <col min="4759" max="4759" width="13.28515625" bestFit="1" customWidth="1"/>
    <col min="4760" max="4760" width="17.7109375" bestFit="1" customWidth="1"/>
    <col min="4761" max="4761" width="15.5703125" bestFit="1" customWidth="1"/>
    <col min="4762" max="4762" width="13.28515625" bestFit="1" customWidth="1"/>
    <col min="4763" max="4763" width="17.7109375" bestFit="1" customWidth="1"/>
    <col min="4764" max="4764" width="15.5703125" bestFit="1" customWidth="1"/>
    <col min="4765" max="4765" width="12.5703125" bestFit="1" customWidth="1"/>
    <col min="4766" max="4766" width="17.7109375" bestFit="1" customWidth="1"/>
    <col min="4767" max="4767" width="15.5703125" bestFit="1" customWidth="1"/>
    <col min="4768" max="4768" width="12.5703125" bestFit="1" customWidth="1"/>
    <col min="4769" max="4769" width="17.7109375" bestFit="1" customWidth="1"/>
    <col min="4770" max="4770" width="15.5703125" bestFit="1" customWidth="1"/>
    <col min="4771" max="4771" width="13.28515625" bestFit="1" customWidth="1"/>
    <col min="4772" max="4772" width="17.7109375" bestFit="1" customWidth="1"/>
    <col min="4773" max="4773" width="15.5703125" bestFit="1" customWidth="1"/>
    <col min="4774" max="4774" width="12.5703125" bestFit="1" customWidth="1"/>
    <col min="4775" max="4775" width="17.7109375" bestFit="1" customWidth="1"/>
    <col min="4776" max="4776" width="15.5703125" bestFit="1" customWidth="1"/>
    <col min="4777" max="4777" width="12.5703125" bestFit="1" customWidth="1"/>
    <col min="4778" max="4778" width="17.7109375" bestFit="1" customWidth="1"/>
    <col min="4779" max="4779" width="15.5703125" bestFit="1" customWidth="1"/>
    <col min="4780" max="4780" width="12.5703125" bestFit="1" customWidth="1"/>
    <col min="4781" max="4781" width="17.7109375" bestFit="1" customWidth="1"/>
    <col min="4782" max="4782" width="15.5703125" bestFit="1" customWidth="1"/>
    <col min="4783" max="4783" width="13.28515625" bestFit="1" customWidth="1"/>
    <col min="4784" max="4784" width="17.7109375" bestFit="1" customWidth="1"/>
    <col min="4785" max="4785" width="15.5703125" bestFit="1" customWidth="1"/>
    <col min="4786" max="4786" width="12.5703125" bestFit="1" customWidth="1"/>
    <col min="4787" max="4787" width="17.7109375" bestFit="1" customWidth="1"/>
    <col min="4788" max="4788" width="15.5703125" bestFit="1" customWidth="1"/>
    <col min="4789" max="4789" width="12.5703125" bestFit="1" customWidth="1"/>
    <col min="4790" max="4790" width="17.7109375" bestFit="1" customWidth="1"/>
    <col min="4791" max="4791" width="15.5703125" bestFit="1" customWidth="1"/>
    <col min="4792" max="4792" width="12.5703125" bestFit="1" customWidth="1"/>
    <col min="4793" max="4793" width="17.7109375" bestFit="1" customWidth="1"/>
    <col min="4794" max="4794" width="15.5703125" bestFit="1" customWidth="1"/>
    <col min="4795" max="4795" width="12.5703125" bestFit="1" customWidth="1"/>
    <col min="4796" max="4796" width="17.7109375" bestFit="1" customWidth="1"/>
    <col min="4797" max="4797" width="15.5703125" bestFit="1" customWidth="1"/>
    <col min="4798" max="4798" width="13.28515625" bestFit="1" customWidth="1"/>
    <col min="4799" max="4799" width="17.7109375" bestFit="1" customWidth="1"/>
    <col min="4800" max="4800" width="15.5703125" bestFit="1" customWidth="1"/>
    <col min="4801" max="4801" width="12.5703125" bestFit="1" customWidth="1"/>
    <col min="4802" max="4802" width="17.7109375" bestFit="1" customWidth="1"/>
    <col min="4803" max="4803" width="15.5703125" bestFit="1" customWidth="1"/>
    <col min="4804" max="4804" width="12.5703125" bestFit="1" customWidth="1"/>
    <col min="4805" max="4805" width="17.7109375" bestFit="1" customWidth="1"/>
    <col min="4806" max="4806" width="15.5703125" bestFit="1" customWidth="1"/>
    <col min="4807" max="4807" width="12.5703125" bestFit="1" customWidth="1"/>
    <col min="4808" max="4808" width="17.7109375" bestFit="1" customWidth="1"/>
    <col min="4809" max="4809" width="15.5703125" bestFit="1" customWidth="1"/>
    <col min="4810" max="4810" width="13.28515625" bestFit="1" customWidth="1"/>
    <col min="4811" max="4811" width="17.7109375" bestFit="1" customWidth="1"/>
    <col min="4812" max="4812" width="15.5703125" bestFit="1" customWidth="1"/>
    <col min="4813" max="4813" width="13.28515625" bestFit="1" customWidth="1"/>
    <col min="4814" max="4814" width="17.7109375" bestFit="1" customWidth="1"/>
    <col min="4815" max="4815" width="15.5703125" bestFit="1" customWidth="1"/>
    <col min="4816" max="4816" width="12.5703125" bestFit="1" customWidth="1"/>
    <col min="4817" max="4817" width="17.7109375" bestFit="1" customWidth="1"/>
    <col min="4818" max="4818" width="15.5703125" bestFit="1" customWidth="1"/>
    <col min="4819" max="4819" width="13.28515625" bestFit="1" customWidth="1"/>
    <col min="4820" max="4820" width="17.7109375" bestFit="1" customWidth="1"/>
    <col min="4821" max="4821" width="15.5703125" bestFit="1" customWidth="1"/>
    <col min="4822" max="4822" width="12.5703125" bestFit="1" customWidth="1"/>
    <col min="4823" max="4823" width="17.7109375" bestFit="1" customWidth="1"/>
    <col min="4824" max="4824" width="15.5703125" bestFit="1" customWidth="1"/>
    <col min="4825" max="4825" width="12.5703125" bestFit="1" customWidth="1"/>
    <col min="4826" max="4826" width="17.7109375" bestFit="1" customWidth="1"/>
    <col min="4827" max="4827" width="15.5703125" bestFit="1" customWidth="1"/>
    <col min="4828" max="4828" width="12.5703125" bestFit="1" customWidth="1"/>
    <col min="4829" max="4829" width="17.7109375" bestFit="1" customWidth="1"/>
    <col min="4830" max="4830" width="15.5703125" bestFit="1" customWidth="1"/>
    <col min="4831" max="4831" width="12.5703125" bestFit="1" customWidth="1"/>
    <col min="4832" max="4832" width="17.7109375" bestFit="1" customWidth="1"/>
    <col min="4833" max="4833" width="15.5703125" bestFit="1" customWidth="1"/>
    <col min="4834" max="4834" width="12.5703125" bestFit="1" customWidth="1"/>
    <col min="4835" max="4835" width="17.7109375" bestFit="1" customWidth="1"/>
    <col min="4836" max="4836" width="15.5703125" bestFit="1" customWidth="1"/>
    <col min="4837" max="4837" width="12.5703125" bestFit="1" customWidth="1"/>
    <col min="4838" max="4838" width="17.7109375" bestFit="1" customWidth="1"/>
    <col min="4839" max="4839" width="15.5703125" bestFit="1" customWidth="1"/>
    <col min="4840" max="4840" width="12.5703125" bestFit="1" customWidth="1"/>
    <col min="4841" max="4841" width="17.7109375" bestFit="1" customWidth="1"/>
    <col min="4842" max="4842" width="15.5703125" bestFit="1" customWidth="1"/>
    <col min="4843" max="4843" width="13.28515625" bestFit="1" customWidth="1"/>
    <col min="4844" max="4844" width="17.7109375" bestFit="1" customWidth="1"/>
    <col min="4845" max="4845" width="15.5703125" bestFit="1" customWidth="1"/>
    <col min="4846" max="4846" width="12.5703125" bestFit="1" customWidth="1"/>
    <col min="4847" max="4847" width="17.7109375" bestFit="1" customWidth="1"/>
    <col min="4848" max="4848" width="15.5703125" bestFit="1" customWidth="1"/>
    <col min="4849" max="4849" width="13.28515625" bestFit="1" customWidth="1"/>
    <col min="4850" max="4850" width="17.7109375" bestFit="1" customWidth="1"/>
    <col min="4851" max="4851" width="15.5703125" bestFit="1" customWidth="1"/>
    <col min="4852" max="4852" width="12.5703125" bestFit="1" customWidth="1"/>
    <col min="4853" max="4853" width="17.7109375" bestFit="1" customWidth="1"/>
    <col min="4854" max="4854" width="15.5703125" bestFit="1" customWidth="1"/>
    <col min="4855" max="4855" width="12.5703125" bestFit="1" customWidth="1"/>
    <col min="4856" max="4856" width="17.7109375" bestFit="1" customWidth="1"/>
    <col min="4857" max="4857" width="15.5703125" bestFit="1" customWidth="1"/>
    <col min="4858" max="4858" width="12.5703125" bestFit="1" customWidth="1"/>
    <col min="4859" max="4859" width="17.7109375" bestFit="1" customWidth="1"/>
    <col min="4860" max="4860" width="15.5703125" bestFit="1" customWidth="1"/>
    <col min="4861" max="4861" width="12.5703125" bestFit="1" customWidth="1"/>
    <col min="4862" max="4862" width="17.7109375" bestFit="1" customWidth="1"/>
    <col min="4863" max="4863" width="15.5703125" bestFit="1" customWidth="1"/>
    <col min="4864" max="4864" width="12.5703125" bestFit="1" customWidth="1"/>
    <col min="4865" max="4865" width="17.7109375" bestFit="1" customWidth="1"/>
    <col min="4866" max="4866" width="15.5703125" bestFit="1" customWidth="1"/>
    <col min="4867" max="4867" width="13.28515625" bestFit="1" customWidth="1"/>
    <col min="4868" max="4868" width="17.7109375" bestFit="1" customWidth="1"/>
    <col min="4869" max="4869" width="15.5703125" bestFit="1" customWidth="1"/>
    <col min="4870" max="4870" width="13.28515625" bestFit="1" customWidth="1"/>
    <col min="4871" max="4871" width="17.7109375" bestFit="1" customWidth="1"/>
    <col min="4872" max="4872" width="15.5703125" bestFit="1" customWidth="1"/>
    <col min="4873" max="4873" width="12.5703125" bestFit="1" customWidth="1"/>
    <col min="4874" max="4874" width="17.7109375" bestFit="1" customWidth="1"/>
    <col min="4875" max="4875" width="15.5703125" bestFit="1" customWidth="1"/>
    <col min="4876" max="4876" width="12.5703125" bestFit="1" customWidth="1"/>
    <col min="4877" max="4877" width="17.7109375" bestFit="1" customWidth="1"/>
    <col min="4878" max="4878" width="15.5703125" bestFit="1" customWidth="1"/>
    <col min="4879" max="4879" width="13.28515625" bestFit="1" customWidth="1"/>
    <col min="4880" max="4880" width="17.7109375" bestFit="1" customWidth="1"/>
    <col min="4881" max="4881" width="15.5703125" bestFit="1" customWidth="1"/>
    <col min="4882" max="4882" width="13.28515625" bestFit="1" customWidth="1"/>
    <col min="4883" max="4883" width="17.7109375" bestFit="1" customWidth="1"/>
    <col min="4884" max="4884" width="15.5703125" bestFit="1" customWidth="1"/>
    <col min="4885" max="4885" width="12.5703125" bestFit="1" customWidth="1"/>
    <col min="4886" max="4886" width="17.7109375" bestFit="1" customWidth="1"/>
    <col min="4887" max="4887" width="15.5703125" bestFit="1" customWidth="1"/>
    <col min="4888" max="4888" width="12.5703125" bestFit="1" customWidth="1"/>
    <col min="4889" max="4889" width="17.7109375" bestFit="1" customWidth="1"/>
    <col min="4890" max="4890" width="15.5703125" bestFit="1" customWidth="1"/>
    <col min="4891" max="4891" width="12.5703125" bestFit="1" customWidth="1"/>
    <col min="4892" max="4892" width="17.7109375" bestFit="1" customWidth="1"/>
    <col min="4893" max="4893" width="15.5703125" bestFit="1" customWidth="1"/>
    <col min="4894" max="4894" width="13.28515625" bestFit="1" customWidth="1"/>
    <col min="4895" max="4895" width="17.7109375" bestFit="1" customWidth="1"/>
    <col min="4896" max="4896" width="15.5703125" bestFit="1" customWidth="1"/>
    <col min="4897" max="4897" width="13.28515625" bestFit="1" customWidth="1"/>
    <col min="4898" max="4898" width="17.7109375" bestFit="1" customWidth="1"/>
    <col min="4899" max="4899" width="15.5703125" bestFit="1" customWidth="1"/>
    <col min="4900" max="4900" width="13.28515625" bestFit="1" customWidth="1"/>
    <col min="4901" max="4901" width="17.7109375" bestFit="1" customWidth="1"/>
    <col min="4902" max="4902" width="15.5703125" bestFit="1" customWidth="1"/>
    <col min="4903" max="4903" width="13.28515625" bestFit="1" customWidth="1"/>
    <col min="4904" max="4904" width="17.7109375" bestFit="1" customWidth="1"/>
    <col min="4905" max="4905" width="15.5703125" bestFit="1" customWidth="1"/>
    <col min="4906" max="4906" width="12.5703125" bestFit="1" customWidth="1"/>
    <col min="4907" max="4907" width="17.7109375" bestFit="1" customWidth="1"/>
    <col min="4908" max="4908" width="15.5703125" bestFit="1" customWidth="1"/>
    <col min="4909" max="4909" width="13.28515625" bestFit="1" customWidth="1"/>
    <col min="4910" max="4910" width="17.7109375" bestFit="1" customWidth="1"/>
    <col min="4911" max="4911" width="15.5703125" bestFit="1" customWidth="1"/>
    <col min="4912" max="4912" width="13.28515625" bestFit="1" customWidth="1"/>
    <col min="4913" max="4913" width="17.7109375" bestFit="1" customWidth="1"/>
    <col min="4914" max="4914" width="15.5703125" bestFit="1" customWidth="1"/>
    <col min="4915" max="4915" width="13.28515625" bestFit="1" customWidth="1"/>
    <col min="4916" max="4916" width="17.7109375" bestFit="1" customWidth="1"/>
    <col min="4917" max="4917" width="15.5703125" bestFit="1" customWidth="1"/>
    <col min="4918" max="4918" width="13.28515625" bestFit="1" customWidth="1"/>
    <col min="4919" max="4919" width="17.7109375" bestFit="1" customWidth="1"/>
    <col min="4920" max="4920" width="15.5703125" bestFit="1" customWidth="1"/>
    <col min="4921" max="4921" width="13.28515625" bestFit="1" customWidth="1"/>
    <col min="4922" max="4922" width="17.7109375" bestFit="1" customWidth="1"/>
    <col min="4923" max="4923" width="15.5703125" bestFit="1" customWidth="1"/>
    <col min="4924" max="4924" width="13.28515625" bestFit="1" customWidth="1"/>
    <col min="4925" max="4925" width="17.7109375" bestFit="1" customWidth="1"/>
    <col min="4926" max="4926" width="15.5703125" bestFit="1" customWidth="1"/>
    <col min="4927" max="4927" width="12.5703125" bestFit="1" customWidth="1"/>
    <col min="4928" max="4928" width="17.7109375" bestFit="1" customWidth="1"/>
    <col min="4929" max="4929" width="15.5703125" bestFit="1" customWidth="1"/>
    <col min="4930" max="4930" width="13.28515625" bestFit="1" customWidth="1"/>
    <col min="4931" max="4931" width="17.7109375" bestFit="1" customWidth="1"/>
    <col min="4932" max="4932" width="15.5703125" bestFit="1" customWidth="1"/>
    <col min="4933" max="4933" width="12.5703125" bestFit="1" customWidth="1"/>
    <col min="4934" max="4934" width="17.7109375" bestFit="1" customWidth="1"/>
    <col min="4935" max="4935" width="15.5703125" bestFit="1" customWidth="1"/>
    <col min="4936" max="4936" width="12.5703125" bestFit="1" customWidth="1"/>
    <col min="4937" max="4937" width="17.7109375" bestFit="1" customWidth="1"/>
    <col min="4938" max="4938" width="15.5703125" bestFit="1" customWidth="1"/>
    <col min="4939" max="4939" width="12.5703125" bestFit="1" customWidth="1"/>
    <col min="4940" max="4940" width="17.7109375" bestFit="1" customWidth="1"/>
    <col min="4941" max="4941" width="15.5703125" bestFit="1" customWidth="1"/>
    <col min="4942" max="4942" width="13.28515625" bestFit="1" customWidth="1"/>
    <col min="4943" max="4943" width="17.7109375" bestFit="1" customWidth="1"/>
    <col min="4944" max="4944" width="15.5703125" bestFit="1" customWidth="1"/>
    <col min="4945" max="4945" width="13.28515625" bestFit="1" customWidth="1"/>
    <col min="4946" max="4946" width="17.7109375" bestFit="1" customWidth="1"/>
    <col min="4947" max="4947" width="15.5703125" bestFit="1" customWidth="1"/>
    <col min="4948" max="4948" width="12.5703125" bestFit="1" customWidth="1"/>
    <col min="4949" max="4949" width="17.7109375" bestFit="1" customWidth="1"/>
    <col min="4950" max="4950" width="15.5703125" bestFit="1" customWidth="1"/>
    <col min="4951" max="4951" width="13.28515625" bestFit="1" customWidth="1"/>
    <col min="4952" max="4952" width="17.7109375" bestFit="1" customWidth="1"/>
    <col min="4953" max="4953" width="15.5703125" bestFit="1" customWidth="1"/>
    <col min="4954" max="4954" width="12.5703125" bestFit="1" customWidth="1"/>
    <col min="4955" max="4955" width="17.7109375" bestFit="1" customWidth="1"/>
    <col min="4956" max="4956" width="15.5703125" bestFit="1" customWidth="1"/>
    <col min="4957" max="4957" width="12.5703125" bestFit="1" customWidth="1"/>
    <col min="4958" max="4958" width="17.7109375" bestFit="1" customWidth="1"/>
    <col min="4959" max="4959" width="15.5703125" bestFit="1" customWidth="1"/>
    <col min="4960" max="4960" width="12.5703125" bestFit="1" customWidth="1"/>
    <col min="4961" max="4961" width="17.7109375" bestFit="1" customWidth="1"/>
    <col min="4962" max="4962" width="15.5703125" bestFit="1" customWidth="1"/>
    <col min="4963" max="4963" width="13.28515625" bestFit="1" customWidth="1"/>
    <col min="4964" max="4964" width="17.7109375" bestFit="1" customWidth="1"/>
    <col min="4965" max="4965" width="15.5703125" bestFit="1" customWidth="1"/>
    <col min="4966" max="4966" width="13.28515625" bestFit="1" customWidth="1"/>
    <col min="4967" max="4967" width="17.7109375" bestFit="1" customWidth="1"/>
    <col min="4968" max="4968" width="15.5703125" bestFit="1" customWidth="1"/>
    <col min="4969" max="4969" width="13.28515625" bestFit="1" customWidth="1"/>
    <col min="4970" max="4970" width="17.7109375" bestFit="1" customWidth="1"/>
    <col min="4971" max="4971" width="15.5703125" bestFit="1" customWidth="1"/>
    <col min="4972" max="4972" width="12.5703125" bestFit="1" customWidth="1"/>
    <col min="4973" max="4973" width="17.7109375" bestFit="1" customWidth="1"/>
    <col min="4974" max="4974" width="15.5703125" bestFit="1" customWidth="1"/>
    <col min="4975" max="4975" width="13.28515625" bestFit="1" customWidth="1"/>
    <col min="4976" max="4976" width="17.7109375" bestFit="1" customWidth="1"/>
    <col min="4977" max="4977" width="15.5703125" bestFit="1" customWidth="1"/>
    <col min="4978" max="4978" width="12.5703125" bestFit="1" customWidth="1"/>
    <col min="4979" max="4979" width="17.7109375" bestFit="1" customWidth="1"/>
    <col min="4980" max="4980" width="15.5703125" bestFit="1" customWidth="1"/>
    <col min="4981" max="4981" width="12.5703125" bestFit="1" customWidth="1"/>
    <col min="4982" max="4982" width="17.7109375" bestFit="1" customWidth="1"/>
    <col min="4983" max="4983" width="15.5703125" bestFit="1" customWidth="1"/>
    <col min="4984" max="4984" width="12.5703125" bestFit="1" customWidth="1"/>
    <col min="4985" max="4985" width="17.7109375" bestFit="1" customWidth="1"/>
    <col min="4986" max="4986" width="15.5703125" bestFit="1" customWidth="1"/>
    <col min="4987" max="4987" width="13.28515625" bestFit="1" customWidth="1"/>
    <col min="4988" max="4988" width="17.7109375" bestFit="1" customWidth="1"/>
    <col min="4989" max="4989" width="15.5703125" bestFit="1" customWidth="1"/>
    <col min="4990" max="4990" width="13.28515625" bestFit="1" customWidth="1"/>
    <col min="4991" max="4991" width="17.7109375" bestFit="1" customWidth="1"/>
    <col min="4992" max="4992" width="15.5703125" bestFit="1" customWidth="1"/>
    <col min="4993" max="4993" width="12.5703125" bestFit="1" customWidth="1"/>
    <col min="4994" max="4994" width="17.7109375" bestFit="1" customWidth="1"/>
    <col min="4995" max="4995" width="15.5703125" bestFit="1" customWidth="1"/>
    <col min="4996" max="4996" width="12.5703125" bestFit="1" customWidth="1"/>
    <col min="4997" max="4997" width="17.7109375" bestFit="1" customWidth="1"/>
    <col min="4998" max="4998" width="15.5703125" bestFit="1" customWidth="1"/>
    <col min="4999" max="4999" width="13.28515625" bestFit="1" customWidth="1"/>
    <col min="5000" max="5000" width="17.7109375" bestFit="1" customWidth="1"/>
    <col min="5001" max="5001" width="15.5703125" bestFit="1" customWidth="1"/>
    <col min="5002" max="5002" width="12.5703125" bestFit="1" customWidth="1"/>
    <col min="5003" max="5003" width="17.7109375" bestFit="1" customWidth="1"/>
    <col min="5004" max="5004" width="15.5703125" bestFit="1" customWidth="1"/>
    <col min="5005" max="5005" width="13.28515625" bestFit="1" customWidth="1"/>
    <col min="5006" max="5006" width="17.7109375" bestFit="1" customWidth="1"/>
    <col min="5007" max="5007" width="15.5703125" bestFit="1" customWidth="1"/>
    <col min="5008" max="5008" width="12.5703125" bestFit="1" customWidth="1"/>
    <col min="5009" max="5009" width="17.7109375" bestFit="1" customWidth="1"/>
    <col min="5010" max="5010" width="15.5703125" bestFit="1" customWidth="1"/>
    <col min="5011" max="5011" width="12.5703125" bestFit="1" customWidth="1"/>
    <col min="5012" max="5012" width="17.7109375" bestFit="1" customWidth="1"/>
    <col min="5013" max="5013" width="15.5703125" bestFit="1" customWidth="1"/>
    <col min="5014" max="5014" width="12.5703125" bestFit="1" customWidth="1"/>
    <col min="5015" max="5015" width="17.7109375" bestFit="1" customWidth="1"/>
    <col min="5016" max="5016" width="15.5703125" bestFit="1" customWidth="1"/>
    <col min="5017" max="5017" width="13.28515625" bestFit="1" customWidth="1"/>
    <col min="5018" max="5018" width="17.7109375" bestFit="1" customWidth="1"/>
    <col min="5019" max="5019" width="15.5703125" bestFit="1" customWidth="1"/>
    <col min="5020" max="5020" width="12.5703125" bestFit="1" customWidth="1"/>
    <col min="5021" max="5021" width="17.7109375" bestFit="1" customWidth="1"/>
    <col min="5022" max="5022" width="15.5703125" bestFit="1" customWidth="1"/>
    <col min="5023" max="5023" width="13.28515625" bestFit="1" customWidth="1"/>
    <col min="5024" max="5024" width="17.7109375" bestFit="1" customWidth="1"/>
    <col min="5025" max="5025" width="15.5703125" bestFit="1" customWidth="1"/>
    <col min="5026" max="5026" width="13.28515625" bestFit="1" customWidth="1"/>
    <col min="5027" max="5027" width="17.7109375" bestFit="1" customWidth="1"/>
    <col min="5028" max="5028" width="15.5703125" bestFit="1" customWidth="1"/>
    <col min="5029" max="5029" width="12.5703125" bestFit="1" customWidth="1"/>
    <col min="5030" max="5030" width="17.7109375" bestFit="1" customWidth="1"/>
    <col min="5031" max="5031" width="15.5703125" bestFit="1" customWidth="1"/>
    <col min="5032" max="5032" width="12.5703125" bestFit="1" customWidth="1"/>
    <col min="5033" max="5033" width="17.7109375" bestFit="1" customWidth="1"/>
    <col min="5034" max="5034" width="15.5703125" bestFit="1" customWidth="1"/>
    <col min="5035" max="5035" width="12.5703125" bestFit="1" customWidth="1"/>
    <col min="5036" max="5036" width="17.7109375" bestFit="1" customWidth="1"/>
    <col min="5037" max="5037" width="15.5703125" bestFit="1" customWidth="1"/>
    <col min="5038" max="5038" width="12.5703125" bestFit="1" customWidth="1"/>
    <col min="5039" max="5039" width="17.7109375" bestFit="1" customWidth="1"/>
    <col min="5040" max="5040" width="15.5703125" bestFit="1" customWidth="1"/>
    <col min="5041" max="5041" width="13.28515625" bestFit="1" customWidth="1"/>
    <col min="5042" max="5042" width="17.7109375" bestFit="1" customWidth="1"/>
    <col min="5043" max="5043" width="15.5703125" bestFit="1" customWidth="1"/>
    <col min="5044" max="5044" width="13.28515625" bestFit="1" customWidth="1"/>
    <col min="5045" max="5045" width="17.7109375" bestFit="1" customWidth="1"/>
    <col min="5046" max="5046" width="15.5703125" bestFit="1" customWidth="1"/>
    <col min="5047" max="5047" width="12.5703125" bestFit="1" customWidth="1"/>
    <col min="5048" max="5048" width="17.7109375" bestFit="1" customWidth="1"/>
    <col min="5049" max="5049" width="15.5703125" bestFit="1" customWidth="1"/>
    <col min="5050" max="5050" width="13.28515625" bestFit="1" customWidth="1"/>
    <col min="5051" max="5051" width="17.7109375" bestFit="1" customWidth="1"/>
    <col min="5052" max="5052" width="15.5703125" bestFit="1" customWidth="1"/>
    <col min="5053" max="5053" width="13.28515625" bestFit="1" customWidth="1"/>
    <col min="5054" max="5054" width="17.7109375" bestFit="1" customWidth="1"/>
    <col min="5055" max="5055" width="15.5703125" bestFit="1" customWidth="1"/>
    <col min="5056" max="5056" width="13.28515625" bestFit="1" customWidth="1"/>
    <col min="5057" max="5057" width="17.7109375" bestFit="1" customWidth="1"/>
    <col min="5058" max="5058" width="15.5703125" bestFit="1" customWidth="1"/>
    <col min="5059" max="5059" width="12.5703125" bestFit="1" customWidth="1"/>
    <col min="5060" max="5060" width="17.7109375" bestFit="1" customWidth="1"/>
    <col min="5061" max="5061" width="15.5703125" bestFit="1" customWidth="1"/>
    <col min="5062" max="5062" width="12.5703125" bestFit="1" customWidth="1"/>
    <col min="5063" max="5063" width="17.7109375" bestFit="1" customWidth="1"/>
    <col min="5064" max="5064" width="15.5703125" bestFit="1" customWidth="1"/>
    <col min="5065" max="5065" width="12.5703125" bestFit="1" customWidth="1"/>
    <col min="5066" max="5066" width="17.7109375" bestFit="1" customWidth="1"/>
    <col min="5067" max="5067" width="15.5703125" bestFit="1" customWidth="1"/>
    <col min="5068" max="5068" width="13.28515625" bestFit="1" customWidth="1"/>
    <col min="5069" max="5069" width="17.7109375" bestFit="1" customWidth="1"/>
    <col min="5070" max="5070" width="15.5703125" bestFit="1" customWidth="1"/>
    <col min="5071" max="5071" width="12.5703125" bestFit="1" customWidth="1"/>
    <col min="5072" max="5072" width="17.7109375" bestFit="1" customWidth="1"/>
    <col min="5073" max="5073" width="15.5703125" bestFit="1" customWidth="1"/>
    <col min="5074" max="5074" width="12.5703125" bestFit="1" customWidth="1"/>
    <col min="5075" max="5075" width="17.7109375" bestFit="1" customWidth="1"/>
    <col min="5076" max="5076" width="15.5703125" bestFit="1" customWidth="1"/>
    <col min="5077" max="5077" width="13.28515625" bestFit="1" customWidth="1"/>
    <col min="5078" max="5078" width="17.7109375" bestFit="1" customWidth="1"/>
    <col min="5079" max="5079" width="15.5703125" bestFit="1" customWidth="1"/>
    <col min="5080" max="5080" width="12.5703125" bestFit="1" customWidth="1"/>
    <col min="5081" max="5081" width="17.7109375" bestFit="1" customWidth="1"/>
    <col min="5082" max="5082" width="15.5703125" bestFit="1" customWidth="1"/>
    <col min="5083" max="5083" width="13.28515625" bestFit="1" customWidth="1"/>
    <col min="5084" max="5084" width="17.7109375" bestFit="1" customWidth="1"/>
    <col min="5085" max="5085" width="15.5703125" bestFit="1" customWidth="1"/>
    <col min="5086" max="5086" width="12.5703125" bestFit="1" customWidth="1"/>
    <col min="5087" max="5087" width="17.7109375" bestFit="1" customWidth="1"/>
    <col min="5088" max="5088" width="15.5703125" bestFit="1" customWidth="1"/>
    <col min="5089" max="5089" width="12.5703125" bestFit="1" customWidth="1"/>
    <col min="5090" max="5090" width="17.7109375" bestFit="1" customWidth="1"/>
    <col min="5091" max="5091" width="15.5703125" bestFit="1" customWidth="1"/>
    <col min="5092" max="5092" width="12.5703125" bestFit="1" customWidth="1"/>
    <col min="5093" max="5093" width="17.7109375" bestFit="1" customWidth="1"/>
    <col min="5094" max="5094" width="15.5703125" bestFit="1" customWidth="1"/>
    <col min="5095" max="5095" width="12.5703125" bestFit="1" customWidth="1"/>
    <col min="5096" max="5096" width="17.7109375" bestFit="1" customWidth="1"/>
    <col min="5097" max="5097" width="15.5703125" bestFit="1" customWidth="1"/>
    <col min="5098" max="5098" width="13.28515625" bestFit="1" customWidth="1"/>
    <col min="5099" max="5099" width="17.7109375" bestFit="1" customWidth="1"/>
    <col min="5100" max="5100" width="15.5703125" bestFit="1" customWidth="1"/>
    <col min="5101" max="5101" width="13.28515625" bestFit="1" customWidth="1"/>
    <col min="5102" max="5102" width="17.7109375" bestFit="1" customWidth="1"/>
    <col min="5103" max="5103" width="15.5703125" bestFit="1" customWidth="1"/>
    <col min="5104" max="5104" width="13.28515625" bestFit="1" customWidth="1"/>
    <col min="5105" max="5105" width="17.7109375" bestFit="1" customWidth="1"/>
    <col min="5106" max="5106" width="15.5703125" bestFit="1" customWidth="1"/>
    <col min="5107" max="5107" width="12.5703125" bestFit="1" customWidth="1"/>
    <col min="5108" max="5108" width="17.7109375" bestFit="1" customWidth="1"/>
    <col min="5109" max="5109" width="15.5703125" bestFit="1" customWidth="1"/>
    <col min="5110" max="5110" width="12.5703125" bestFit="1" customWidth="1"/>
    <col min="5111" max="5111" width="17.7109375" bestFit="1" customWidth="1"/>
    <col min="5112" max="5112" width="15.5703125" bestFit="1" customWidth="1"/>
    <col min="5113" max="5113" width="13.28515625" bestFit="1" customWidth="1"/>
    <col min="5114" max="5114" width="17.7109375" bestFit="1" customWidth="1"/>
    <col min="5115" max="5115" width="15.5703125" bestFit="1" customWidth="1"/>
    <col min="5116" max="5116" width="12.5703125" bestFit="1" customWidth="1"/>
    <col min="5117" max="5117" width="17.7109375" bestFit="1" customWidth="1"/>
    <col min="5118" max="5118" width="15.5703125" bestFit="1" customWidth="1"/>
    <col min="5119" max="5119" width="12.5703125" bestFit="1" customWidth="1"/>
    <col min="5120" max="5120" width="17.7109375" bestFit="1" customWidth="1"/>
    <col min="5121" max="5121" width="15.5703125" bestFit="1" customWidth="1"/>
    <col min="5122" max="5122" width="13.28515625" bestFit="1" customWidth="1"/>
    <col min="5123" max="5123" width="17.7109375" bestFit="1" customWidth="1"/>
    <col min="5124" max="5124" width="15.5703125" bestFit="1" customWidth="1"/>
    <col min="5125" max="5125" width="12.5703125" bestFit="1" customWidth="1"/>
    <col min="5126" max="5126" width="17.7109375" bestFit="1" customWidth="1"/>
    <col min="5127" max="5127" width="15.5703125" bestFit="1" customWidth="1"/>
    <col min="5128" max="5128" width="13.28515625" bestFit="1" customWidth="1"/>
    <col min="5129" max="5129" width="17.7109375" bestFit="1" customWidth="1"/>
    <col min="5130" max="5130" width="15.5703125" bestFit="1" customWidth="1"/>
    <col min="5131" max="5131" width="13.28515625" bestFit="1" customWidth="1"/>
    <col min="5132" max="5132" width="17.7109375" bestFit="1" customWidth="1"/>
    <col min="5133" max="5133" width="15.5703125" bestFit="1" customWidth="1"/>
    <col min="5134" max="5134" width="12.5703125" bestFit="1" customWidth="1"/>
    <col min="5135" max="5135" width="17.7109375" bestFit="1" customWidth="1"/>
    <col min="5136" max="5136" width="15.5703125" bestFit="1" customWidth="1"/>
    <col min="5137" max="5137" width="12.5703125" bestFit="1" customWidth="1"/>
    <col min="5138" max="5138" width="17.7109375" bestFit="1" customWidth="1"/>
    <col min="5139" max="5139" width="15.5703125" bestFit="1" customWidth="1"/>
    <col min="5140" max="5140" width="12.5703125" bestFit="1" customWidth="1"/>
    <col min="5141" max="5141" width="17.7109375" bestFit="1" customWidth="1"/>
    <col min="5142" max="5142" width="15.5703125" bestFit="1" customWidth="1"/>
    <col min="5143" max="5143" width="12.5703125" bestFit="1" customWidth="1"/>
    <col min="5144" max="5144" width="17.7109375" bestFit="1" customWidth="1"/>
    <col min="5145" max="5145" width="15.5703125" bestFit="1" customWidth="1"/>
    <col min="5146" max="5146" width="13.28515625" bestFit="1" customWidth="1"/>
    <col min="5147" max="5147" width="17.7109375" bestFit="1" customWidth="1"/>
    <col min="5148" max="5148" width="15.5703125" bestFit="1" customWidth="1"/>
    <col min="5149" max="5149" width="13.28515625" bestFit="1" customWidth="1"/>
    <col min="5150" max="5150" width="17.7109375" bestFit="1" customWidth="1"/>
    <col min="5151" max="5151" width="15.5703125" bestFit="1" customWidth="1"/>
    <col min="5152" max="5152" width="12.5703125" bestFit="1" customWidth="1"/>
    <col min="5153" max="5153" width="17.7109375" bestFit="1" customWidth="1"/>
    <col min="5154" max="5154" width="15.5703125" bestFit="1" customWidth="1"/>
    <col min="5155" max="5155" width="12.5703125" bestFit="1" customWidth="1"/>
    <col min="5156" max="5156" width="17.7109375" bestFit="1" customWidth="1"/>
    <col min="5157" max="5157" width="15.5703125" bestFit="1" customWidth="1"/>
    <col min="5158" max="5158" width="13.28515625" bestFit="1" customWidth="1"/>
    <col min="5159" max="5159" width="17.7109375" bestFit="1" customWidth="1"/>
    <col min="5160" max="5160" width="15.5703125" bestFit="1" customWidth="1"/>
    <col min="5161" max="5161" width="12.5703125" bestFit="1" customWidth="1"/>
    <col min="5162" max="5162" width="17.7109375" bestFit="1" customWidth="1"/>
    <col min="5163" max="5163" width="15.5703125" bestFit="1" customWidth="1"/>
    <col min="5164" max="5164" width="12.5703125" bestFit="1" customWidth="1"/>
    <col min="5165" max="5165" width="17.7109375" bestFit="1" customWidth="1"/>
    <col min="5166" max="5166" width="15.5703125" bestFit="1" customWidth="1"/>
    <col min="5167" max="5167" width="13.28515625" bestFit="1" customWidth="1"/>
    <col min="5168" max="5168" width="17.7109375" bestFit="1" customWidth="1"/>
    <col min="5169" max="5169" width="15.5703125" bestFit="1" customWidth="1"/>
    <col min="5170" max="5170" width="12.5703125" bestFit="1" customWidth="1"/>
    <col min="5171" max="5171" width="17.7109375" bestFit="1" customWidth="1"/>
    <col min="5172" max="5172" width="15.5703125" bestFit="1" customWidth="1"/>
    <col min="5173" max="5173" width="13.28515625" bestFit="1" customWidth="1"/>
    <col min="5174" max="5174" width="17.7109375" bestFit="1" customWidth="1"/>
    <col min="5175" max="5175" width="15.5703125" bestFit="1" customWidth="1"/>
    <col min="5176" max="5176" width="13.28515625" bestFit="1" customWidth="1"/>
    <col min="5177" max="5177" width="17.7109375" bestFit="1" customWidth="1"/>
    <col min="5178" max="5178" width="15.5703125" bestFit="1" customWidth="1"/>
    <col min="5179" max="5179" width="12.5703125" bestFit="1" customWidth="1"/>
    <col min="5180" max="5180" width="17.7109375" bestFit="1" customWidth="1"/>
    <col min="5181" max="5181" width="15.5703125" bestFit="1" customWidth="1"/>
    <col min="5182" max="5182" width="13.28515625" bestFit="1" customWidth="1"/>
    <col min="5183" max="5183" width="17.7109375" bestFit="1" customWidth="1"/>
    <col min="5184" max="5184" width="15.5703125" bestFit="1" customWidth="1"/>
    <col min="5185" max="5185" width="13.28515625" bestFit="1" customWidth="1"/>
    <col min="5186" max="5186" width="17.7109375" bestFit="1" customWidth="1"/>
    <col min="5187" max="5187" width="15.5703125" bestFit="1" customWidth="1"/>
    <col min="5188" max="5188" width="13.28515625" bestFit="1" customWidth="1"/>
    <col min="5189" max="5189" width="17.7109375" bestFit="1" customWidth="1"/>
    <col min="5190" max="5190" width="15.5703125" bestFit="1" customWidth="1"/>
    <col min="5191" max="5191" width="12.5703125" bestFit="1" customWidth="1"/>
    <col min="5192" max="5192" width="17.7109375" bestFit="1" customWidth="1"/>
    <col min="5193" max="5193" width="15.5703125" bestFit="1" customWidth="1"/>
    <col min="5194" max="5194" width="12.5703125" bestFit="1" customWidth="1"/>
    <col min="5195" max="5195" width="17.7109375" bestFit="1" customWidth="1"/>
    <col min="5196" max="5196" width="15.5703125" bestFit="1" customWidth="1"/>
    <col min="5197" max="5197" width="12.5703125" bestFit="1" customWidth="1"/>
    <col min="5198" max="5198" width="17.7109375" bestFit="1" customWidth="1"/>
    <col min="5199" max="5199" width="15.5703125" bestFit="1" customWidth="1"/>
    <col min="5200" max="5200" width="13.28515625" bestFit="1" customWidth="1"/>
    <col min="5201" max="5201" width="17.7109375" bestFit="1" customWidth="1"/>
    <col min="5202" max="5202" width="15.5703125" bestFit="1" customWidth="1"/>
    <col min="5203" max="5203" width="12.5703125" bestFit="1" customWidth="1"/>
    <col min="5204" max="5204" width="17.7109375" bestFit="1" customWidth="1"/>
    <col min="5205" max="5205" width="15.5703125" bestFit="1" customWidth="1"/>
    <col min="5206" max="5206" width="12.5703125" bestFit="1" customWidth="1"/>
    <col min="5207" max="5207" width="17.7109375" bestFit="1" customWidth="1"/>
    <col min="5208" max="5208" width="15.5703125" bestFit="1" customWidth="1"/>
    <col min="5209" max="5209" width="12.5703125" bestFit="1" customWidth="1"/>
    <col min="5210" max="5210" width="17.7109375" bestFit="1" customWidth="1"/>
    <col min="5211" max="5211" width="15.5703125" bestFit="1" customWidth="1"/>
    <col min="5212" max="5212" width="12.5703125" bestFit="1" customWidth="1"/>
    <col min="5213" max="5213" width="17.7109375" bestFit="1" customWidth="1"/>
    <col min="5214" max="5214" width="15.5703125" bestFit="1" customWidth="1"/>
    <col min="5215" max="5215" width="12.5703125" bestFit="1" customWidth="1"/>
    <col min="5216" max="5216" width="17.7109375" bestFit="1" customWidth="1"/>
    <col min="5217" max="5217" width="15.5703125" bestFit="1" customWidth="1"/>
    <col min="5218" max="5218" width="12.5703125" bestFit="1" customWidth="1"/>
    <col min="5219" max="5219" width="17.7109375" bestFit="1" customWidth="1"/>
    <col min="5220" max="5220" width="15.5703125" bestFit="1" customWidth="1"/>
    <col min="5221" max="5221" width="12.5703125" bestFit="1" customWidth="1"/>
    <col min="5222" max="5222" width="17.7109375" bestFit="1" customWidth="1"/>
    <col min="5223" max="5223" width="15.5703125" bestFit="1" customWidth="1"/>
    <col min="5224" max="5224" width="12.5703125" bestFit="1" customWidth="1"/>
    <col min="5225" max="5225" width="17.7109375" bestFit="1" customWidth="1"/>
    <col min="5226" max="5226" width="15.5703125" bestFit="1" customWidth="1"/>
    <col min="5227" max="5227" width="12.5703125" bestFit="1" customWidth="1"/>
    <col min="5228" max="5228" width="17.7109375" bestFit="1" customWidth="1"/>
    <col min="5229" max="5229" width="15.5703125" bestFit="1" customWidth="1"/>
    <col min="5230" max="5230" width="13.28515625" bestFit="1" customWidth="1"/>
    <col min="5231" max="5231" width="17.7109375" bestFit="1" customWidth="1"/>
    <col min="5232" max="5232" width="15.5703125" bestFit="1" customWidth="1"/>
    <col min="5233" max="5233" width="12.5703125" bestFit="1" customWidth="1"/>
    <col min="5234" max="5234" width="17.7109375" bestFit="1" customWidth="1"/>
    <col min="5235" max="5235" width="15.5703125" bestFit="1" customWidth="1"/>
    <col min="5236" max="5236" width="13.28515625" bestFit="1" customWidth="1"/>
    <col min="5237" max="5237" width="17.7109375" bestFit="1" customWidth="1"/>
    <col min="5238" max="5238" width="15.5703125" bestFit="1" customWidth="1"/>
    <col min="5239" max="5239" width="12.5703125" bestFit="1" customWidth="1"/>
    <col min="5240" max="5240" width="17.7109375" bestFit="1" customWidth="1"/>
    <col min="5241" max="5241" width="15.5703125" bestFit="1" customWidth="1"/>
    <col min="5242" max="5242" width="12.5703125" bestFit="1" customWidth="1"/>
    <col min="5243" max="5243" width="17.7109375" bestFit="1" customWidth="1"/>
    <col min="5244" max="5244" width="15.5703125" bestFit="1" customWidth="1"/>
    <col min="5245" max="5245" width="13.28515625" bestFit="1" customWidth="1"/>
    <col min="5246" max="5246" width="17.7109375" bestFit="1" customWidth="1"/>
    <col min="5247" max="5247" width="15.5703125" bestFit="1" customWidth="1"/>
    <col min="5248" max="5248" width="13.28515625" bestFit="1" customWidth="1"/>
    <col min="5249" max="5249" width="17.7109375" bestFit="1" customWidth="1"/>
    <col min="5250" max="5250" width="15.5703125" bestFit="1" customWidth="1"/>
    <col min="5251" max="5251" width="13.28515625" bestFit="1" customWidth="1"/>
    <col min="5252" max="5252" width="17.7109375" bestFit="1" customWidth="1"/>
    <col min="5253" max="5253" width="15.5703125" bestFit="1" customWidth="1"/>
    <col min="5254" max="5254" width="12.5703125" bestFit="1" customWidth="1"/>
    <col min="5255" max="5255" width="17.7109375" bestFit="1" customWidth="1"/>
    <col min="5256" max="5256" width="15.5703125" bestFit="1" customWidth="1"/>
    <col min="5257" max="5257" width="13.28515625" bestFit="1" customWidth="1"/>
    <col min="5258" max="5258" width="17.7109375" bestFit="1" customWidth="1"/>
    <col min="5259" max="5259" width="15.5703125" bestFit="1" customWidth="1"/>
    <col min="5260" max="5260" width="12.5703125" bestFit="1" customWidth="1"/>
    <col min="5261" max="5261" width="17.7109375" bestFit="1" customWidth="1"/>
    <col min="5262" max="5262" width="15.5703125" bestFit="1" customWidth="1"/>
    <col min="5263" max="5263" width="12.5703125" bestFit="1" customWidth="1"/>
    <col min="5264" max="5264" width="17.7109375" bestFit="1" customWidth="1"/>
    <col min="5265" max="5265" width="15.5703125" bestFit="1" customWidth="1"/>
    <col min="5266" max="5266" width="12.5703125" bestFit="1" customWidth="1"/>
    <col min="5267" max="5267" width="17.7109375" bestFit="1" customWidth="1"/>
    <col min="5268" max="5268" width="15.5703125" bestFit="1" customWidth="1"/>
    <col min="5269" max="5269" width="12.5703125" bestFit="1" customWidth="1"/>
    <col min="5270" max="5270" width="17.7109375" bestFit="1" customWidth="1"/>
    <col min="5271" max="5271" width="15.5703125" bestFit="1" customWidth="1"/>
    <col min="5272" max="5272" width="12.5703125" bestFit="1" customWidth="1"/>
    <col min="5273" max="5273" width="17.7109375" bestFit="1" customWidth="1"/>
    <col min="5274" max="5274" width="15.5703125" bestFit="1" customWidth="1"/>
    <col min="5275" max="5275" width="13.28515625" bestFit="1" customWidth="1"/>
    <col min="5276" max="5276" width="17.7109375" bestFit="1" customWidth="1"/>
    <col min="5277" max="5277" width="15.5703125" bestFit="1" customWidth="1"/>
    <col min="5278" max="5278" width="13.28515625" bestFit="1" customWidth="1"/>
    <col min="5279" max="5279" width="17.7109375" bestFit="1" customWidth="1"/>
    <col min="5280" max="5280" width="15.5703125" bestFit="1" customWidth="1"/>
    <col min="5281" max="5281" width="12.5703125" bestFit="1" customWidth="1"/>
    <col min="5282" max="5282" width="17.7109375" bestFit="1" customWidth="1"/>
    <col min="5283" max="5283" width="15.5703125" bestFit="1" customWidth="1"/>
    <col min="5284" max="5284" width="12.5703125" bestFit="1" customWidth="1"/>
    <col min="5285" max="5285" width="17.7109375" bestFit="1" customWidth="1"/>
    <col min="5286" max="5286" width="15.5703125" bestFit="1" customWidth="1"/>
    <col min="5287" max="5287" width="12.5703125" bestFit="1" customWidth="1"/>
    <col min="5288" max="5288" width="17.7109375" bestFit="1" customWidth="1"/>
    <col min="5289" max="5289" width="15.5703125" bestFit="1" customWidth="1"/>
    <col min="5290" max="5290" width="13.28515625" bestFit="1" customWidth="1"/>
    <col min="5291" max="5291" width="17.7109375" bestFit="1" customWidth="1"/>
    <col min="5292" max="5292" width="15.5703125" bestFit="1" customWidth="1"/>
    <col min="5293" max="5293" width="12.5703125" bestFit="1" customWidth="1"/>
    <col min="5294" max="5294" width="17.7109375" bestFit="1" customWidth="1"/>
    <col min="5295" max="5295" width="15.5703125" bestFit="1" customWidth="1"/>
    <col min="5296" max="5296" width="12.5703125" bestFit="1" customWidth="1"/>
    <col min="5297" max="5297" width="17.7109375" bestFit="1" customWidth="1"/>
    <col min="5298" max="5298" width="15.5703125" bestFit="1" customWidth="1"/>
    <col min="5299" max="5299" width="13.28515625" bestFit="1" customWidth="1"/>
    <col min="5300" max="5300" width="17.7109375" bestFit="1" customWidth="1"/>
    <col min="5301" max="5301" width="15.5703125" bestFit="1" customWidth="1"/>
    <col min="5302" max="5302" width="12.5703125" bestFit="1" customWidth="1"/>
    <col min="5303" max="5303" width="17.7109375" bestFit="1" customWidth="1"/>
    <col min="5304" max="5304" width="15.5703125" bestFit="1" customWidth="1"/>
    <col min="5305" max="5305" width="13.28515625" bestFit="1" customWidth="1"/>
    <col min="5306" max="5306" width="17.7109375" bestFit="1" customWidth="1"/>
    <col min="5307" max="5307" width="15.5703125" bestFit="1" customWidth="1"/>
    <col min="5308" max="5308" width="13.28515625" bestFit="1" customWidth="1"/>
    <col min="5309" max="5309" width="17.7109375" bestFit="1" customWidth="1"/>
    <col min="5310" max="5310" width="15.5703125" bestFit="1" customWidth="1"/>
    <col min="5311" max="5311" width="12.5703125" bestFit="1" customWidth="1"/>
    <col min="5312" max="5312" width="17.7109375" bestFit="1" customWidth="1"/>
    <col min="5313" max="5313" width="15.5703125" bestFit="1" customWidth="1"/>
    <col min="5314" max="5314" width="12.5703125" bestFit="1" customWidth="1"/>
    <col min="5315" max="5315" width="17.7109375" bestFit="1" customWidth="1"/>
    <col min="5316" max="5316" width="15.5703125" bestFit="1" customWidth="1"/>
    <col min="5317" max="5317" width="13.28515625" bestFit="1" customWidth="1"/>
    <col min="5318" max="5318" width="17.7109375" bestFit="1" customWidth="1"/>
    <col min="5319" max="5319" width="15.5703125" bestFit="1" customWidth="1"/>
    <col min="5320" max="5320" width="12.5703125" bestFit="1" customWidth="1"/>
    <col min="5321" max="5321" width="17.7109375" bestFit="1" customWidth="1"/>
    <col min="5322" max="5322" width="15.5703125" bestFit="1" customWidth="1"/>
    <col min="5323" max="5323" width="12.5703125" bestFit="1" customWidth="1"/>
    <col min="5324" max="5324" width="17.7109375" bestFit="1" customWidth="1"/>
    <col min="5325" max="5325" width="15.5703125" bestFit="1" customWidth="1"/>
    <col min="5326" max="5326" width="12.5703125" bestFit="1" customWidth="1"/>
    <col min="5327" max="5327" width="17.7109375" bestFit="1" customWidth="1"/>
    <col min="5328" max="5328" width="15.5703125" bestFit="1" customWidth="1"/>
    <col min="5329" max="5329" width="12.5703125" bestFit="1" customWidth="1"/>
    <col min="5330" max="5330" width="17.7109375" bestFit="1" customWidth="1"/>
    <col min="5331" max="5331" width="15.5703125" bestFit="1" customWidth="1"/>
    <col min="5332" max="5332" width="12.5703125" bestFit="1" customWidth="1"/>
    <col min="5333" max="5333" width="17.7109375" bestFit="1" customWidth="1"/>
    <col min="5334" max="5334" width="15.5703125" bestFit="1" customWidth="1"/>
    <col min="5335" max="5335" width="12.5703125" bestFit="1" customWidth="1"/>
    <col min="5336" max="5336" width="17.7109375" bestFit="1" customWidth="1"/>
    <col min="5337" max="5337" width="15.5703125" bestFit="1" customWidth="1"/>
    <col min="5338" max="5338" width="13.28515625" bestFit="1" customWidth="1"/>
    <col min="5339" max="5339" width="17.7109375" bestFit="1" customWidth="1"/>
    <col min="5340" max="5340" width="15.5703125" bestFit="1" customWidth="1"/>
    <col min="5341" max="5341" width="13.28515625" bestFit="1" customWidth="1"/>
    <col min="5342" max="5342" width="17.7109375" bestFit="1" customWidth="1"/>
    <col min="5343" max="5343" width="15.5703125" bestFit="1" customWidth="1"/>
    <col min="5344" max="5344" width="13.28515625" bestFit="1" customWidth="1"/>
    <col min="5345" max="5345" width="17.7109375" bestFit="1" customWidth="1"/>
    <col min="5346" max="5346" width="15.5703125" bestFit="1" customWidth="1"/>
    <col min="5347" max="5347" width="12.5703125" bestFit="1" customWidth="1"/>
    <col min="5348" max="5348" width="17.7109375" bestFit="1" customWidth="1"/>
    <col min="5349" max="5349" width="15.5703125" bestFit="1" customWidth="1"/>
    <col min="5350" max="5350" width="12.5703125" bestFit="1" customWidth="1"/>
    <col min="5351" max="5351" width="17.7109375" bestFit="1" customWidth="1"/>
    <col min="5352" max="5352" width="15.5703125" bestFit="1" customWidth="1"/>
    <col min="5353" max="5353" width="12.5703125" bestFit="1" customWidth="1"/>
    <col min="5354" max="5354" width="17.7109375" bestFit="1" customWidth="1"/>
    <col min="5355" max="5355" width="15.5703125" bestFit="1" customWidth="1"/>
    <col min="5356" max="5356" width="13.28515625" bestFit="1" customWidth="1"/>
    <col min="5357" max="5357" width="17.7109375" bestFit="1" customWidth="1"/>
    <col min="5358" max="5358" width="15.5703125" bestFit="1" customWidth="1"/>
    <col min="5359" max="5359" width="12.5703125" bestFit="1" customWidth="1"/>
    <col min="5360" max="5360" width="17.7109375" bestFit="1" customWidth="1"/>
    <col min="5361" max="5361" width="15.5703125" bestFit="1" customWidth="1"/>
    <col min="5362" max="5362" width="12.5703125" bestFit="1" customWidth="1"/>
    <col min="5363" max="5363" width="17.7109375" bestFit="1" customWidth="1"/>
    <col min="5364" max="5364" width="15.5703125" bestFit="1" customWidth="1"/>
    <col min="5365" max="5365" width="13.28515625" bestFit="1" customWidth="1"/>
    <col min="5366" max="5366" width="17.7109375" bestFit="1" customWidth="1"/>
    <col min="5367" max="5367" width="15.5703125" bestFit="1" customWidth="1"/>
    <col min="5368" max="5368" width="13.28515625" bestFit="1" customWidth="1"/>
    <col min="5369" max="5369" width="17.7109375" bestFit="1" customWidth="1"/>
    <col min="5370" max="5370" width="15.5703125" bestFit="1" customWidth="1"/>
    <col min="5371" max="5371" width="12.5703125" bestFit="1" customWidth="1"/>
    <col min="5372" max="5372" width="17.7109375" bestFit="1" customWidth="1"/>
    <col min="5373" max="5373" width="15.5703125" bestFit="1" customWidth="1"/>
    <col min="5374" max="5374" width="12.5703125" bestFit="1" customWidth="1"/>
    <col min="5375" max="5375" width="17.7109375" bestFit="1" customWidth="1"/>
    <col min="5376" max="5376" width="15.5703125" bestFit="1" customWidth="1"/>
    <col min="5377" max="5377" width="13.28515625" bestFit="1" customWidth="1"/>
    <col min="5378" max="5378" width="17.7109375" bestFit="1" customWidth="1"/>
    <col min="5379" max="5379" width="15.5703125" bestFit="1" customWidth="1"/>
    <col min="5380" max="5380" width="13.28515625" bestFit="1" customWidth="1"/>
    <col min="5381" max="5381" width="17.7109375" bestFit="1" customWidth="1"/>
    <col min="5382" max="5382" width="15.5703125" bestFit="1" customWidth="1"/>
    <col min="5383" max="5383" width="13.28515625" bestFit="1" customWidth="1"/>
    <col min="5384" max="5384" width="17.7109375" bestFit="1" customWidth="1"/>
    <col min="5385" max="5385" width="15.5703125" bestFit="1" customWidth="1"/>
    <col min="5386" max="5386" width="13.28515625" bestFit="1" customWidth="1"/>
    <col min="5387" max="5387" width="17.7109375" bestFit="1" customWidth="1"/>
    <col min="5388" max="5388" width="15.5703125" bestFit="1" customWidth="1"/>
    <col min="5389" max="5389" width="12.5703125" bestFit="1" customWidth="1"/>
    <col min="5390" max="5390" width="17.7109375" bestFit="1" customWidth="1"/>
    <col min="5391" max="5391" width="15.5703125" bestFit="1" customWidth="1"/>
    <col min="5392" max="5392" width="13.28515625" bestFit="1" customWidth="1"/>
    <col min="5393" max="5393" width="17.7109375" bestFit="1" customWidth="1"/>
    <col min="5394" max="5394" width="15.5703125" bestFit="1" customWidth="1"/>
    <col min="5395" max="5395" width="12.5703125" bestFit="1" customWidth="1"/>
    <col min="5396" max="5396" width="17.7109375" bestFit="1" customWidth="1"/>
    <col min="5397" max="5397" width="15.5703125" bestFit="1" customWidth="1"/>
    <col min="5398" max="5398" width="13.28515625" bestFit="1" customWidth="1"/>
    <col min="5399" max="5399" width="17.7109375" bestFit="1" customWidth="1"/>
    <col min="5400" max="5400" width="15.5703125" bestFit="1" customWidth="1"/>
    <col min="5401" max="5401" width="13.28515625" bestFit="1" customWidth="1"/>
    <col min="5402" max="5402" width="17.7109375" bestFit="1" customWidth="1"/>
    <col min="5403" max="5403" width="15.5703125" bestFit="1" customWidth="1"/>
    <col min="5404" max="5404" width="12.5703125" bestFit="1" customWidth="1"/>
    <col min="5405" max="5405" width="17.7109375" bestFit="1" customWidth="1"/>
    <col min="5406" max="5406" width="15.5703125" bestFit="1" customWidth="1"/>
    <col min="5407" max="5407" width="13.28515625" bestFit="1" customWidth="1"/>
    <col min="5408" max="5408" width="17.7109375" bestFit="1" customWidth="1"/>
    <col min="5409" max="5409" width="15.5703125" bestFit="1" customWidth="1"/>
    <col min="5410" max="5410" width="13.28515625" bestFit="1" customWidth="1"/>
    <col min="5411" max="5411" width="17.7109375" bestFit="1" customWidth="1"/>
    <col min="5412" max="5412" width="15.5703125" bestFit="1" customWidth="1"/>
    <col min="5413" max="5413" width="12.5703125" bestFit="1" customWidth="1"/>
    <col min="5414" max="5414" width="17.7109375" bestFit="1" customWidth="1"/>
    <col min="5415" max="5415" width="15.5703125" bestFit="1" customWidth="1"/>
    <col min="5416" max="5416" width="12.5703125" bestFit="1" customWidth="1"/>
    <col min="5417" max="5417" width="17.7109375" bestFit="1" customWidth="1"/>
    <col min="5418" max="5418" width="15.5703125" bestFit="1" customWidth="1"/>
    <col min="5419" max="5419" width="13.28515625" bestFit="1" customWidth="1"/>
    <col min="5420" max="5420" width="17.7109375" bestFit="1" customWidth="1"/>
    <col min="5421" max="5421" width="15.5703125" bestFit="1" customWidth="1"/>
    <col min="5422" max="5422" width="12.5703125" bestFit="1" customWidth="1"/>
    <col min="5423" max="5423" width="17.7109375" bestFit="1" customWidth="1"/>
    <col min="5424" max="5424" width="15.5703125" bestFit="1" customWidth="1"/>
    <col min="5425" max="5425" width="12.5703125" bestFit="1" customWidth="1"/>
    <col min="5426" max="5426" width="17.7109375" bestFit="1" customWidth="1"/>
    <col min="5427" max="5427" width="15.5703125" bestFit="1" customWidth="1"/>
    <col min="5428" max="5428" width="12.5703125" bestFit="1" customWidth="1"/>
    <col min="5429" max="5429" width="17.7109375" bestFit="1" customWidth="1"/>
    <col min="5430" max="5430" width="15.5703125" bestFit="1" customWidth="1"/>
    <col min="5431" max="5431" width="12.5703125" bestFit="1" customWidth="1"/>
    <col min="5432" max="5432" width="17.7109375" bestFit="1" customWidth="1"/>
    <col min="5433" max="5433" width="15.5703125" bestFit="1" customWidth="1"/>
    <col min="5434" max="5434" width="13.28515625" bestFit="1" customWidth="1"/>
    <col min="5435" max="5435" width="17.7109375" bestFit="1" customWidth="1"/>
    <col min="5436" max="5436" width="15.5703125" bestFit="1" customWidth="1"/>
    <col min="5437" max="5437" width="12.5703125" bestFit="1" customWidth="1"/>
    <col min="5438" max="5438" width="17.7109375" bestFit="1" customWidth="1"/>
    <col min="5439" max="5439" width="15.5703125" bestFit="1" customWidth="1"/>
    <col min="5440" max="5440" width="13.28515625" bestFit="1" customWidth="1"/>
    <col min="5441" max="5441" width="17.7109375" bestFit="1" customWidth="1"/>
    <col min="5442" max="5442" width="15.5703125" bestFit="1" customWidth="1"/>
    <col min="5443" max="5443" width="12.5703125" bestFit="1" customWidth="1"/>
    <col min="5444" max="5444" width="17.7109375" bestFit="1" customWidth="1"/>
    <col min="5445" max="5445" width="15.5703125" bestFit="1" customWidth="1"/>
    <col min="5446" max="5446" width="13.28515625" bestFit="1" customWidth="1"/>
    <col min="5447" max="5447" width="17.7109375" bestFit="1" customWidth="1"/>
    <col min="5448" max="5448" width="15.5703125" bestFit="1" customWidth="1"/>
    <col min="5449" max="5449" width="12.5703125" bestFit="1" customWidth="1"/>
    <col min="5450" max="5450" width="17.7109375" bestFit="1" customWidth="1"/>
    <col min="5451" max="5451" width="15.5703125" bestFit="1" customWidth="1"/>
    <col min="5452" max="5452" width="13.28515625" bestFit="1" customWidth="1"/>
    <col min="5453" max="5453" width="17.7109375" bestFit="1" customWidth="1"/>
    <col min="5454" max="5454" width="15.5703125" bestFit="1" customWidth="1"/>
    <col min="5455" max="5455" width="13.28515625" bestFit="1" customWidth="1"/>
    <col min="5456" max="5456" width="17.7109375" bestFit="1" customWidth="1"/>
    <col min="5457" max="5457" width="15.5703125" bestFit="1" customWidth="1"/>
    <col min="5458" max="5458" width="12.5703125" bestFit="1" customWidth="1"/>
    <col min="5459" max="5459" width="17.7109375" bestFit="1" customWidth="1"/>
    <col min="5460" max="5460" width="15.5703125" bestFit="1" customWidth="1"/>
    <col min="5461" max="5461" width="12.5703125" bestFit="1" customWidth="1"/>
    <col min="5462" max="5462" width="17.7109375" bestFit="1" customWidth="1"/>
    <col min="5463" max="5463" width="15.5703125" bestFit="1" customWidth="1"/>
    <col min="5464" max="5464" width="13.28515625" bestFit="1" customWidth="1"/>
    <col min="5465" max="5465" width="17.7109375" bestFit="1" customWidth="1"/>
    <col min="5466" max="5466" width="15.5703125" bestFit="1" customWidth="1"/>
    <col min="5467" max="5467" width="12.5703125" bestFit="1" customWidth="1"/>
    <col min="5468" max="5468" width="17.7109375" bestFit="1" customWidth="1"/>
    <col min="5469" max="5469" width="15.5703125" bestFit="1" customWidth="1"/>
    <col min="5470" max="5470" width="12.5703125" bestFit="1" customWidth="1"/>
    <col min="5471" max="5471" width="17.7109375" bestFit="1" customWidth="1"/>
    <col min="5472" max="5472" width="15.5703125" bestFit="1" customWidth="1"/>
    <col min="5473" max="5473" width="12.5703125" bestFit="1" customWidth="1"/>
    <col min="5474" max="5474" width="17.7109375" bestFit="1" customWidth="1"/>
    <col min="5475" max="5475" width="15.5703125" bestFit="1" customWidth="1"/>
    <col min="5476" max="5476" width="12.5703125" bestFit="1" customWidth="1"/>
    <col min="5477" max="5477" width="17.7109375" bestFit="1" customWidth="1"/>
    <col min="5478" max="5478" width="15.5703125" bestFit="1" customWidth="1"/>
    <col min="5479" max="5479" width="13.28515625" bestFit="1" customWidth="1"/>
    <col min="5480" max="5480" width="17.7109375" bestFit="1" customWidth="1"/>
    <col min="5481" max="5481" width="15.5703125" bestFit="1" customWidth="1"/>
    <col min="5482" max="5482" width="12.5703125" bestFit="1" customWidth="1"/>
    <col min="5483" max="5483" width="17.7109375" bestFit="1" customWidth="1"/>
    <col min="5484" max="5484" width="15.5703125" bestFit="1" customWidth="1"/>
    <col min="5485" max="5485" width="13.28515625" bestFit="1" customWidth="1"/>
    <col min="5486" max="5486" width="17.7109375" bestFit="1" customWidth="1"/>
    <col min="5487" max="5487" width="15.5703125" bestFit="1" customWidth="1"/>
    <col min="5488" max="5488" width="12.5703125" bestFit="1" customWidth="1"/>
    <col min="5489" max="5489" width="17.7109375" bestFit="1" customWidth="1"/>
    <col min="5490" max="5490" width="15.5703125" bestFit="1" customWidth="1"/>
    <col min="5491" max="5491" width="12.5703125" bestFit="1" customWidth="1"/>
    <col min="5492" max="5492" width="17.7109375" bestFit="1" customWidth="1"/>
    <col min="5493" max="5493" width="15.5703125" bestFit="1" customWidth="1"/>
    <col min="5494" max="5494" width="13.28515625" bestFit="1" customWidth="1"/>
    <col min="5495" max="5495" width="17.7109375" bestFit="1" customWidth="1"/>
    <col min="5496" max="5496" width="15.5703125" bestFit="1" customWidth="1"/>
    <col min="5497" max="5497" width="13.28515625" bestFit="1" customWidth="1"/>
    <col min="5498" max="5498" width="17.7109375" bestFit="1" customWidth="1"/>
    <col min="5499" max="5499" width="15.5703125" bestFit="1" customWidth="1"/>
    <col min="5500" max="5500" width="13.28515625" bestFit="1" customWidth="1"/>
    <col min="5501" max="5501" width="17.7109375" bestFit="1" customWidth="1"/>
    <col min="5502" max="5502" width="15.5703125" bestFit="1" customWidth="1"/>
    <col min="5503" max="5503" width="13.28515625" bestFit="1" customWidth="1"/>
    <col min="5504" max="5504" width="17.7109375" bestFit="1" customWidth="1"/>
    <col min="5505" max="5505" width="15.5703125" bestFit="1" customWidth="1"/>
    <col min="5506" max="5506" width="12.5703125" bestFit="1" customWidth="1"/>
    <col min="5507" max="5507" width="17.7109375" bestFit="1" customWidth="1"/>
    <col min="5508" max="5508" width="15.5703125" bestFit="1" customWidth="1"/>
    <col min="5509" max="5509" width="12.5703125" bestFit="1" customWidth="1"/>
    <col min="5510" max="5510" width="17.7109375" bestFit="1" customWidth="1"/>
    <col min="5511" max="5511" width="15.5703125" bestFit="1" customWidth="1"/>
    <col min="5512" max="5512" width="12.5703125" bestFit="1" customWidth="1"/>
    <col min="5513" max="5513" width="17.7109375" bestFit="1" customWidth="1"/>
    <col min="5514" max="5514" width="15.5703125" bestFit="1" customWidth="1"/>
    <col min="5515" max="5515" width="12.5703125" bestFit="1" customWidth="1"/>
    <col min="5516" max="5516" width="17.7109375" bestFit="1" customWidth="1"/>
    <col min="5517" max="5517" width="15.5703125" bestFit="1" customWidth="1"/>
    <col min="5518" max="5518" width="12.5703125" bestFit="1" customWidth="1"/>
    <col min="5519" max="5519" width="17.7109375" bestFit="1" customWidth="1"/>
    <col min="5520" max="5520" width="15.5703125" bestFit="1" customWidth="1"/>
    <col min="5521" max="5521" width="13.28515625" bestFit="1" customWidth="1"/>
    <col min="5522" max="5522" width="17.7109375" bestFit="1" customWidth="1"/>
    <col min="5523" max="5523" width="15.5703125" bestFit="1" customWidth="1"/>
    <col min="5524" max="5524" width="12.5703125" bestFit="1" customWidth="1"/>
    <col min="5525" max="5525" width="17.7109375" bestFit="1" customWidth="1"/>
    <col min="5526" max="5526" width="15.5703125" bestFit="1" customWidth="1"/>
    <col min="5527" max="5527" width="12.5703125" bestFit="1" customWidth="1"/>
    <col min="5528" max="5528" width="17.7109375" bestFit="1" customWidth="1"/>
    <col min="5529" max="5529" width="15.5703125" bestFit="1" customWidth="1"/>
    <col min="5530" max="5530" width="12.5703125" bestFit="1" customWidth="1"/>
    <col min="5531" max="5531" width="17.7109375" bestFit="1" customWidth="1"/>
    <col min="5532" max="5532" width="15.5703125" bestFit="1" customWidth="1"/>
    <col min="5533" max="5533" width="12.5703125" bestFit="1" customWidth="1"/>
    <col min="5534" max="5534" width="17.7109375" bestFit="1" customWidth="1"/>
    <col min="5535" max="5535" width="15.5703125" bestFit="1" customWidth="1"/>
    <col min="5536" max="5536" width="13.28515625" bestFit="1" customWidth="1"/>
    <col min="5537" max="5537" width="17.7109375" bestFit="1" customWidth="1"/>
    <col min="5538" max="5538" width="15.5703125" bestFit="1" customWidth="1"/>
    <col min="5539" max="5539" width="12.5703125" bestFit="1" customWidth="1"/>
    <col min="5540" max="5540" width="17.7109375" bestFit="1" customWidth="1"/>
    <col min="5541" max="5541" width="15.5703125" bestFit="1" customWidth="1"/>
    <col min="5542" max="5542" width="12.5703125" bestFit="1" customWidth="1"/>
    <col min="5543" max="5543" width="17.7109375" bestFit="1" customWidth="1"/>
    <col min="5544" max="5544" width="15.5703125" bestFit="1" customWidth="1"/>
    <col min="5545" max="5545" width="12.5703125" bestFit="1" customWidth="1"/>
    <col min="5546" max="5546" width="17.7109375" bestFit="1" customWidth="1"/>
    <col min="5547" max="5547" width="15.5703125" bestFit="1" customWidth="1"/>
    <col min="5548" max="5548" width="13.28515625" bestFit="1" customWidth="1"/>
    <col min="5549" max="5549" width="17.7109375" bestFit="1" customWidth="1"/>
    <col min="5550" max="5550" width="15.5703125" bestFit="1" customWidth="1"/>
    <col min="5551" max="5551" width="12.5703125" bestFit="1" customWidth="1"/>
    <col min="5552" max="5552" width="17.7109375" bestFit="1" customWidth="1"/>
    <col min="5553" max="5553" width="15.5703125" bestFit="1" customWidth="1"/>
    <col min="5554" max="5554" width="12.5703125" bestFit="1" customWidth="1"/>
    <col min="5555" max="5555" width="17.7109375" bestFit="1" customWidth="1"/>
    <col min="5556" max="5556" width="15.5703125" bestFit="1" customWidth="1"/>
    <col min="5557" max="5557" width="13.28515625" bestFit="1" customWidth="1"/>
    <col min="5558" max="5558" width="17.7109375" bestFit="1" customWidth="1"/>
    <col min="5559" max="5559" width="15.5703125" bestFit="1" customWidth="1"/>
    <col min="5560" max="5560" width="12.5703125" bestFit="1" customWidth="1"/>
    <col min="5561" max="5561" width="17.7109375" bestFit="1" customWidth="1"/>
    <col min="5562" max="5562" width="15.5703125" bestFit="1" customWidth="1"/>
    <col min="5563" max="5563" width="13.28515625" bestFit="1" customWidth="1"/>
    <col min="5564" max="5564" width="17.7109375" bestFit="1" customWidth="1"/>
    <col min="5565" max="5565" width="15.5703125" bestFit="1" customWidth="1"/>
    <col min="5566" max="5566" width="12.5703125" bestFit="1" customWidth="1"/>
    <col min="5567" max="5567" width="17.7109375" bestFit="1" customWidth="1"/>
    <col min="5568" max="5568" width="15.5703125" bestFit="1" customWidth="1"/>
    <col min="5569" max="5569" width="13.28515625" bestFit="1" customWidth="1"/>
    <col min="5570" max="5570" width="17.7109375" bestFit="1" customWidth="1"/>
    <col min="5571" max="5571" width="15.5703125" bestFit="1" customWidth="1"/>
    <col min="5572" max="5572" width="12.5703125" bestFit="1" customWidth="1"/>
    <col min="5573" max="5573" width="17.7109375" bestFit="1" customWidth="1"/>
    <col min="5574" max="5574" width="15.5703125" bestFit="1" customWidth="1"/>
    <col min="5575" max="5575" width="12.5703125" bestFit="1" customWidth="1"/>
    <col min="5576" max="5576" width="17.7109375" bestFit="1" customWidth="1"/>
    <col min="5577" max="5577" width="15.5703125" bestFit="1" customWidth="1"/>
    <col min="5578" max="5578" width="12.5703125" bestFit="1" customWidth="1"/>
    <col min="5579" max="5579" width="17.7109375" bestFit="1" customWidth="1"/>
    <col min="5580" max="5580" width="15.5703125" bestFit="1" customWidth="1"/>
    <col min="5581" max="5581" width="13.28515625" bestFit="1" customWidth="1"/>
    <col min="5582" max="5582" width="17.7109375" bestFit="1" customWidth="1"/>
    <col min="5583" max="5583" width="15.5703125" bestFit="1" customWidth="1"/>
    <col min="5584" max="5584" width="12.5703125" bestFit="1" customWidth="1"/>
    <col min="5585" max="5585" width="17.7109375" bestFit="1" customWidth="1"/>
    <col min="5586" max="5586" width="15.5703125" bestFit="1" customWidth="1"/>
    <col min="5587" max="5587" width="12.5703125" bestFit="1" customWidth="1"/>
    <col min="5588" max="5588" width="17.7109375" bestFit="1" customWidth="1"/>
    <col min="5589" max="5589" width="15.5703125" bestFit="1" customWidth="1"/>
    <col min="5590" max="5590" width="12.5703125" bestFit="1" customWidth="1"/>
    <col min="5591" max="5591" width="17.7109375" bestFit="1" customWidth="1"/>
    <col min="5592" max="5592" width="15.5703125" bestFit="1" customWidth="1"/>
    <col min="5593" max="5593" width="13.28515625" bestFit="1" customWidth="1"/>
    <col min="5594" max="5594" width="17.7109375" bestFit="1" customWidth="1"/>
    <col min="5595" max="5595" width="15.5703125" bestFit="1" customWidth="1"/>
    <col min="5596" max="5596" width="12.5703125" bestFit="1" customWidth="1"/>
    <col min="5597" max="5597" width="17.7109375" bestFit="1" customWidth="1"/>
    <col min="5598" max="5598" width="15.5703125" bestFit="1" customWidth="1"/>
    <col min="5599" max="5599" width="13.28515625" bestFit="1" customWidth="1"/>
    <col min="5600" max="5600" width="17.7109375" bestFit="1" customWidth="1"/>
    <col min="5601" max="5601" width="15.5703125" bestFit="1" customWidth="1"/>
    <col min="5602" max="5602" width="13.28515625" bestFit="1" customWidth="1"/>
    <col min="5603" max="5603" width="17.7109375" bestFit="1" customWidth="1"/>
    <col min="5604" max="5604" width="15.5703125" bestFit="1" customWidth="1"/>
    <col min="5605" max="5605" width="12.5703125" bestFit="1" customWidth="1"/>
    <col min="5606" max="5606" width="17.7109375" bestFit="1" customWidth="1"/>
    <col min="5607" max="5607" width="15.5703125" bestFit="1" customWidth="1"/>
    <col min="5608" max="5608" width="12.5703125" bestFit="1" customWidth="1"/>
    <col min="5609" max="5609" width="17.7109375" bestFit="1" customWidth="1"/>
    <col min="5610" max="5610" width="15.5703125" bestFit="1" customWidth="1"/>
    <col min="5611" max="5611" width="12.5703125" bestFit="1" customWidth="1"/>
    <col min="5612" max="5612" width="17.7109375" bestFit="1" customWidth="1"/>
    <col min="5613" max="5613" width="15.5703125" bestFit="1" customWidth="1"/>
    <col min="5614" max="5614" width="12.5703125" bestFit="1" customWidth="1"/>
    <col min="5615" max="5615" width="17.7109375" bestFit="1" customWidth="1"/>
    <col min="5616" max="5616" width="15.5703125" bestFit="1" customWidth="1"/>
    <col min="5617" max="5617" width="13.28515625" bestFit="1" customWidth="1"/>
    <col min="5618" max="5618" width="17.7109375" bestFit="1" customWidth="1"/>
    <col min="5619" max="5619" width="15.5703125" bestFit="1" customWidth="1"/>
    <col min="5620" max="5620" width="12.5703125" bestFit="1" customWidth="1"/>
    <col min="5621" max="5621" width="17.7109375" bestFit="1" customWidth="1"/>
    <col min="5622" max="5622" width="15.5703125" bestFit="1" customWidth="1"/>
    <col min="5623" max="5623" width="12.5703125" bestFit="1" customWidth="1"/>
    <col min="5624" max="5624" width="17.7109375" bestFit="1" customWidth="1"/>
    <col min="5625" max="5625" width="15.5703125" bestFit="1" customWidth="1"/>
    <col min="5626" max="5626" width="13.28515625" bestFit="1" customWidth="1"/>
    <col min="5627" max="5627" width="17.7109375" bestFit="1" customWidth="1"/>
    <col min="5628" max="5628" width="15.5703125" bestFit="1" customWidth="1"/>
    <col min="5629" max="5629" width="12.5703125" bestFit="1" customWidth="1"/>
    <col min="5630" max="5630" width="17.7109375" bestFit="1" customWidth="1"/>
    <col min="5631" max="5631" width="15.5703125" bestFit="1" customWidth="1"/>
    <col min="5632" max="5632" width="12.5703125" bestFit="1" customWidth="1"/>
    <col min="5633" max="5633" width="17.7109375" bestFit="1" customWidth="1"/>
    <col min="5634" max="5634" width="15.5703125" bestFit="1" customWidth="1"/>
    <col min="5635" max="5635" width="12.5703125" bestFit="1" customWidth="1"/>
    <col min="5636" max="5636" width="17.7109375" bestFit="1" customWidth="1"/>
    <col min="5637" max="5637" width="15.5703125" bestFit="1" customWidth="1"/>
    <col min="5638" max="5638" width="13.28515625" bestFit="1" customWidth="1"/>
    <col min="5639" max="5639" width="17.7109375" bestFit="1" customWidth="1"/>
    <col min="5640" max="5640" width="15.5703125" bestFit="1" customWidth="1"/>
    <col min="5641" max="5641" width="13.28515625" bestFit="1" customWidth="1"/>
    <col min="5642" max="5642" width="17.7109375" bestFit="1" customWidth="1"/>
    <col min="5643" max="5643" width="15.5703125" bestFit="1" customWidth="1"/>
    <col min="5644" max="5644" width="12.5703125" bestFit="1" customWidth="1"/>
    <col min="5645" max="5645" width="17.7109375" bestFit="1" customWidth="1"/>
    <col min="5646" max="5646" width="15.5703125" bestFit="1" customWidth="1"/>
    <col min="5647" max="5647" width="13.28515625" bestFit="1" customWidth="1"/>
    <col min="5648" max="5648" width="17.7109375" bestFit="1" customWidth="1"/>
    <col min="5649" max="5649" width="15.5703125" bestFit="1" customWidth="1"/>
    <col min="5650" max="5650" width="12.5703125" bestFit="1" customWidth="1"/>
    <col min="5651" max="5651" width="17.7109375" bestFit="1" customWidth="1"/>
    <col min="5652" max="5652" width="15.5703125" bestFit="1" customWidth="1"/>
    <col min="5653" max="5653" width="12.5703125" bestFit="1" customWidth="1"/>
    <col min="5654" max="5654" width="17.7109375" bestFit="1" customWidth="1"/>
    <col min="5655" max="5655" width="15.5703125" bestFit="1" customWidth="1"/>
    <col min="5656" max="5656" width="12.5703125" bestFit="1" customWidth="1"/>
    <col min="5657" max="5657" width="17.7109375" bestFit="1" customWidth="1"/>
    <col min="5658" max="5658" width="15.5703125" bestFit="1" customWidth="1"/>
    <col min="5659" max="5659" width="12.5703125" bestFit="1" customWidth="1"/>
    <col min="5660" max="5660" width="17.7109375" bestFit="1" customWidth="1"/>
    <col min="5661" max="5661" width="15.5703125" bestFit="1" customWidth="1"/>
    <col min="5662" max="5662" width="12.5703125" bestFit="1" customWidth="1"/>
    <col min="5663" max="5663" width="17.7109375" bestFit="1" customWidth="1"/>
    <col min="5664" max="5664" width="15.5703125" bestFit="1" customWidth="1"/>
    <col min="5665" max="5665" width="13.28515625" bestFit="1" customWidth="1"/>
    <col min="5666" max="5666" width="17.7109375" bestFit="1" customWidth="1"/>
    <col min="5667" max="5667" width="15.5703125" bestFit="1" customWidth="1"/>
    <col min="5668" max="5668" width="13.28515625" bestFit="1" customWidth="1"/>
    <col min="5669" max="5669" width="17.7109375" bestFit="1" customWidth="1"/>
    <col min="5670" max="5670" width="15.5703125" bestFit="1" customWidth="1"/>
    <col min="5671" max="5671" width="12.5703125" bestFit="1" customWidth="1"/>
    <col min="5672" max="5672" width="17.7109375" bestFit="1" customWidth="1"/>
    <col min="5673" max="5673" width="15.5703125" bestFit="1" customWidth="1"/>
    <col min="5674" max="5674" width="12.5703125" bestFit="1" customWidth="1"/>
    <col min="5675" max="5675" width="17.7109375" bestFit="1" customWidth="1"/>
    <col min="5676" max="5676" width="15.5703125" bestFit="1" customWidth="1"/>
    <col min="5677" max="5677" width="12.5703125" bestFit="1" customWidth="1"/>
    <col min="5678" max="5678" width="17.7109375" bestFit="1" customWidth="1"/>
    <col min="5679" max="5679" width="15.5703125" bestFit="1" customWidth="1"/>
    <col min="5680" max="5680" width="12.5703125" bestFit="1" customWidth="1"/>
    <col min="5681" max="5681" width="17.7109375" bestFit="1" customWidth="1"/>
    <col min="5682" max="5682" width="15.5703125" bestFit="1" customWidth="1"/>
    <col min="5683" max="5683" width="12.5703125" bestFit="1" customWidth="1"/>
    <col min="5684" max="5684" width="17.7109375" bestFit="1" customWidth="1"/>
    <col min="5685" max="5685" width="15.5703125" bestFit="1" customWidth="1"/>
    <col min="5686" max="5686" width="12.5703125" bestFit="1" customWidth="1"/>
    <col min="5687" max="5687" width="17.7109375" bestFit="1" customWidth="1"/>
    <col min="5688" max="5688" width="15.5703125" bestFit="1" customWidth="1"/>
    <col min="5689" max="5689" width="13.28515625" bestFit="1" customWidth="1"/>
    <col min="5690" max="5690" width="17.7109375" bestFit="1" customWidth="1"/>
    <col min="5691" max="5691" width="15.5703125" bestFit="1" customWidth="1"/>
    <col min="5692" max="5692" width="13.28515625" bestFit="1" customWidth="1"/>
    <col min="5693" max="5693" width="17.7109375" bestFit="1" customWidth="1"/>
    <col min="5694" max="5694" width="15.5703125" bestFit="1" customWidth="1"/>
    <col min="5695" max="5695" width="12.5703125" bestFit="1" customWidth="1"/>
    <col min="5696" max="5696" width="17.7109375" bestFit="1" customWidth="1"/>
    <col min="5697" max="5697" width="15.5703125" bestFit="1" customWidth="1"/>
    <col min="5698" max="5698" width="12.5703125" bestFit="1" customWidth="1"/>
    <col min="5699" max="5699" width="17.7109375" bestFit="1" customWidth="1"/>
    <col min="5700" max="5700" width="15.5703125" bestFit="1" customWidth="1"/>
    <col min="5701" max="5701" width="13.28515625" bestFit="1" customWidth="1"/>
    <col min="5702" max="5702" width="17.7109375" bestFit="1" customWidth="1"/>
    <col min="5703" max="5703" width="15.5703125" bestFit="1" customWidth="1"/>
    <col min="5704" max="5704" width="13.28515625" bestFit="1" customWidth="1"/>
    <col min="5705" max="5705" width="17.7109375" bestFit="1" customWidth="1"/>
    <col min="5706" max="5706" width="15.5703125" bestFit="1" customWidth="1"/>
    <col min="5707" max="5707" width="12.5703125" bestFit="1" customWidth="1"/>
    <col min="5708" max="5708" width="17.7109375" bestFit="1" customWidth="1"/>
    <col min="5709" max="5709" width="15.5703125" bestFit="1" customWidth="1"/>
    <col min="5710" max="5710" width="13.28515625" bestFit="1" customWidth="1"/>
    <col min="5711" max="5711" width="17.7109375" bestFit="1" customWidth="1"/>
    <col min="5712" max="5712" width="15.5703125" bestFit="1" customWidth="1"/>
    <col min="5713" max="5713" width="12.5703125" bestFit="1" customWidth="1"/>
    <col min="5714" max="5714" width="17.7109375" bestFit="1" customWidth="1"/>
    <col min="5715" max="5715" width="15.5703125" bestFit="1" customWidth="1"/>
    <col min="5716" max="5716" width="13.28515625" bestFit="1" customWidth="1"/>
    <col min="5717" max="5717" width="17.7109375" bestFit="1" customWidth="1"/>
    <col min="5718" max="5718" width="15.5703125" bestFit="1" customWidth="1"/>
    <col min="5719" max="5719" width="12.5703125" bestFit="1" customWidth="1"/>
    <col min="5720" max="5720" width="17.7109375" bestFit="1" customWidth="1"/>
    <col min="5721" max="5721" width="15.5703125" bestFit="1" customWidth="1"/>
    <col min="5722" max="5722" width="12.5703125" bestFit="1" customWidth="1"/>
    <col min="5723" max="5723" width="17.7109375" bestFit="1" customWidth="1"/>
    <col min="5724" max="5724" width="15.5703125" bestFit="1" customWidth="1"/>
    <col min="5725" max="5725" width="12.5703125" bestFit="1" customWidth="1"/>
    <col min="5726" max="5726" width="17.7109375" bestFit="1" customWidth="1"/>
    <col min="5727" max="5727" width="15.5703125" bestFit="1" customWidth="1"/>
    <col min="5728" max="5728" width="12.5703125" bestFit="1" customWidth="1"/>
    <col min="5729" max="5729" width="17.7109375" bestFit="1" customWidth="1"/>
    <col min="5730" max="5730" width="15.5703125" bestFit="1" customWidth="1"/>
    <col min="5731" max="5731" width="12.5703125" bestFit="1" customWidth="1"/>
    <col min="5732" max="5732" width="17.7109375" bestFit="1" customWidth="1"/>
    <col min="5733" max="5733" width="15.5703125" bestFit="1" customWidth="1"/>
    <col min="5734" max="5734" width="13.28515625" bestFit="1" customWidth="1"/>
    <col min="5735" max="5735" width="17.7109375" bestFit="1" customWidth="1"/>
    <col min="5736" max="5736" width="15.5703125" bestFit="1" customWidth="1"/>
    <col min="5737" max="5737" width="13.28515625" bestFit="1" customWidth="1"/>
    <col min="5738" max="5738" width="17.7109375" bestFit="1" customWidth="1"/>
    <col min="5739" max="5739" width="15.5703125" bestFit="1" customWidth="1"/>
    <col min="5740" max="5740" width="12.5703125" bestFit="1" customWidth="1"/>
    <col min="5741" max="5741" width="17.7109375" bestFit="1" customWidth="1"/>
    <col min="5742" max="5742" width="15.5703125" bestFit="1" customWidth="1"/>
    <col min="5743" max="5743" width="13.28515625" bestFit="1" customWidth="1"/>
    <col min="5744" max="5744" width="17.7109375" bestFit="1" customWidth="1"/>
    <col min="5745" max="5745" width="15.5703125" bestFit="1" customWidth="1"/>
    <col min="5746" max="5746" width="13.28515625" bestFit="1" customWidth="1"/>
    <col min="5747" max="5747" width="17.7109375" bestFit="1" customWidth="1"/>
    <col min="5748" max="5748" width="15.5703125" bestFit="1" customWidth="1"/>
    <col min="5749" max="5749" width="12.5703125" bestFit="1" customWidth="1"/>
    <col min="5750" max="5750" width="17.7109375" bestFit="1" customWidth="1"/>
    <col min="5751" max="5751" width="15.5703125" bestFit="1" customWidth="1"/>
    <col min="5752" max="5752" width="13.28515625" bestFit="1" customWidth="1"/>
    <col min="5753" max="5753" width="17.7109375" bestFit="1" customWidth="1"/>
    <col min="5754" max="5754" width="15.5703125" bestFit="1" customWidth="1"/>
    <col min="5755" max="5755" width="13.28515625" bestFit="1" customWidth="1"/>
    <col min="5756" max="5756" width="17.7109375" bestFit="1" customWidth="1"/>
    <col min="5757" max="5757" width="15.5703125" bestFit="1" customWidth="1"/>
    <col min="5758" max="5758" width="12.5703125" bestFit="1" customWidth="1"/>
    <col min="5759" max="5759" width="17.7109375" bestFit="1" customWidth="1"/>
    <col min="5760" max="5760" width="15.5703125" bestFit="1" customWidth="1"/>
    <col min="5761" max="5761" width="13.28515625" bestFit="1" customWidth="1"/>
    <col min="5762" max="5762" width="17.7109375" bestFit="1" customWidth="1"/>
    <col min="5763" max="5763" width="15.5703125" bestFit="1" customWidth="1"/>
    <col min="5764" max="5764" width="13.28515625" bestFit="1" customWidth="1"/>
    <col min="5765" max="5765" width="17.7109375" bestFit="1" customWidth="1"/>
    <col min="5766" max="5766" width="15.5703125" bestFit="1" customWidth="1"/>
    <col min="5767" max="5767" width="12.5703125" bestFit="1" customWidth="1"/>
    <col min="5768" max="5768" width="17.7109375" bestFit="1" customWidth="1"/>
    <col min="5769" max="5769" width="15.5703125" bestFit="1" customWidth="1"/>
    <col min="5770" max="5770" width="12.5703125" bestFit="1" customWidth="1"/>
    <col min="5771" max="5771" width="17.7109375" bestFit="1" customWidth="1"/>
    <col min="5772" max="5772" width="15.5703125" bestFit="1" customWidth="1"/>
    <col min="5773" max="5773" width="13.28515625" bestFit="1" customWidth="1"/>
    <col min="5774" max="5774" width="17.7109375" bestFit="1" customWidth="1"/>
    <col min="5775" max="5775" width="15.5703125" bestFit="1" customWidth="1"/>
    <col min="5776" max="5776" width="12.5703125" bestFit="1" customWidth="1"/>
    <col min="5777" max="5777" width="17.7109375" bestFit="1" customWidth="1"/>
    <col min="5778" max="5778" width="15.5703125" bestFit="1" customWidth="1"/>
    <col min="5779" max="5779" width="13.28515625" bestFit="1" customWidth="1"/>
    <col min="5780" max="5780" width="17.7109375" bestFit="1" customWidth="1"/>
    <col min="5781" max="5781" width="15.5703125" bestFit="1" customWidth="1"/>
    <col min="5782" max="5782" width="13.28515625" bestFit="1" customWidth="1"/>
    <col min="5783" max="5783" width="17.7109375" bestFit="1" customWidth="1"/>
    <col min="5784" max="5784" width="15.5703125" bestFit="1" customWidth="1"/>
    <col min="5785" max="5785" width="12.5703125" bestFit="1" customWidth="1"/>
    <col min="5786" max="5786" width="17.7109375" bestFit="1" customWidth="1"/>
    <col min="5787" max="5787" width="15.5703125" bestFit="1" customWidth="1"/>
    <col min="5788" max="5788" width="13.28515625" bestFit="1" customWidth="1"/>
    <col min="5789" max="5789" width="17.7109375" bestFit="1" customWidth="1"/>
    <col min="5790" max="5790" width="15.5703125" bestFit="1" customWidth="1"/>
    <col min="5791" max="5791" width="12.5703125" bestFit="1" customWidth="1"/>
    <col min="5792" max="5792" width="17.7109375" bestFit="1" customWidth="1"/>
    <col min="5793" max="5793" width="15.5703125" bestFit="1" customWidth="1"/>
    <col min="5794" max="5794" width="12.5703125" bestFit="1" customWidth="1"/>
    <col min="5795" max="5795" width="17.7109375" bestFit="1" customWidth="1"/>
    <col min="5796" max="5796" width="15.5703125" bestFit="1" customWidth="1"/>
    <col min="5797" max="5797" width="12.5703125" bestFit="1" customWidth="1"/>
    <col min="5798" max="5798" width="17.7109375" bestFit="1" customWidth="1"/>
    <col min="5799" max="5799" width="15.5703125" bestFit="1" customWidth="1"/>
    <col min="5800" max="5800" width="13.28515625" bestFit="1" customWidth="1"/>
    <col min="5801" max="5801" width="17.7109375" bestFit="1" customWidth="1"/>
    <col min="5802" max="5802" width="15.5703125" bestFit="1" customWidth="1"/>
    <col min="5803" max="5803" width="12.5703125" bestFit="1" customWidth="1"/>
    <col min="5804" max="5804" width="17.7109375" bestFit="1" customWidth="1"/>
    <col min="5805" max="5805" width="15.5703125" bestFit="1" customWidth="1"/>
    <col min="5806" max="5806" width="12.5703125" bestFit="1" customWidth="1"/>
    <col min="5807" max="5807" width="17.7109375" bestFit="1" customWidth="1"/>
    <col min="5808" max="5808" width="15.5703125" bestFit="1" customWidth="1"/>
    <col min="5809" max="5809" width="12.5703125" bestFit="1" customWidth="1"/>
    <col min="5810" max="5810" width="17.7109375" bestFit="1" customWidth="1"/>
    <col min="5811" max="5811" width="15.5703125" bestFit="1" customWidth="1"/>
    <col min="5812" max="5812" width="13.28515625" bestFit="1" customWidth="1"/>
    <col min="5813" max="5813" width="17.7109375" bestFit="1" customWidth="1"/>
    <col min="5814" max="5814" width="15.5703125" bestFit="1" customWidth="1"/>
    <col min="5815" max="5815" width="13.28515625" bestFit="1" customWidth="1"/>
    <col min="5816" max="5816" width="17.7109375" bestFit="1" customWidth="1"/>
    <col min="5817" max="5817" width="15.5703125" bestFit="1" customWidth="1"/>
    <col min="5818" max="5818" width="12.5703125" bestFit="1" customWidth="1"/>
    <col min="5819" max="5819" width="17.7109375" bestFit="1" customWidth="1"/>
    <col min="5820" max="5820" width="15.5703125" bestFit="1" customWidth="1"/>
    <col min="5821" max="5821" width="12.5703125" bestFit="1" customWidth="1"/>
    <col min="5822" max="5822" width="17.7109375" bestFit="1" customWidth="1"/>
    <col min="5823" max="5823" width="15.5703125" bestFit="1" customWidth="1"/>
    <col min="5824" max="5824" width="13.28515625" bestFit="1" customWidth="1"/>
    <col min="5825" max="5825" width="17.7109375" bestFit="1" customWidth="1"/>
    <col min="5826" max="5826" width="15.5703125" bestFit="1" customWidth="1"/>
    <col min="5827" max="5827" width="12.5703125" bestFit="1" customWidth="1"/>
    <col min="5828" max="5828" width="17.7109375" bestFit="1" customWidth="1"/>
    <col min="5829" max="5829" width="15.5703125" bestFit="1" customWidth="1"/>
    <col min="5830" max="5830" width="12.5703125" bestFit="1" customWidth="1"/>
    <col min="5831" max="5831" width="17.7109375" bestFit="1" customWidth="1"/>
    <col min="5832" max="5832" width="15.5703125" bestFit="1" customWidth="1"/>
    <col min="5833" max="5833" width="13.28515625" bestFit="1" customWidth="1"/>
    <col min="5834" max="5834" width="17.7109375" bestFit="1" customWidth="1"/>
    <col min="5835" max="5835" width="15.5703125" bestFit="1" customWidth="1"/>
    <col min="5836" max="5836" width="13.28515625" bestFit="1" customWidth="1"/>
    <col min="5837" max="5837" width="17.7109375" bestFit="1" customWidth="1"/>
    <col min="5838" max="5838" width="15.5703125" bestFit="1" customWidth="1"/>
    <col min="5839" max="5839" width="12.5703125" bestFit="1" customWidth="1"/>
    <col min="5840" max="5840" width="17.7109375" bestFit="1" customWidth="1"/>
    <col min="5841" max="5841" width="15.5703125" bestFit="1" customWidth="1"/>
    <col min="5842" max="5842" width="12.5703125" bestFit="1" customWidth="1"/>
    <col min="5843" max="5843" width="17.7109375" bestFit="1" customWidth="1"/>
    <col min="5844" max="5844" width="15.5703125" bestFit="1" customWidth="1"/>
    <col min="5845" max="5845" width="13.28515625" bestFit="1" customWidth="1"/>
    <col min="5846" max="5846" width="17.7109375" bestFit="1" customWidth="1"/>
    <col min="5847" max="5847" width="15.5703125" bestFit="1" customWidth="1"/>
    <col min="5848" max="5848" width="12.5703125" bestFit="1" customWidth="1"/>
    <col min="5849" max="5849" width="17.7109375" bestFit="1" customWidth="1"/>
    <col min="5850" max="5850" width="15.5703125" bestFit="1" customWidth="1"/>
    <col min="5851" max="5851" width="13.28515625" bestFit="1" customWidth="1"/>
    <col min="5852" max="5852" width="17.7109375" bestFit="1" customWidth="1"/>
    <col min="5853" max="5853" width="15.5703125" bestFit="1" customWidth="1"/>
    <col min="5854" max="5854" width="13.28515625" bestFit="1" customWidth="1"/>
    <col min="5855" max="5855" width="17.7109375" bestFit="1" customWidth="1"/>
    <col min="5856" max="5856" width="15.5703125" bestFit="1" customWidth="1"/>
    <col min="5857" max="5857" width="12.5703125" bestFit="1" customWidth="1"/>
    <col min="5858" max="5858" width="17.7109375" bestFit="1" customWidth="1"/>
    <col min="5859" max="5859" width="15.5703125" bestFit="1" customWidth="1"/>
    <col min="5860" max="5860" width="12.5703125" bestFit="1" customWidth="1"/>
    <col min="5861" max="5861" width="17.7109375" bestFit="1" customWidth="1"/>
    <col min="5862" max="5862" width="15.5703125" bestFit="1" customWidth="1"/>
    <col min="5863" max="5863" width="12.5703125" bestFit="1" customWidth="1"/>
    <col min="5864" max="5864" width="17.7109375" bestFit="1" customWidth="1"/>
    <col min="5865" max="5865" width="15.5703125" bestFit="1" customWidth="1"/>
    <col min="5866" max="5866" width="12.5703125" bestFit="1" customWidth="1"/>
    <col min="5867" max="5867" width="17.7109375" bestFit="1" customWidth="1"/>
    <col min="5868" max="5868" width="15.5703125" bestFit="1" customWidth="1"/>
    <col min="5869" max="5869" width="13.28515625" bestFit="1" customWidth="1"/>
    <col min="5870" max="5870" width="17.7109375" bestFit="1" customWidth="1"/>
    <col min="5871" max="5871" width="15.5703125" bestFit="1" customWidth="1"/>
    <col min="5872" max="5872" width="12.5703125" bestFit="1" customWidth="1"/>
    <col min="5873" max="5873" width="17.7109375" bestFit="1" customWidth="1"/>
    <col min="5874" max="5874" width="15.5703125" bestFit="1" customWidth="1"/>
    <col min="5875" max="5875" width="12.5703125" bestFit="1" customWidth="1"/>
    <col min="5876" max="5876" width="17.7109375" bestFit="1" customWidth="1"/>
    <col min="5877" max="5877" width="15.5703125" bestFit="1" customWidth="1"/>
    <col min="5878" max="5878" width="12.5703125" bestFit="1" customWidth="1"/>
    <col min="5879" max="5879" width="17.7109375" bestFit="1" customWidth="1"/>
    <col min="5880" max="5880" width="15.5703125" bestFit="1" customWidth="1"/>
    <col min="5881" max="5881" width="13.28515625" bestFit="1" customWidth="1"/>
    <col min="5882" max="5882" width="17.7109375" bestFit="1" customWidth="1"/>
    <col min="5883" max="5883" width="15.5703125" bestFit="1" customWidth="1"/>
    <col min="5884" max="5884" width="13.28515625" bestFit="1" customWidth="1"/>
    <col min="5885" max="5885" width="17.7109375" bestFit="1" customWidth="1"/>
    <col min="5886" max="5886" width="15.5703125" bestFit="1" customWidth="1"/>
    <col min="5887" max="5887" width="12.5703125" bestFit="1" customWidth="1"/>
    <col min="5888" max="5888" width="17.7109375" bestFit="1" customWidth="1"/>
    <col min="5889" max="5889" width="15.5703125" bestFit="1" customWidth="1"/>
    <col min="5890" max="5890" width="12.5703125" bestFit="1" customWidth="1"/>
    <col min="5891" max="5891" width="17.7109375" bestFit="1" customWidth="1"/>
    <col min="5892" max="5892" width="15.5703125" bestFit="1" customWidth="1"/>
    <col min="5893" max="5893" width="12.5703125" bestFit="1" customWidth="1"/>
    <col min="5894" max="5894" width="17.7109375" bestFit="1" customWidth="1"/>
    <col min="5895" max="5895" width="15.5703125" bestFit="1" customWidth="1"/>
    <col min="5896" max="5896" width="13.28515625" bestFit="1" customWidth="1"/>
    <col min="5897" max="5897" width="17.7109375" bestFit="1" customWidth="1"/>
    <col min="5898" max="5898" width="15.5703125" bestFit="1" customWidth="1"/>
    <col min="5899" max="5899" width="12.5703125" bestFit="1" customWidth="1"/>
    <col min="5900" max="5900" width="17.7109375" bestFit="1" customWidth="1"/>
    <col min="5901" max="5901" width="15.5703125" bestFit="1" customWidth="1"/>
    <col min="5902" max="5902" width="13.28515625" bestFit="1" customWidth="1"/>
    <col min="5903" max="5903" width="17.7109375" bestFit="1" customWidth="1"/>
    <col min="5904" max="5904" width="15.5703125" bestFit="1" customWidth="1"/>
    <col min="5905" max="5905" width="12.5703125" bestFit="1" customWidth="1"/>
    <col min="5906" max="5906" width="17.7109375" bestFit="1" customWidth="1"/>
    <col min="5907" max="5907" width="15.5703125" bestFit="1" customWidth="1"/>
    <col min="5908" max="5908" width="12.5703125" bestFit="1" customWidth="1"/>
    <col min="5909" max="5909" width="17.7109375" bestFit="1" customWidth="1"/>
    <col min="5910" max="5910" width="15.5703125" bestFit="1" customWidth="1"/>
    <col min="5911" max="5911" width="12.5703125" bestFit="1" customWidth="1"/>
    <col min="5912" max="5912" width="17.7109375" bestFit="1" customWidth="1"/>
    <col min="5913" max="5913" width="15.5703125" bestFit="1" customWidth="1"/>
    <col min="5914" max="5914" width="12.5703125" bestFit="1" customWidth="1"/>
    <col min="5915" max="5915" width="17.7109375" bestFit="1" customWidth="1"/>
    <col min="5916" max="5916" width="15.5703125" bestFit="1" customWidth="1"/>
    <col min="5917" max="5917" width="12.5703125" bestFit="1" customWidth="1"/>
    <col min="5918" max="5918" width="17.7109375" bestFit="1" customWidth="1"/>
    <col min="5919" max="5919" width="15.5703125" bestFit="1" customWidth="1"/>
    <col min="5920" max="5920" width="12.5703125" bestFit="1" customWidth="1"/>
    <col min="5921" max="5921" width="17.7109375" bestFit="1" customWidth="1"/>
    <col min="5922" max="5922" width="15.5703125" bestFit="1" customWidth="1"/>
    <col min="5923" max="5923" width="13.28515625" bestFit="1" customWidth="1"/>
    <col min="5924" max="5924" width="17.7109375" bestFit="1" customWidth="1"/>
    <col min="5925" max="5925" width="15.5703125" bestFit="1" customWidth="1"/>
    <col min="5926" max="5926" width="12.5703125" bestFit="1" customWidth="1"/>
    <col min="5927" max="5927" width="17.7109375" bestFit="1" customWidth="1"/>
    <col min="5928" max="5928" width="15.5703125" bestFit="1" customWidth="1"/>
    <col min="5929" max="5929" width="12.5703125" bestFit="1" customWidth="1"/>
    <col min="5930" max="5930" width="17.7109375" bestFit="1" customWidth="1"/>
    <col min="5931" max="5931" width="15.5703125" bestFit="1" customWidth="1"/>
    <col min="5932" max="5932" width="12.5703125" bestFit="1" customWidth="1"/>
    <col min="5933" max="5933" width="17.7109375" bestFit="1" customWidth="1"/>
    <col min="5934" max="5934" width="15.5703125" bestFit="1" customWidth="1"/>
    <col min="5935" max="5935" width="12.5703125" bestFit="1" customWidth="1"/>
    <col min="5936" max="5936" width="17.7109375" bestFit="1" customWidth="1"/>
    <col min="5937" max="5937" width="15.5703125" bestFit="1" customWidth="1"/>
    <col min="5938" max="5938" width="12.5703125" bestFit="1" customWidth="1"/>
    <col min="5939" max="5939" width="17.7109375" bestFit="1" customWidth="1"/>
    <col min="5940" max="5940" width="15.5703125" bestFit="1" customWidth="1"/>
    <col min="5941" max="5941" width="12.5703125" bestFit="1" customWidth="1"/>
    <col min="5942" max="5942" width="17.7109375" bestFit="1" customWidth="1"/>
    <col min="5943" max="5943" width="15.5703125" bestFit="1" customWidth="1"/>
    <col min="5944" max="5944" width="12.5703125" bestFit="1" customWidth="1"/>
    <col min="5945" max="5945" width="17.7109375" bestFit="1" customWidth="1"/>
    <col min="5946" max="5946" width="15.5703125" bestFit="1" customWidth="1"/>
    <col min="5947" max="5947" width="12.5703125" bestFit="1" customWidth="1"/>
    <col min="5948" max="5948" width="17.7109375" bestFit="1" customWidth="1"/>
    <col min="5949" max="5949" width="15.5703125" bestFit="1" customWidth="1"/>
    <col min="5950" max="5950" width="13.28515625" bestFit="1" customWidth="1"/>
    <col min="5951" max="5951" width="17.7109375" bestFit="1" customWidth="1"/>
    <col min="5952" max="5952" width="15.5703125" bestFit="1" customWidth="1"/>
    <col min="5953" max="5953" width="12.5703125" bestFit="1" customWidth="1"/>
    <col min="5954" max="5954" width="17.7109375" bestFit="1" customWidth="1"/>
    <col min="5955" max="5955" width="15.5703125" bestFit="1" customWidth="1"/>
    <col min="5956" max="5956" width="13.28515625" bestFit="1" customWidth="1"/>
    <col min="5957" max="5957" width="17.7109375" bestFit="1" customWidth="1"/>
    <col min="5958" max="5958" width="15.5703125" bestFit="1" customWidth="1"/>
    <col min="5959" max="5959" width="12.5703125" bestFit="1" customWidth="1"/>
    <col min="5960" max="5960" width="17.7109375" bestFit="1" customWidth="1"/>
    <col min="5961" max="5961" width="15.5703125" bestFit="1" customWidth="1"/>
    <col min="5962" max="5962" width="12.5703125" bestFit="1" customWidth="1"/>
    <col min="5963" max="5963" width="17.7109375" bestFit="1" customWidth="1"/>
    <col min="5964" max="5964" width="15.5703125" bestFit="1" customWidth="1"/>
    <col min="5965" max="5965" width="13.28515625" bestFit="1" customWidth="1"/>
    <col min="5966" max="5966" width="17.7109375" bestFit="1" customWidth="1"/>
    <col min="5967" max="5967" width="15.5703125" bestFit="1" customWidth="1"/>
    <col min="5968" max="5968" width="13.28515625" bestFit="1" customWidth="1"/>
    <col min="5969" max="5969" width="17.7109375" bestFit="1" customWidth="1"/>
    <col min="5970" max="5970" width="15.5703125" bestFit="1" customWidth="1"/>
    <col min="5971" max="5971" width="12.5703125" bestFit="1" customWidth="1"/>
    <col min="5972" max="5972" width="17.7109375" bestFit="1" customWidth="1"/>
    <col min="5973" max="5973" width="15.5703125" bestFit="1" customWidth="1"/>
    <col min="5974" max="5974" width="12.5703125" bestFit="1" customWidth="1"/>
    <col min="5975" max="5975" width="17.7109375" bestFit="1" customWidth="1"/>
    <col min="5976" max="5976" width="15.5703125" bestFit="1" customWidth="1"/>
    <col min="5977" max="5977" width="12.5703125" bestFit="1" customWidth="1"/>
    <col min="5978" max="5978" width="17.7109375" bestFit="1" customWidth="1"/>
    <col min="5979" max="5979" width="15.5703125" bestFit="1" customWidth="1"/>
    <col min="5980" max="5980" width="13.28515625" bestFit="1" customWidth="1"/>
    <col min="5981" max="5981" width="17.7109375" bestFit="1" customWidth="1"/>
    <col min="5982" max="5982" width="15.5703125" bestFit="1" customWidth="1"/>
    <col min="5983" max="5983" width="12.5703125" bestFit="1" customWidth="1"/>
    <col min="5984" max="5984" width="17.7109375" bestFit="1" customWidth="1"/>
    <col min="5985" max="5985" width="15.5703125" bestFit="1" customWidth="1"/>
    <col min="5986" max="5986" width="12.5703125" bestFit="1" customWidth="1"/>
    <col min="5987" max="5987" width="17.7109375" bestFit="1" customWidth="1"/>
    <col min="5988" max="5988" width="15.5703125" bestFit="1" customWidth="1"/>
    <col min="5989" max="5989" width="13.28515625" bestFit="1" customWidth="1"/>
    <col min="5990" max="5990" width="17.7109375" bestFit="1" customWidth="1"/>
    <col min="5991" max="5991" width="15.5703125" bestFit="1" customWidth="1"/>
    <col min="5992" max="5992" width="12.5703125" bestFit="1" customWidth="1"/>
    <col min="5993" max="5993" width="17.7109375" bestFit="1" customWidth="1"/>
    <col min="5994" max="5994" width="15.5703125" bestFit="1" customWidth="1"/>
    <col min="5995" max="5995" width="13.28515625" bestFit="1" customWidth="1"/>
    <col min="5996" max="5996" width="17.7109375" bestFit="1" customWidth="1"/>
    <col min="5997" max="5997" width="15.5703125" bestFit="1" customWidth="1"/>
    <col min="5998" max="5998" width="12.5703125" bestFit="1" customWidth="1"/>
    <col min="5999" max="5999" width="17.7109375" bestFit="1" customWidth="1"/>
    <col min="6000" max="6000" width="15.5703125" bestFit="1" customWidth="1"/>
    <col min="6001" max="6001" width="12.5703125" bestFit="1" customWidth="1"/>
    <col min="6002" max="6002" width="17.7109375" bestFit="1" customWidth="1"/>
    <col min="6003" max="6003" width="15.5703125" bestFit="1" customWidth="1"/>
    <col min="6004" max="6004" width="12.5703125" bestFit="1" customWidth="1"/>
    <col min="6005" max="6005" width="17.7109375" bestFit="1" customWidth="1"/>
    <col min="6006" max="6006" width="15.5703125" bestFit="1" customWidth="1"/>
    <col min="6007" max="6007" width="13.28515625" bestFit="1" customWidth="1"/>
    <col min="6008" max="6008" width="17.7109375" bestFit="1" customWidth="1"/>
    <col min="6009" max="6009" width="15.5703125" bestFit="1" customWidth="1"/>
    <col min="6010" max="6010" width="13.28515625" bestFit="1" customWidth="1"/>
    <col min="6011" max="6011" width="17.7109375" bestFit="1" customWidth="1"/>
    <col min="6012" max="6012" width="15.5703125" bestFit="1" customWidth="1"/>
    <col min="6013" max="6013" width="12.5703125" bestFit="1" customWidth="1"/>
    <col min="6014" max="6014" width="17.7109375" bestFit="1" customWidth="1"/>
    <col min="6015" max="6015" width="15.5703125" bestFit="1" customWidth="1"/>
    <col min="6016" max="6016" width="13.28515625" bestFit="1" customWidth="1"/>
    <col min="6017" max="6017" width="17.7109375" bestFit="1" customWidth="1"/>
    <col min="6018" max="6018" width="15.5703125" bestFit="1" customWidth="1"/>
    <col min="6019" max="6019" width="12.5703125" bestFit="1" customWidth="1"/>
    <col min="6020" max="6020" width="17.7109375" bestFit="1" customWidth="1"/>
    <col min="6021" max="6021" width="15.5703125" bestFit="1" customWidth="1"/>
    <col min="6022" max="6022" width="13.28515625" bestFit="1" customWidth="1"/>
    <col min="6023" max="6023" width="17.7109375" bestFit="1" customWidth="1"/>
    <col min="6024" max="6024" width="15.5703125" bestFit="1" customWidth="1"/>
    <col min="6025" max="6025" width="12.5703125" bestFit="1" customWidth="1"/>
    <col min="6026" max="6026" width="17.7109375" bestFit="1" customWidth="1"/>
    <col min="6027" max="6027" width="15.5703125" bestFit="1" customWidth="1"/>
    <col min="6028" max="6028" width="13.28515625" bestFit="1" customWidth="1"/>
    <col min="6029" max="6029" width="17.7109375" bestFit="1" customWidth="1"/>
    <col min="6030" max="6030" width="15.5703125" bestFit="1" customWidth="1"/>
    <col min="6031" max="6031" width="12.5703125" bestFit="1" customWidth="1"/>
    <col min="6032" max="6032" width="17.7109375" bestFit="1" customWidth="1"/>
    <col min="6033" max="6033" width="15.5703125" bestFit="1" customWidth="1"/>
    <col min="6034" max="6034" width="12.5703125" bestFit="1" customWidth="1"/>
    <col min="6035" max="6035" width="17.7109375" bestFit="1" customWidth="1"/>
    <col min="6036" max="6036" width="15.5703125" bestFit="1" customWidth="1"/>
    <col min="6037" max="6037" width="12.5703125" bestFit="1" customWidth="1"/>
    <col min="6038" max="6038" width="17.7109375" bestFit="1" customWidth="1"/>
    <col min="6039" max="6039" width="15.5703125" bestFit="1" customWidth="1"/>
    <col min="6040" max="6040" width="12.5703125" bestFit="1" customWidth="1"/>
    <col min="6041" max="6041" width="17.7109375" bestFit="1" customWidth="1"/>
    <col min="6042" max="6042" width="15.5703125" bestFit="1" customWidth="1"/>
    <col min="6043" max="6043" width="12.5703125" bestFit="1" customWidth="1"/>
    <col min="6044" max="6044" width="17.7109375" bestFit="1" customWidth="1"/>
    <col min="6045" max="6045" width="15.5703125" bestFit="1" customWidth="1"/>
    <col min="6046" max="6046" width="13.28515625" bestFit="1" customWidth="1"/>
    <col min="6047" max="6047" width="17.7109375" bestFit="1" customWidth="1"/>
    <col min="6048" max="6048" width="15.5703125" bestFit="1" customWidth="1"/>
    <col min="6049" max="6049" width="13.28515625" bestFit="1" customWidth="1"/>
    <col min="6050" max="6050" width="17.7109375" bestFit="1" customWidth="1"/>
    <col min="6051" max="6051" width="15.5703125" bestFit="1" customWidth="1"/>
    <col min="6052" max="6052" width="12.5703125" bestFit="1" customWidth="1"/>
    <col min="6053" max="6053" width="17.7109375" bestFit="1" customWidth="1"/>
    <col min="6054" max="6054" width="15.5703125" bestFit="1" customWidth="1"/>
    <col min="6055" max="6055" width="12.5703125" bestFit="1" customWidth="1"/>
    <col min="6056" max="6056" width="17.7109375" bestFit="1" customWidth="1"/>
    <col min="6057" max="6057" width="15.5703125" bestFit="1" customWidth="1"/>
    <col min="6058" max="6058" width="12.5703125" bestFit="1" customWidth="1"/>
    <col min="6059" max="6059" width="17.7109375" bestFit="1" customWidth="1"/>
    <col min="6060" max="6060" width="15.5703125" bestFit="1" customWidth="1"/>
    <col min="6061" max="6061" width="13.28515625" bestFit="1" customWidth="1"/>
    <col min="6062" max="6062" width="17.7109375" bestFit="1" customWidth="1"/>
    <col min="6063" max="6063" width="15.5703125" bestFit="1" customWidth="1"/>
    <col min="6064" max="6064" width="12.5703125" bestFit="1" customWidth="1"/>
    <col min="6065" max="6065" width="17.7109375" bestFit="1" customWidth="1"/>
    <col min="6066" max="6066" width="15.5703125" bestFit="1" customWidth="1"/>
    <col min="6067" max="6067" width="12.5703125" bestFit="1" customWidth="1"/>
    <col min="6068" max="6068" width="17.7109375" bestFit="1" customWidth="1"/>
    <col min="6069" max="6069" width="15.5703125" bestFit="1" customWidth="1"/>
    <col min="6070" max="6070" width="12.5703125" bestFit="1" customWidth="1"/>
    <col min="6071" max="6071" width="17.7109375" bestFit="1" customWidth="1"/>
    <col min="6072" max="6072" width="15.5703125" bestFit="1" customWidth="1"/>
    <col min="6073" max="6073" width="12.5703125" bestFit="1" customWidth="1"/>
    <col min="6074" max="6074" width="17.7109375" bestFit="1" customWidth="1"/>
    <col min="6075" max="6075" width="15.5703125" bestFit="1" customWidth="1"/>
    <col min="6076" max="6076" width="12.5703125" bestFit="1" customWidth="1"/>
    <col min="6077" max="6077" width="17.7109375" bestFit="1" customWidth="1"/>
    <col min="6078" max="6078" width="15.5703125" bestFit="1" customWidth="1"/>
    <col min="6079" max="6079" width="12.5703125" bestFit="1" customWidth="1"/>
    <col min="6080" max="6080" width="17.7109375" bestFit="1" customWidth="1"/>
    <col min="6081" max="6081" width="15.5703125" bestFit="1" customWidth="1"/>
    <col min="6082" max="6082" width="13.28515625" bestFit="1" customWidth="1"/>
    <col min="6083" max="6083" width="17.7109375" bestFit="1" customWidth="1"/>
    <col min="6084" max="6084" width="15.5703125" bestFit="1" customWidth="1"/>
    <col min="6085" max="6085" width="12.5703125" bestFit="1" customWidth="1"/>
    <col min="6086" max="6086" width="17.7109375" bestFit="1" customWidth="1"/>
    <col min="6087" max="6087" width="15.5703125" bestFit="1" customWidth="1"/>
    <col min="6088" max="6088" width="12.5703125" bestFit="1" customWidth="1"/>
    <col min="6089" max="6089" width="17.7109375" bestFit="1" customWidth="1"/>
    <col min="6090" max="6090" width="15.5703125" bestFit="1" customWidth="1"/>
    <col min="6091" max="6091" width="13.28515625" bestFit="1" customWidth="1"/>
    <col min="6092" max="6092" width="17.7109375" bestFit="1" customWidth="1"/>
    <col min="6093" max="6093" width="15.5703125" bestFit="1" customWidth="1"/>
    <col min="6094" max="6094" width="12.5703125" bestFit="1" customWidth="1"/>
    <col min="6095" max="6095" width="17.7109375" bestFit="1" customWidth="1"/>
    <col min="6096" max="6096" width="15.5703125" bestFit="1" customWidth="1"/>
    <col min="6097" max="6097" width="13.28515625" bestFit="1" customWidth="1"/>
    <col min="6098" max="6098" width="17.7109375" bestFit="1" customWidth="1"/>
    <col min="6099" max="6099" width="15.5703125" bestFit="1" customWidth="1"/>
    <col min="6100" max="6100" width="13.28515625" bestFit="1" customWidth="1"/>
    <col min="6101" max="6101" width="17.7109375" bestFit="1" customWidth="1"/>
    <col min="6102" max="6102" width="15.5703125" bestFit="1" customWidth="1"/>
    <col min="6103" max="6103" width="13.28515625" bestFit="1" customWidth="1"/>
    <col min="6104" max="6104" width="17.7109375" bestFit="1" customWidth="1"/>
    <col min="6105" max="6105" width="15.5703125" bestFit="1" customWidth="1"/>
    <col min="6106" max="6106" width="13.28515625" bestFit="1" customWidth="1"/>
    <col min="6107" max="6107" width="17.7109375" bestFit="1" customWidth="1"/>
    <col min="6108" max="6108" width="15.5703125" bestFit="1" customWidth="1"/>
    <col min="6109" max="6109" width="12.5703125" bestFit="1" customWidth="1"/>
    <col min="6110" max="6110" width="17.7109375" bestFit="1" customWidth="1"/>
    <col min="6111" max="6111" width="15.5703125" bestFit="1" customWidth="1"/>
    <col min="6112" max="6112" width="12.5703125" bestFit="1" customWidth="1"/>
    <col min="6113" max="6113" width="17.7109375" bestFit="1" customWidth="1"/>
    <col min="6114" max="6114" width="15.5703125" bestFit="1" customWidth="1"/>
    <col min="6115" max="6115" width="13.28515625" bestFit="1" customWidth="1"/>
    <col min="6116" max="6116" width="17.7109375" bestFit="1" customWidth="1"/>
    <col min="6117" max="6117" width="15.5703125" bestFit="1" customWidth="1"/>
    <col min="6118" max="6118" width="13.28515625" bestFit="1" customWidth="1"/>
    <col min="6119" max="6119" width="17.7109375" bestFit="1" customWidth="1"/>
    <col min="6120" max="6120" width="15.5703125" bestFit="1" customWidth="1"/>
    <col min="6121" max="6121" width="12.5703125" bestFit="1" customWidth="1"/>
    <col min="6122" max="6122" width="17.7109375" bestFit="1" customWidth="1"/>
    <col min="6123" max="6123" width="15.5703125" bestFit="1" customWidth="1"/>
    <col min="6124" max="6124" width="12.5703125" bestFit="1" customWidth="1"/>
    <col min="6125" max="6125" width="17.7109375" bestFit="1" customWidth="1"/>
    <col min="6126" max="6126" width="15.5703125" bestFit="1" customWidth="1"/>
    <col min="6127" max="6127" width="13.28515625" bestFit="1" customWidth="1"/>
    <col min="6128" max="6128" width="17.7109375" bestFit="1" customWidth="1"/>
    <col min="6129" max="6129" width="15.5703125" bestFit="1" customWidth="1"/>
    <col min="6130" max="6130" width="13.28515625" bestFit="1" customWidth="1"/>
    <col min="6131" max="6131" width="17.7109375" bestFit="1" customWidth="1"/>
    <col min="6132" max="6132" width="15.5703125" bestFit="1" customWidth="1"/>
    <col min="6133" max="6133" width="12.5703125" bestFit="1" customWidth="1"/>
    <col min="6134" max="6134" width="17.7109375" bestFit="1" customWidth="1"/>
    <col min="6135" max="6135" width="15.5703125" bestFit="1" customWidth="1"/>
    <col min="6136" max="6136" width="12.5703125" bestFit="1" customWidth="1"/>
    <col min="6137" max="6137" width="17.7109375" bestFit="1" customWidth="1"/>
    <col min="6138" max="6138" width="15.5703125" bestFit="1" customWidth="1"/>
    <col min="6139" max="6139" width="12.5703125" bestFit="1" customWidth="1"/>
    <col min="6140" max="6140" width="17.7109375" bestFit="1" customWidth="1"/>
    <col min="6141" max="6141" width="15.5703125" bestFit="1" customWidth="1"/>
    <col min="6142" max="6142" width="13.28515625" bestFit="1" customWidth="1"/>
    <col min="6143" max="6143" width="17.7109375" bestFit="1" customWidth="1"/>
    <col min="6144" max="6144" width="15.5703125" bestFit="1" customWidth="1"/>
    <col min="6145" max="6145" width="13.28515625" bestFit="1" customWidth="1"/>
    <col min="6146" max="6146" width="17.7109375" bestFit="1" customWidth="1"/>
    <col min="6147" max="6147" width="15.5703125" bestFit="1" customWidth="1"/>
    <col min="6148" max="6148" width="13.28515625" bestFit="1" customWidth="1"/>
    <col min="6149" max="6149" width="17.7109375" bestFit="1" customWidth="1"/>
    <col min="6150" max="6150" width="15.5703125" bestFit="1" customWidth="1"/>
    <col min="6151" max="6151" width="12.5703125" bestFit="1" customWidth="1"/>
    <col min="6152" max="6152" width="17.7109375" bestFit="1" customWidth="1"/>
    <col min="6153" max="6153" width="15.5703125" bestFit="1" customWidth="1"/>
    <col min="6154" max="6154" width="12.5703125" bestFit="1" customWidth="1"/>
    <col min="6155" max="6155" width="17.7109375" bestFit="1" customWidth="1"/>
    <col min="6156" max="6156" width="15.5703125" bestFit="1" customWidth="1"/>
    <col min="6157" max="6157" width="13.28515625" bestFit="1" customWidth="1"/>
    <col min="6158" max="6158" width="17.7109375" bestFit="1" customWidth="1"/>
    <col min="6159" max="6159" width="15.5703125" bestFit="1" customWidth="1"/>
    <col min="6160" max="6160" width="13.28515625" bestFit="1" customWidth="1"/>
    <col min="6161" max="6161" width="17.7109375" bestFit="1" customWidth="1"/>
    <col min="6162" max="6162" width="15.5703125" bestFit="1" customWidth="1"/>
    <col min="6163" max="6163" width="13.28515625" bestFit="1" customWidth="1"/>
    <col min="6164" max="6164" width="17.7109375" bestFit="1" customWidth="1"/>
    <col min="6165" max="6165" width="15.5703125" bestFit="1" customWidth="1"/>
    <col min="6166" max="6166" width="13.28515625" bestFit="1" customWidth="1"/>
    <col min="6167" max="6167" width="17.7109375" bestFit="1" customWidth="1"/>
    <col min="6168" max="6168" width="15.5703125" bestFit="1" customWidth="1"/>
    <col min="6169" max="6169" width="12.5703125" bestFit="1" customWidth="1"/>
    <col min="6170" max="6170" width="17.7109375" bestFit="1" customWidth="1"/>
    <col min="6171" max="6171" width="15.5703125" bestFit="1" customWidth="1"/>
    <col min="6172" max="6172" width="13.28515625" bestFit="1" customWidth="1"/>
    <col min="6173" max="6173" width="17.7109375" bestFit="1" customWidth="1"/>
    <col min="6174" max="6174" width="15.5703125" bestFit="1" customWidth="1"/>
    <col min="6175" max="6175" width="12.5703125" bestFit="1" customWidth="1"/>
    <col min="6176" max="6176" width="17.7109375" bestFit="1" customWidth="1"/>
    <col min="6177" max="6177" width="15.5703125" bestFit="1" customWidth="1"/>
    <col min="6178" max="6178" width="12.5703125" bestFit="1" customWidth="1"/>
    <col min="6179" max="6179" width="17.7109375" bestFit="1" customWidth="1"/>
    <col min="6180" max="6180" width="15.5703125" bestFit="1" customWidth="1"/>
    <col min="6181" max="6181" width="12.5703125" bestFit="1" customWidth="1"/>
    <col min="6182" max="6182" width="17.7109375" bestFit="1" customWidth="1"/>
    <col min="6183" max="6183" width="15.5703125" bestFit="1" customWidth="1"/>
    <col min="6184" max="6184" width="12.5703125" bestFit="1" customWidth="1"/>
    <col min="6185" max="6185" width="17.7109375" bestFit="1" customWidth="1"/>
    <col min="6186" max="6186" width="15.5703125" bestFit="1" customWidth="1"/>
    <col min="6187" max="6187" width="12.5703125" bestFit="1" customWidth="1"/>
    <col min="6188" max="6188" width="17.7109375" bestFit="1" customWidth="1"/>
    <col min="6189" max="6189" width="15.5703125" bestFit="1" customWidth="1"/>
    <col min="6190" max="6190" width="12.5703125" bestFit="1" customWidth="1"/>
    <col min="6191" max="6191" width="17.7109375" bestFit="1" customWidth="1"/>
    <col min="6192" max="6192" width="15.5703125" bestFit="1" customWidth="1"/>
    <col min="6193" max="6193" width="12.5703125" bestFit="1" customWidth="1"/>
    <col min="6194" max="6194" width="17.7109375" bestFit="1" customWidth="1"/>
    <col min="6195" max="6195" width="15.5703125" bestFit="1" customWidth="1"/>
    <col min="6196" max="6196" width="12.5703125" bestFit="1" customWidth="1"/>
    <col min="6197" max="6197" width="17.7109375" bestFit="1" customWidth="1"/>
    <col min="6198" max="6198" width="15.5703125" bestFit="1" customWidth="1"/>
    <col min="6199" max="6199" width="13.28515625" bestFit="1" customWidth="1"/>
    <col min="6200" max="6200" width="17.7109375" bestFit="1" customWidth="1"/>
    <col min="6201" max="6201" width="15.5703125" bestFit="1" customWidth="1"/>
    <col min="6202" max="6202" width="13.28515625" bestFit="1" customWidth="1"/>
    <col min="6203" max="6203" width="17.7109375" bestFit="1" customWidth="1"/>
    <col min="6204" max="6204" width="15.5703125" bestFit="1" customWidth="1"/>
    <col min="6205" max="6205" width="12.5703125" bestFit="1" customWidth="1"/>
    <col min="6206" max="6206" width="17.7109375" bestFit="1" customWidth="1"/>
    <col min="6207" max="6207" width="15.5703125" bestFit="1" customWidth="1"/>
    <col min="6208" max="6208" width="13.28515625" bestFit="1" customWidth="1"/>
    <col min="6209" max="6209" width="17.7109375" bestFit="1" customWidth="1"/>
    <col min="6210" max="6210" width="15.5703125" bestFit="1" customWidth="1"/>
    <col min="6211" max="6211" width="12.5703125" bestFit="1" customWidth="1"/>
    <col min="6212" max="6212" width="17.7109375" bestFit="1" customWidth="1"/>
    <col min="6213" max="6213" width="15.5703125" bestFit="1" customWidth="1"/>
    <col min="6214" max="6214" width="12.5703125" bestFit="1" customWidth="1"/>
    <col min="6215" max="6215" width="17.7109375" bestFit="1" customWidth="1"/>
    <col min="6216" max="6216" width="15.5703125" bestFit="1" customWidth="1"/>
    <col min="6217" max="6217" width="12.5703125" bestFit="1" customWidth="1"/>
    <col min="6218" max="6218" width="17.7109375" bestFit="1" customWidth="1"/>
    <col min="6219" max="6219" width="15.5703125" bestFit="1" customWidth="1"/>
    <col min="6220" max="6220" width="12.5703125" bestFit="1" customWidth="1"/>
    <col min="6221" max="6221" width="17.7109375" bestFit="1" customWidth="1"/>
    <col min="6222" max="6222" width="15.5703125" bestFit="1" customWidth="1"/>
    <col min="6223" max="6223" width="12.5703125" bestFit="1" customWidth="1"/>
    <col min="6224" max="6224" width="17.7109375" bestFit="1" customWidth="1"/>
    <col min="6225" max="6225" width="15.5703125" bestFit="1" customWidth="1"/>
    <col min="6226" max="6226" width="12.5703125" bestFit="1" customWidth="1"/>
    <col min="6227" max="6227" width="17.7109375" bestFit="1" customWidth="1"/>
    <col min="6228" max="6228" width="15.5703125" bestFit="1" customWidth="1"/>
    <col min="6229" max="6229" width="12.5703125" bestFit="1" customWidth="1"/>
    <col min="6230" max="6230" width="17.7109375" bestFit="1" customWidth="1"/>
    <col min="6231" max="6231" width="15.5703125" bestFit="1" customWidth="1"/>
    <col min="6232" max="6232" width="12.5703125" bestFit="1" customWidth="1"/>
    <col min="6233" max="6233" width="17.7109375" bestFit="1" customWidth="1"/>
    <col min="6234" max="6234" width="15.5703125" bestFit="1" customWidth="1"/>
    <col min="6235" max="6235" width="13.28515625" bestFit="1" customWidth="1"/>
    <col min="6236" max="6236" width="17.7109375" bestFit="1" customWidth="1"/>
    <col min="6237" max="6237" width="15.5703125" bestFit="1" customWidth="1"/>
    <col min="6238" max="6238" width="12.5703125" bestFit="1" customWidth="1"/>
    <col min="6239" max="6239" width="17.7109375" bestFit="1" customWidth="1"/>
    <col min="6240" max="6240" width="15.5703125" bestFit="1" customWidth="1"/>
    <col min="6241" max="6241" width="12.5703125" bestFit="1" customWidth="1"/>
    <col min="6242" max="6242" width="17.7109375" bestFit="1" customWidth="1"/>
    <col min="6243" max="6243" width="15.5703125" bestFit="1" customWidth="1"/>
    <col min="6244" max="6244" width="12.5703125" bestFit="1" customWidth="1"/>
    <col min="6245" max="6245" width="17.7109375" bestFit="1" customWidth="1"/>
    <col min="6246" max="6246" width="15.5703125" bestFit="1" customWidth="1"/>
    <col min="6247" max="6247" width="12.5703125" bestFit="1" customWidth="1"/>
    <col min="6248" max="6248" width="17.7109375" bestFit="1" customWidth="1"/>
    <col min="6249" max="6249" width="15.5703125" bestFit="1" customWidth="1"/>
    <col min="6250" max="6250" width="12.5703125" bestFit="1" customWidth="1"/>
    <col min="6251" max="6251" width="17.7109375" bestFit="1" customWidth="1"/>
    <col min="6252" max="6252" width="15.5703125" bestFit="1" customWidth="1"/>
    <col min="6253" max="6253" width="12.5703125" bestFit="1" customWidth="1"/>
    <col min="6254" max="6254" width="17.7109375" bestFit="1" customWidth="1"/>
    <col min="6255" max="6255" width="15.5703125" bestFit="1" customWidth="1"/>
    <col min="6256" max="6256" width="12.5703125" bestFit="1" customWidth="1"/>
    <col min="6257" max="6257" width="17.7109375" bestFit="1" customWidth="1"/>
    <col min="6258" max="6258" width="15.5703125" bestFit="1" customWidth="1"/>
    <col min="6259" max="6259" width="13.28515625" bestFit="1" customWidth="1"/>
    <col min="6260" max="6260" width="17.7109375" bestFit="1" customWidth="1"/>
    <col min="6261" max="6261" width="15.5703125" bestFit="1" customWidth="1"/>
    <col min="6262" max="6262" width="12.5703125" bestFit="1" customWidth="1"/>
    <col min="6263" max="6263" width="17.7109375" bestFit="1" customWidth="1"/>
    <col min="6264" max="6264" width="15.5703125" bestFit="1" customWidth="1"/>
    <col min="6265" max="6265" width="12.5703125" bestFit="1" customWidth="1"/>
    <col min="6266" max="6266" width="17.7109375" bestFit="1" customWidth="1"/>
    <col min="6267" max="6267" width="15.5703125" bestFit="1" customWidth="1"/>
    <col min="6268" max="6268" width="12.5703125" bestFit="1" customWidth="1"/>
    <col min="6269" max="6269" width="17.7109375" bestFit="1" customWidth="1"/>
    <col min="6270" max="6270" width="15.5703125" bestFit="1" customWidth="1"/>
    <col min="6271" max="6271" width="12.5703125" bestFit="1" customWidth="1"/>
    <col min="6272" max="6272" width="17.7109375" bestFit="1" customWidth="1"/>
    <col min="6273" max="6273" width="15.5703125" bestFit="1" customWidth="1"/>
    <col min="6274" max="6274" width="13.28515625" bestFit="1" customWidth="1"/>
    <col min="6275" max="6275" width="17.7109375" bestFit="1" customWidth="1"/>
    <col min="6276" max="6276" width="15.5703125" bestFit="1" customWidth="1"/>
    <col min="6277" max="6277" width="12.5703125" bestFit="1" customWidth="1"/>
    <col min="6278" max="6278" width="17.7109375" bestFit="1" customWidth="1"/>
    <col min="6279" max="6279" width="15.5703125" bestFit="1" customWidth="1"/>
    <col min="6280" max="6280" width="12.5703125" bestFit="1" customWidth="1"/>
    <col min="6281" max="6281" width="17.7109375" bestFit="1" customWidth="1"/>
    <col min="6282" max="6282" width="15.5703125" bestFit="1" customWidth="1"/>
    <col min="6283" max="6283" width="12.5703125" bestFit="1" customWidth="1"/>
    <col min="6284" max="6284" width="17.7109375" bestFit="1" customWidth="1"/>
    <col min="6285" max="6285" width="15.5703125" bestFit="1" customWidth="1"/>
    <col min="6286" max="6286" width="13.28515625" bestFit="1" customWidth="1"/>
    <col min="6287" max="6287" width="17.7109375" bestFit="1" customWidth="1"/>
    <col min="6288" max="6288" width="15.5703125" bestFit="1" customWidth="1"/>
    <col min="6289" max="6289" width="12.5703125" bestFit="1" customWidth="1"/>
    <col min="6290" max="6290" width="17.7109375" bestFit="1" customWidth="1"/>
    <col min="6291" max="6291" width="15.5703125" bestFit="1" customWidth="1"/>
    <col min="6292" max="6292" width="13.28515625" bestFit="1" customWidth="1"/>
    <col min="6293" max="6293" width="17.7109375" bestFit="1" customWidth="1"/>
    <col min="6294" max="6294" width="15.5703125" bestFit="1" customWidth="1"/>
    <col min="6295" max="6295" width="13.28515625" bestFit="1" customWidth="1"/>
    <col min="6296" max="6296" width="17.7109375" bestFit="1" customWidth="1"/>
    <col min="6297" max="6297" width="15.5703125" bestFit="1" customWidth="1"/>
    <col min="6298" max="6298" width="12.5703125" bestFit="1" customWidth="1"/>
    <col min="6299" max="6299" width="22.7109375" bestFit="1" customWidth="1"/>
    <col min="6300" max="6300" width="20.5703125" bestFit="1" customWidth="1"/>
    <col min="6301" max="6301" width="17.7109375" bestFit="1" customWidth="1"/>
  </cols>
  <sheetData>
    <row r="2" spans="1:4">
      <c r="A2" s="11" t="s">
        <v>187</v>
      </c>
    </row>
    <row r="3" spans="1:4">
      <c r="A3" t="s">
        <v>185</v>
      </c>
      <c r="B3" t="s">
        <v>184</v>
      </c>
      <c r="C3" t="s">
        <v>183</v>
      </c>
      <c r="D3" t="s">
        <v>186</v>
      </c>
    </row>
    <row r="4" spans="1:4">
      <c r="A4" s="9">
        <v>2328370000</v>
      </c>
      <c r="B4" s="9">
        <v>1862696000</v>
      </c>
      <c r="C4" s="9">
        <v>465674000</v>
      </c>
      <c r="D4" s="6">
        <v>2098</v>
      </c>
    </row>
    <row r="9" spans="1:4">
      <c r="A9" s="3" t="s">
        <v>20</v>
      </c>
      <c r="B9" s="2" t="s">
        <v>183</v>
      </c>
    </row>
    <row r="10" spans="1:4">
      <c r="A10" s="4" t="s">
        <v>67</v>
      </c>
      <c r="B10" s="9">
        <v>105336000</v>
      </c>
    </row>
    <row r="11" spans="1:4">
      <c r="A11" s="4" t="s">
        <v>56</v>
      </c>
      <c r="B11" s="9">
        <v>69248000</v>
      </c>
    </row>
    <row r="12" spans="1:4">
      <c r="A12" s="4" t="s">
        <v>50</v>
      </c>
      <c r="B12" s="9">
        <v>68640000</v>
      </c>
    </row>
    <row r="13" spans="1:4">
      <c r="A13" s="4" t="s">
        <v>71</v>
      </c>
      <c r="B13" s="9">
        <v>51950000</v>
      </c>
    </row>
    <row r="14" spans="1:4">
      <c r="A14" s="4" t="s">
        <v>73</v>
      </c>
      <c r="B14" s="9">
        <v>48312000</v>
      </c>
    </row>
    <row r="15" spans="1:4">
      <c r="A15" s="4" t="s">
        <v>54</v>
      </c>
      <c r="B15" s="9">
        <v>44964000</v>
      </c>
    </row>
    <row r="16" spans="1:4">
      <c r="A16" s="4" t="s">
        <v>62</v>
      </c>
      <c r="B16" s="9">
        <v>38850000</v>
      </c>
    </row>
    <row r="17" spans="1:2">
      <c r="A17" s="4" t="s">
        <v>31</v>
      </c>
      <c r="B17" s="9">
        <v>18088000</v>
      </c>
    </row>
    <row r="18" spans="1:2">
      <c r="A18" s="4" t="s">
        <v>46</v>
      </c>
      <c r="B18" s="9">
        <v>13416000</v>
      </c>
    </row>
    <row r="19" spans="1:2">
      <c r="A19" s="4" t="s">
        <v>38</v>
      </c>
      <c r="B19" s="9">
        <v>6870000</v>
      </c>
    </row>
    <row r="20" spans="1:2">
      <c r="A20" s="4" t="s">
        <v>182</v>
      </c>
      <c r="B20" s="9">
        <v>465674000</v>
      </c>
    </row>
    <row r="23" spans="1:2">
      <c r="A23" s="3" t="s">
        <v>20</v>
      </c>
      <c r="B23" s="2" t="s">
        <v>185</v>
      </c>
    </row>
    <row r="24" spans="1:2">
      <c r="A24" s="4" t="s">
        <v>58</v>
      </c>
      <c r="B24" s="9">
        <v>434805000</v>
      </c>
    </row>
    <row r="25" spans="1:2">
      <c r="A25" s="4" t="s">
        <v>47</v>
      </c>
      <c r="B25" s="9">
        <v>397665000</v>
      </c>
    </row>
    <row r="26" spans="1:2">
      <c r="A26" s="4" t="s">
        <v>42</v>
      </c>
      <c r="B26" s="9">
        <v>378660000</v>
      </c>
    </row>
    <row r="27" spans="1:2">
      <c r="A27" s="4" t="s">
        <v>65</v>
      </c>
      <c r="B27" s="9">
        <v>378035000</v>
      </c>
    </row>
    <row r="28" spans="1:2">
      <c r="A28" s="4" t="s">
        <v>33</v>
      </c>
      <c r="B28" s="9">
        <v>371370000</v>
      </c>
    </row>
    <row r="29" spans="1:2">
      <c r="A29" s="4" t="s">
        <v>69</v>
      </c>
      <c r="B29" s="9">
        <v>367835000</v>
      </c>
    </row>
    <row r="30" spans="1:2">
      <c r="A30" s="4" t="s">
        <v>182</v>
      </c>
      <c r="B30" s="9">
        <v>2328370000</v>
      </c>
    </row>
    <row r="33" spans="1:2">
      <c r="A33" s="3" t="s">
        <v>20</v>
      </c>
      <c r="B33" s="2" t="s">
        <v>184</v>
      </c>
    </row>
    <row r="34" spans="1:2">
      <c r="A34" s="4" t="s">
        <v>36</v>
      </c>
      <c r="B34" s="9">
        <v>493812000</v>
      </c>
    </row>
    <row r="35" spans="1:2">
      <c r="A35" s="4" t="s">
        <v>45</v>
      </c>
      <c r="B35" s="9">
        <v>486788000</v>
      </c>
    </row>
    <row r="36" spans="1:2">
      <c r="A36" s="4" t="s">
        <v>28</v>
      </c>
      <c r="B36" s="9">
        <v>458784000</v>
      </c>
    </row>
    <row r="37" spans="1:2">
      <c r="A37" s="4" t="s">
        <v>53</v>
      </c>
      <c r="B37" s="9">
        <v>423312000</v>
      </c>
    </row>
    <row r="38" spans="1:2">
      <c r="A38" s="4" t="s">
        <v>182</v>
      </c>
      <c r="B38" s="9">
        <v>1862696000</v>
      </c>
    </row>
    <row r="48" spans="1:2">
      <c r="A48" s="3" t="s">
        <v>20</v>
      </c>
      <c r="B48" s="2" t="s">
        <v>186</v>
      </c>
    </row>
    <row r="49" spans="1:2">
      <c r="A49" s="4" t="s">
        <v>192</v>
      </c>
      <c r="B49" s="6">
        <v>536</v>
      </c>
    </row>
    <row r="50" spans="1:2">
      <c r="A50" s="4" t="s">
        <v>191</v>
      </c>
      <c r="B50" s="6">
        <v>525</v>
      </c>
    </row>
    <row r="51" spans="1:2">
      <c r="A51" s="4" t="s">
        <v>189</v>
      </c>
      <c r="B51" s="6">
        <v>520</v>
      </c>
    </row>
    <row r="52" spans="1:2">
      <c r="A52" s="4" t="s">
        <v>190</v>
      </c>
      <c r="B52" s="6">
        <v>499</v>
      </c>
    </row>
    <row r="53" spans="1:2">
      <c r="A53" s="4" t="s">
        <v>193</v>
      </c>
      <c r="B53" s="6">
        <v>18</v>
      </c>
    </row>
    <row r="54" spans="1:2">
      <c r="A54" s="4" t="s">
        <v>182</v>
      </c>
      <c r="B54" s="6">
        <v>2098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01B4E-EF50-4DCB-8120-D6248F726381}">
  <dimension ref="T7:U7"/>
  <sheetViews>
    <sheetView showGridLines="0" tabSelected="1" topLeftCell="A4" zoomScale="90" zoomScaleNormal="90" workbookViewId="0">
      <selection activeCell="U7" sqref="U7"/>
    </sheetView>
  </sheetViews>
  <sheetFormatPr defaultRowHeight="15"/>
  <cols>
    <col min="18" max="18" width="9.140625" customWidth="1"/>
    <col min="20" max="20" width="20.7109375" customWidth="1"/>
    <col min="21" max="21" width="18.5703125" customWidth="1"/>
  </cols>
  <sheetData>
    <row r="7" spans="20:21">
      <c r="T7" s="9"/>
      <c r="U7"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DD848EF2-333F-4BD0-9320-795B9652DE6F}">
  <ds:schemaRefs/>
</ds:datastoreItem>
</file>

<file path=customXml/itemProps2.xml><?xml version="1.0" encoding="utf-8"?>
<ds:datastoreItem xmlns:ds="http://schemas.openxmlformats.org/officeDocument/2006/customXml" ds:itemID="{C08EB065-6DA7-43E6-84B5-16C0070BBD2B}">
  <ds:schemaRefs/>
</ds:datastoreItem>
</file>

<file path=customXml/itemProps3.xml><?xml version="1.0" encoding="utf-8"?>
<ds:datastoreItem xmlns:ds="http://schemas.openxmlformats.org/officeDocument/2006/customXml" ds:itemID="{FB1C8E94-7F02-46FA-B394-A1044FCCA3FB}">
  <ds:schemaRefs/>
</ds:datastoreItem>
</file>

<file path=customXml/itemProps4.xml><?xml version="1.0" encoding="utf-8"?>
<ds:datastoreItem xmlns:ds="http://schemas.openxmlformats.org/officeDocument/2006/customXml" ds:itemID="{3215F46B-7F95-4C27-A34F-6C1EF6974276}">
  <ds:schemaRefs/>
</ds:datastoreItem>
</file>

<file path=customXml/itemProps5.xml><?xml version="1.0" encoding="utf-8"?>
<ds:datastoreItem xmlns:ds="http://schemas.openxmlformats.org/officeDocument/2006/customXml" ds:itemID="{22CF6190-A61F-48ED-847A-E4ECC65A6F93}">
  <ds:schemaRefs/>
</ds:datastoreItem>
</file>

<file path=customXml/itemProps6.xml><?xml version="1.0" encoding="utf-8"?>
<ds:datastoreItem xmlns:ds="http://schemas.openxmlformats.org/officeDocument/2006/customXml" ds:itemID="{AAC301A6-2666-4D71-B3A6-EE553BEE077D}">
  <ds:schemaRefs/>
</ds:datastoreItem>
</file>

<file path=customXml/itemProps7.xml><?xml version="1.0" encoding="utf-8"?>
<ds:datastoreItem xmlns:ds="http://schemas.openxmlformats.org/officeDocument/2006/customXml" ds:itemID="{19FAF5F6-D328-415B-BB1E-F79229FEA4CA}">
  <ds:schemaRefs/>
</ds:datastoreItem>
</file>

<file path=customXml/itemProps8.xml><?xml version="1.0" encoding="utf-8"?>
<ds:datastoreItem xmlns:ds="http://schemas.openxmlformats.org/officeDocument/2006/customXml" ds:itemID="{992DF25F-99EA-44BF-AD9D-9E39CCC2E2C1}">
  <ds:schemaRefs/>
</ds:datastoreItem>
</file>

<file path=customXml/itemProps9.xml><?xml version="1.0" encoding="utf-8"?>
<ds:datastoreItem xmlns:ds="http://schemas.openxmlformats.org/officeDocument/2006/customXml" ds:itemID="{25B5BA28-B1CA-4A7A-BFF0-F75F0CE4DB07}">
  <ds:schemaRefs/>
</ds:datastoreItem>
</file>

<file path=customXml/itemProps10.xml><?xml version="1.0" encoding="utf-8"?>
<ds:datastoreItem xmlns:ds="http://schemas.openxmlformats.org/officeDocument/2006/customXml" ds:itemID="{CC105B4D-4FEF-44C8-A6A6-EEBDD26536E6}">
  <ds:schemaRefs/>
</ds:datastoreItem>
</file>

<file path=customXml/itemProps11.xml><?xml version="1.0" encoding="utf-8"?>
<ds:datastoreItem xmlns:ds="http://schemas.openxmlformats.org/officeDocument/2006/customXml" ds:itemID="{C8C6270C-B0CA-4EEE-9F6E-7D372B9C138B}">
  <ds:schemaRefs/>
</ds:datastoreItem>
</file>

<file path=customXml/itemProps12.xml><?xml version="1.0" encoding="utf-8"?>
<ds:datastoreItem xmlns:ds="http://schemas.openxmlformats.org/officeDocument/2006/customXml" ds:itemID="{DA8745E4-724E-473F-9F67-F7DE2BCEA62C}">
  <ds:schemaRefs/>
</ds:datastoreItem>
</file>

<file path=customXml/itemProps13.xml><?xml version="1.0" encoding="utf-8"?>
<ds:datastoreItem xmlns:ds="http://schemas.openxmlformats.org/officeDocument/2006/customXml" ds:itemID="{10FE70DB-6AD4-4BB5-AEE7-BB64AEAB6E0F}">
  <ds:schemaRefs/>
</ds:datastoreItem>
</file>

<file path=customXml/itemProps14.xml><?xml version="1.0" encoding="utf-8"?>
<ds:datastoreItem xmlns:ds="http://schemas.openxmlformats.org/officeDocument/2006/customXml" ds:itemID="{C1B3F772-3C1D-49C0-9283-82E5EADBEE35}">
  <ds:schemaRefs/>
</ds:datastoreItem>
</file>

<file path=customXml/itemProps15.xml><?xml version="1.0" encoding="utf-8"?>
<ds:datastoreItem xmlns:ds="http://schemas.openxmlformats.org/officeDocument/2006/customXml" ds:itemID="{D5CCEB93-1B58-4EE4-BA09-934E1C94FE00}">
  <ds:schemaRefs/>
</ds:datastoreItem>
</file>

<file path=customXml/itemProps16.xml><?xml version="1.0" encoding="utf-8"?>
<ds:datastoreItem xmlns:ds="http://schemas.openxmlformats.org/officeDocument/2006/customXml" ds:itemID="{5759A38E-C31F-420E-8EF1-CE707BB2974A}">
  <ds:schemaRefs/>
</ds:datastoreItem>
</file>

<file path=customXml/itemProps17.xml><?xml version="1.0" encoding="utf-8"?>
<ds:datastoreItem xmlns:ds="http://schemas.openxmlformats.org/officeDocument/2006/customXml" ds:itemID="{EC2F4248-756B-4F83-91BB-BDF852E9E2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Sales Data</vt:lpstr>
      <vt:lpstr>Sales Data New</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Fiyinfoluwa Eniola Oresajo</cp:lastModifiedBy>
  <dcterms:created xsi:type="dcterms:W3CDTF">2025-11-23T23:32:00Z</dcterms:created>
  <dcterms:modified xsi:type="dcterms:W3CDTF">2026-01-16T19:04:06Z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1033-12.1.22533.22533</vt:lpwstr>
  </property>
</Properties>
</file>